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fugm\Desktop\美股分析框架\"/>
    </mc:Choice>
  </mc:AlternateContent>
  <xr:revisionPtr revIDLastSave="0" documentId="13_ncr:1_{4DA5180E-E934-43A7-A34A-36D5D0A17340}" xr6:coauthVersionLast="47" xr6:coauthVersionMax="47" xr10:uidLastSave="{00000000-0000-0000-0000-000000000000}"/>
  <bookViews>
    <workbookView xWindow="2796" yWindow="900" windowWidth="15120" windowHeight="11820" xr2:uid="{00000000-000D-0000-FFFF-FFFF00000000}"/>
  </bookViews>
  <sheets>
    <sheet name="Settings" sheetId="1" r:id="rId1"/>
    <sheet name="Tickers" sheetId="2" r:id="rId2"/>
    <sheet name="EarningsRaw" sheetId="3" r:id="rId3"/>
    <sheet name="PricesRaw" sheetId="4" r:id="rId4"/>
    <sheet name="Tracker" sheetId="5" r:id="rId5"/>
    <sheet name="qEarningsRaw" sheetId="8" r:id="rId6"/>
    <sheet name="qPricesRaw" sheetId="9" r:id="rId7"/>
    <sheet name="PQ_M_Code" sheetId="6" r:id="rId8"/>
    <sheet name="Instructions" sheetId="7" r:id="rId9"/>
  </sheets>
  <definedNames>
    <definedName name="ExternalData_1" localSheetId="5" hidden="1">qEarningsRaw!$A$1:$H$29</definedName>
  </definedNames>
  <calcPr calcId="191029" iterate="1" calcOnSave="0"/>
</workbook>
</file>

<file path=xl/calcChain.xml><?xml version="1.0" encoding="utf-8"?>
<calcChain xmlns="http://schemas.openxmlformats.org/spreadsheetml/2006/main">
  <c r="N204" i="5" l="1"/>
  <c r="S204" i="5" s="1"/>
  <c r="L204" i="5"/>
  <c r="K204" i="5"/>
  <c r="Q203" i="5"/>
  <c r="N203" i="5"/>
  <c r="S203" i="5" s="1"/>
  <c r="L203" i="5"/>
  <c r="K203" i="5"/>
  <c r="C203" i="5"/>
  <c r="N202" i="5"/>
  <c r="S202" i="5" s="1"/>
  <c r="L202" i="5"/>
  <c r="K202" i="5"/>
  <c r="Q201" i="5"/>
  <c r="N201" i="5"/>
  <c r="P201" i="5" s="1"/>
  <c r="L201" i="5"/>
  <c r="K201" i="5"/>
  <c r="C201" i="5"/>
  <c r="N200" i="5"/>
  <c r="L200" i="5"/>
  <c r="K200" i="5"/>
  <c r="Q199" i="5"/>
  <c r="N199" i="5"/>
  <c r="S199" i="5" s="1"/>
  <c r="L199" i="5"/>
  <c r="K199" i="5"/>
  <c r="C199" i="5"/>
  <c r="N198" i="5"/>
  <c r="L198" i="5"/>
  <c r="K198" i="5"/>
  <c r="Q197" i="5"/>
  <c r="N197" i="5"/>
  <c r="P197" i="5" s="1"/>
  <c r="L197" i="5"/>
  <c r="K197" i="5"/>
  <c r="C197" i="5"/>
  <c r="N196" i="5"/>
  <c r="L196" i="5"/>
  <c r="K196" i="5"/>
  <c r="Q195" i="5"/>
  <c r="N195" i="5"/>
  <c r="S195" i="5" s="1"/>
  <c r="L195" i="5"/>
  <c r="K195" i="5"/>
  <c r="C195" i="5"/>
  <c r="N194" i="5"/>
  <c r="L194" i="5"/>
  <c r="K194" i="5"/>
  <c r="Q193" i="5"/>
  <c r="N193" i="5"/>
  <c r="P193" i="5" s="1"/>
  <c r="L193" i="5"/>
  <c r="K193" i="5"/>
  <c r="C193" i="5"/>
  <c r="N192" i="5"/>
  <c r="L192" i="5"/>
  <c r="K192" i="5"/>
  <c r="Q191" i="5"/>
  <c r="N191" i="5"/>
  <c r="S191" i="5" s="1"/>
  <c r="L191" i="5"/>
  <c r="K191" i="5"/>
  <c r="C191" i="5"/>
  <c r="N190" i="5"/>
  <c r="L190" i="5"/>
  <c r="K190" i="5"/>
  <c r="Q189" i="5"/>
  <c r="N189" i="5"/>
  <c r="P189" i="5" s="1"/>
  <c r="L189" i="5"/>
  <c r="K189" i="5"/>
  <c r="C189" i="5"/>
  <c r="N188" i="5"/>
  <c r="L188" i="5"/>
  <c r="K188" i="5"/>
  <c r="Q187" i="5"/>
  <c r="N187" i="5"/>
  <c r="S187" i="5" s="1"/>
  <c r="L187" i="5"/>
  <c r="K187" i="5"/>
  <c r="C187" i="5"/>
  <c r="N186" i="5"/>
  <c r="L186" i="5"/>
  <c r="K186" i="5"/>
  <c r="Q185" i="5"/>
  <c r="N185" i="5"/>
  <c r="P185" i="5" s="1"/>
  <c r="L185" i="5"/>
  <c r="K185" i="5"/>
  <c r="C185" i="5"/>
  <c r="N184" i="5"/>
  <c r="L184" i="5"/>
  <c r="K184" i="5"/>
  <c r="Q183" i="5"/>
  <c r="N183" i="5"/>
  <c r="S183" i="5" s="1"/>
  <c r="L183" i="5"/>
  <c r="K183" i="5"/>
  <c r="C183" i="5"/>
  <c r="N182" i="5"/>
  <c r="L182" i="5"/>
  <c r="K182" i="5"/>
  <c r="Q181" i="5"/>
  <c r="N181" i="5"/>
  <c r="P181" i="5" s="1"/>
  <c r="L181" i="5"/>
  <c r="K181" i="5"/>
  <c r="C181" i="5"/>
  <c r="N180" i="5"/>
  <c r="L180" i="5"/>
  <c r="K180" i="5"/>
  <c r="Q179" i="5"/>
  <c r="N179" i="5"/>
  <c r="S179" i="5" s="1"/>
  <c r="L179" i="5"/>
  <c r="K179" i="5"/>
  <c r="C179" i="5"/>
  <c r="N178" i="5"/>
  <c r="L178" i="5"/>
  <c r="K178" i="5"/>
  <c r="Q177" i="5"/>
  <c r="N177" i="5"/>
  <c r="P177" i="5" s="1"/>
  <c r="L177" i="5"/>
  <c r="K177" i="5"/>
  <c r="C177" i="5"/>
  <c r="N176" i="5"/>
  <c r="L176" i="5"/>
  <c r="K176" i="5"/>
  <c r="Q175" i="5"/>
  <c r="N175" i="5"/>
  <c r="S175" i="5" s="1"/>
  <c r="L175" i="5"/>
  <c r="K175" i="5"/>
  <c r="C175" i="5"/>
  <c r="N174" i="5"/>
  <c r="L174" i="5"/>
  <c r="K174" i="5"/>
  <c r="Q173" i="5"/>
  <c r="N173" i="5"/>
  <c r="P173" i="5" s="1"/>
  <c r="L173" i="5"/>
  <c r="K173" i="5"/>
  <c r="C173" i="5"/>
  <c r="N172" i="5"/>
  <c r="L172" i="5"/>
  <c r="K172" i="5"/>
  <c r="Q171" i="5"/>
  <c r="N171" i="5"/>
  <c r="S171" i="5" s="1"/>
  <c r="L171" i="5"/>
  <c r="K171" i="5"/>
  <c r="C171" i="5"/>
  <c r="N170" i="5"/>
  <c r="L170" i="5"/>
  <c r="K170" i="5"/>
  <c r="Q169" i="5"/>
  <c r="N169" i="5"/>
  <c r="P169" i="5" s="1"/>
  <c r="L169" i="5"/>
  <c r="K169" i="5"/>
  <c r="C169" i="5"/>
  <c r="N168" i="5"/>
  <c r="L168" i="5"/>
  <c r="K168" i="5"/>
  <c r="Q167" i="5"/>
  <c r="N167" i="5"/>
  <c r="S167" i="5" s="1"/>
  <c r="L167" i="5"/>
  <c r="K167" i="5"/>
  <c r="C167" i="5"/>
  <c r="N166" i="5"/>
  <c r="L166" i="5"/>
  <c r="K166" i="5"/>
  <c r="Q165" i="5"/>
  <c r="N165" i="5"/>
  <c r="P165" i="5" s="1"/>
  <c r="L165" i="5"/>
  <c r="K165" i="5"/>
  <c r="C165" i="5"/>
  <c r="N164" i="5"/>
  <c r="L164" i="5"/>
  <c r="K164" i="5"/>
  <c r="Q163" i="5"/>
  <c r="N163" i="5"/>
  <c r="S163" i="5" s="1"/>
  <c r="L163" i="5"/>
  <c r="K163" i="5"/>
  <c r="C163" i="5"/>
  <c r="P162" i="5"/>
  <c r="N162" i="5"/>
  <c r="L162" i="5"/>
  <c r="K162" i="5"/>
  <c r="S161" i="5"/>
  <c r="Q161" i="5"/>
  <c r="N161" i="5"/>
  <c r="P161" i="5" s="1"/>
  <c r="L161" i="5"/>
  <c r="K161" i="5"/>
  <c r="C161" i="5"/>
  <c r="N160" i="5"/>
  <c r="L160" i="5"/>
  <c r="K160" i="5"/>
  <c r="Q159" i="5"/>
  <c r="N159" i="5"/>
  <c r="S159" i="5" s="1"/>
  <c r="L159" i="5"/>
  <c r="K159" i="5"/>
  <c r="C159" i="5"/>
  <c r="P158" i="5"/>
  <c r="N158" i="5"/>
  <c r="L158" i="5"/>
  <c r="K158" i="5"/>
  <c r="S157" i="5"/>
  <c r="Q157" i="5"/>
  <c r="N157" i="5"/>
  <c r="P157" i="5" s="1"/>
  <c r="I157" i="5" s="1"/>
  <c r="L157" i="5"/>
  <c r="K157" i="5"/>
  <c r="C157" i="5"/>
  <c r="N156" i="5"/>
  <c r="L156" i="5"/>
  <c r="K156" i="5"/>
  <c r="Q155" i="5"/>
  <c r="N155" i="5"/>
  <c r="S155" i="5" s="1"/>
  <c r="L155" i="5"/>
  <c r="K155" i="5"/>
  <c r="C155" i="5"/>
  <c r="P154" i="5"/>
  <c r="N154" i="5"/>
  <c r="L154" i="5"/>
  <c r="K154" i="5"/>
  <c r="S153" i="5"/>
  <c r="Q153" i="5"/>
  <c r="N153" i="5"/>
  <c r="P153" i="5" s="1"/>
  <c r="L153" i="5"/>
  <c r="K153" i="5"/>
  <c r="C153" i="5"/>
  <c r="N152" i="5"/>
  <c r="L152" i="5"/>
  <c r="K152" i="5"/>
  <c r="Q151" i="5"/>
  <c r="N151" i="5"/>
  <c r="S151" i="5" s="1"/>
  <c r="L151" i="5"/>
  <c r="K151" i="5"/>
  <c r="C151" i="5"/>
  <c r="P150" i="5"/>
  <c r="N150" i="5"/>
  <c r="L150" i="5"/>
  <c r="K150" i="5"/>
  <c r="S149" i="5"/>
  <c r="Q149" i="5"/>
  <c r="N149" i="5"/>
  <c r="P149" i="5" s="1"/>
  <c r="I149" i="5" s="1"/>
  <c r="L149" i="5"/>
  <c r="K149" i="5"/>
  <c r="C149" i="5"/>
  <c r="N148" i="5"/>
  <c r="L148" i="5"/>
  <c r="K148" i="5"/>
  <c r="Q147" i="5"/>
  <c r="N147" i="5"/>
  <c r="S147" i="5" s="1"/>
  <c r="L147" i="5"/>
  <c r="K147" i="5"/>
  <c r="C147" i="5"/>
  <c r="P146" i="5"/>
  <c r="N146" i="5"/>
  <c r="L146" i="5"/>
  <c r="K146" i="5"/>
  <c r="S145" i="5"/>
  <c r="Q145" i="5"/>
  <c r="N145" i="5"/>
  <c r="P145" i="5" s="1"/>
  <c r="L145" i="5"/>
  <c r="K145" i="5"/>
  <c r="C145" i="5"/>
  <c r="N144" i="5"/>
  <c r="L144" i="5"/>
  <c r="K144" i="5"/>
  <c r="Q143" i="5"/>
  <c r="N143" i="5"/>
  <c r="S143" i="5" s="1"/>
  <c r="L143" i="5"/>
  <c r="K143" i="5"/>
  <c r="C143" i="5"/>
  <c r="P142" i="5"/>
  <c r="N142" i="5"/>
  <c r="L142" i="5"/>
  <c r="K142" i="5"/>
  <c r="S141" i="5"/>
  <c r="Q141" i="5"/>
  <c r="N141" i="5"/>
  <c r="P141" i="5" s="1"/>
  <c r="L141" i="5"/>
  <c r="K141" i="5"/>
  <c r="C141" i="5"/>
  <c r="N140" i="5"/>
  <c r="L140" i="5"/>
  <c r="K140" i="5"/>
  <c r="Q139" i="5"/>
  <c r="N139" i="5"/>
  <c r="S139" i="5" s="1"/>
  <c r="L139" i="5"/>
  <c r="K139" i="5"/>
  <c r="C139" i="5"/>
  <c r="P138" i="5"/>
  <c r="N138" i="5"/>
  <c r="L138" i="5"/>
  <c r="K138" i="5"/>
  <c r="S137" i="5"/>
  <c r="Q137" i="5"/>
  <c r="N137" i="5"/>
  <c r="P137" i="5" s="1"/>
  <c r="L137" i="5"/>
  <c r="K137" i="5"/>
  <c r="C137" i="5"/>
  <c r="N136" i="5"/>
  <c r="L136" i="5"/>
  <c r="K136" i="5"/>
  <c r="Q135" i="5"/>
  <c r="N135" i="5"/>
  <c r="S135" i="5" s="1"/>
  <c r="L135" i="5"/>
  <c r="K135" i="5"/>
  <c r="C135" i="5"/>
  <c r="P134" i="5"/>
  <c r="N134" i="5"/>
  <c r="L134" i="5"/>
  <c r="K134" i="5"/>
  <c r="S133" i="5"/>
  <c r="Q133" i="5"/>
  <c r="N133" i="5"/>
  <c r="P133" i="5" s="1"/>
  <c r="I133" i="5" s="1"/>
  <c r="L133" i="5"/>
  <c r="K133" i="5"/>
  <c r="C133" i="5"/>
  <c r="N132" i="5"/>
  <c r="L132" i="5"/>
  <c r="K132" i="5"/>
  <c r="Q131" i="5"/>
  <c r="N131" i="5"/>
  <c r="S131" i="5" s="1"/>
  <c r="L131" i="5"/>
  <c r="K131" i="5"/>
  <c r="C131" i="5"/>
  <c r="P130" i="5"/>
  <c r="N130" i="5"/>
  <c r="L130" i="5"/>
  <c r="K130" i="5"/>
  <c r="S129" i="5"/>
  <c r="Q129" i="5"/>
  <c r="N129" i="5"/>
  <c r="P129" i="5" s="1"/>
  <c r="L129" i="5"/>
  <c r="K129" i="5"/>
  <c r="C129" i="5"/>
  <c r="N128" i="5"/>
  <c r="L128" i="5"/>
  <c r="K128" i="5"/>
  <c r="Q127" i="5"/>
  <c r="N127" i="5"/>
  <c r="S127" i="5" s="1"/>
  <c r="L127" i="5"/>
  <c r="K127" i="5"/>
  <c r="C127" i="5"/>
  <c r="P126" i="5"/>
  <c r="N126" i="5"/>
  <c r="L126" i="5"/>
  <c r="K126" i="5"/>
  <c r="S125" i="5"/>
  <c r="Q125" i="5"/>
  <c r="N125" i="5"/>
  <c r="P125" i="5" s="1"/>
  <c r="I125" i="5" s="1"/>
  <c r="L125" i="5"/>
  <c r="K125" i="5"/>
  <c r="C125" i="5"/>
  <c r="N124" i="5"/>
  <c r="L124" i="5"/>
  <c r="K124" i="5"/>
  <c r="Q123" i="5"/>
  <c r="N123" i="5"/>
  <c r="S123" i="5" s="1"/>
  <c r="L123" i="5"/>
  <c r="K123" i="5"/>
  <c r="C123" i="5"/>
  <c r="P122" i="5"/>
  <c r="N122" i="5"/>
  <c r="L122" i="5"/>
  <c r="K122" i="5"/>
  <c r="S121" i="5"/>
  <c r="Q121" i="5"/>
  <c r="N121" i="5"/>
  <c r="P121" i="5" s="1"/>
  <c r="L121" i="5"/>
  <c r="K121" i="5"/>
  <c r="C121" i="5"/>
  <c r="N120" i="5"/>
  <c r="L120" i="5"/>
  <c r="K120" i="5"/>
  <c r="C120" i="5"/>
  <c r="S119" i="5"/>
  <c r="R119" i="5"/>
  <c r="H119" i="5" s="1"/>
  <c r="J119" i="5" s="1"/>
  <c r="Q119" i="5"/>
  <c r="N119" i="5"/>
  <c r="L119" i="5"/>
  <c r="K119" i="5"/>
  <c r="D119" i="5"/>
  <c r="C119" i="5"/>
  <c r="E119" i="5" s="1"/>
  <c r="S118" i="5"/>
  <c r="N118" i="5"/>
  <c r="L118" i="5"/>
  <c r="K118" i="5"/>
  <c r="S117" i="5"/>
  <c r="Q117" i="5"/>
  <c r="P117" i="5"/>
  <c r="I117" i="5" s="1"/>
  <c r="O117" i="5"/>
  <c r="N117" i="5"/>
  <c r="R117" i="5" s="1"/>
  <c r="L117" i="5"/>
  <c r="K117" i="5"/>
  <c r="C117" i="5"/>
  <c r="S116" i="5"/>
  <c r="R116" i="5"/>
  <c r="N116" i="5"/>
  <c r="L116" i="5"/>
  <c r="K116" i="5"/>
  <c r="D116" i="5"/>
  <c r="R115" i="5"/>
  <c r="Q115" i="5"/>
  <c r="P115" i="5"/>
  <c r="O115" i="5"/>
  <c r="G115" i="5" s="1"/>
  <c r="N115" i="5"/>
  <c r="S115" i="5" s="1"/>
  <c r="L115" i="5"/>
  <c r="K115" i="5"/>
  <c r="H115" i="5"/>
  <c r="D115" i="5"/>
  <c r="C115" i="5"/>
  <c r="E115" i="5" s="1"/>
  <c r="N114" i="5"/>
  <c r="D114" i="5" s="1"/>
  <c r="L114" i="5"/>
  <c r="K114" i="5"/>
  <c r="S113" i="5"/>
  <c r="Q113" i="5"/>
  <c r="P113" i="5"/>
  <c r="I113" i="5" s="1"/>
  <c r="O113" i="5"/>
  <c r="N113" i="5"/>
  <c r="R113" i="5" s="1"/>
  <c r="L113" i="5"/>
  <c r="K113" i="5"/>
  <c r="C113" i="5"/>
  <c r="N112" i="5"/>
  <c r="O112" i="5" s="1"/>
  <c r="L112" i="5"/>
  <c r="K112" i="5"/>
  <c r="R111" i="5"/>
  <c r="H111" i="5" s="1"/>
  <c r="J111" i="5" s="1"/>
  <c r="Q111" i="5"/>
  <c r="P111" i="5"/>
  <c r="O111" i="5"/>
  <c r="G111" i="5" s="1"/>
  <c r="N111" i="5"/>
  <c r="S111" i="5" s="1"/>
  <c r="L111" i="5"/>
  <c r="K111" i="5"/>
  <c r="D111" i="5"/>
  <c r="C111" i="5"/>
  <c r="E111" i="5" s="1"/>
  <c r="R110" i="5"/>
  <c r="N110" i="5"/>
  <c r="L110" i="5"/>
  <c r="K110" i="5"/>
  <c r="S109" i="5"/>
  <c r="H109" i="5" s="1"/>
  <c r="Q109" i="5"/>
  <c r="P109" i="5"/>
  <c r="I109" i="5" s="1"/>
  <c r="O109" i="5"/>
  <c r="N109" i="5"/>
  <c r="R109" i="5" s="1"/>
  <c r="L109" i="5"/>
  <c r="K109" i="5"/>
  <c r="C109" i="5"/>
  <c r="N108" i="5"/>
  <c r="L108" i="5"/>
  <c r="K108" i="5"/>
  <c r="D108" i="5"/>
  <c r="R107" i="5"/>
  <c r="H107" i="5" s="1"/>
  <c r="Q107" i="5"/>
  <c r="P107" i="5"/>
  <c r="O107" i="5"/>
  <c r="N107" i="5"/>
  <c r="S107" i="5" s="1"/>
  <c r="I107" i="5" s="1"/>
  <c r="L107" i="5"/>
  <c r="K107" i="5"/>
  <c r="D107" i="5"/>
  <c r="C107" i="5"/>
  <c r="P106" i="5"/>
  <c r="N106" i="5"/>
  <c r="L106" i="5"/>
  <c r="K106" i="5"/>
  <c r="D106" i="5"/>
  <c r="S105" i="5"/>
  <c r="O105" i="5"/>
  <c r="G105" i="5" s="1"/>
  <c r="N105" i="5"/>
  <c r="L105" i="5"/>
  <c r="K105" i="5"/>
  <c r="C105" i="5"/>
  <c r="S104" i="5"/>
  <c r="O104" i="5"/>
  <c r="N104" i="5"/>
  <c r="P104" i="5" s="1"/>
  <c r="L104" i="5"/>
  <c r="K104" i="5"/>
  <c r="G104" i="5"/>
  <c r="D104" i="5"/>
  <c r="E104" i="5" s="1"/>
  <c r="C104" i="5"/>
  <c r="R103" i="5"/>
  <c r="H103" i="5" s="1"/>
  <c r="Q103" i="5"/>
  <c r="P103" i="5"/>
  <c r="I103" i="5" s="1"/>
  <c r="O103" i="5"/>
  <c r="N103" i="5"/>
  <c r="S103" i="5" s="1"/>
  <c r="L103" i="5"/>
  <c r="K103" i="5"/>
  <c r="G103" i="5"/>
  <c r="D103" i="5"/>
  <c r="C103" i="5"/>
  <c r="P102" i="5"/>
  <c r="N102" i="5"/>
  <c r="L102" i="5"/>
  <c r="K102" i="5"/>
  <c r="D102" i="5"/>
  <c r="S101" i="5"/>
  <c r="O101" i="5"/>
  <c r="N101" i="5"/>
  <c r="L101" i="5"/>
  <c r="K101" i="5"/>
  <c r="C101" i="5"/>
  <c r="S100" i="5"/>
  <c r="O100" i="5"/>
  <c r="G100" i="5" s="1"/>
  <c r="N100" i="5"/>
  <c r="P100" i="5" s="1"/>
  <c r="L100" i="5"/>
  <c r="K100" i="5"/>
  <c r="D100" i="5"/>
  <c r="C100" i="5"/>
  <c r="E100" i="5" s="1"/>
  <c r="R99" i="5"/>
  <c r="Q99" i="5"/>
  <c r="P99" i="5"/>
  <c r="O99" i="5"/>
  <c r="G99" i="5" s="1"/>
  <c r="N99" i="5"/>
  <c r="S99" i="5" s="1"/>
  <c r="L99" i="5"/>
  <c r="K99" i="5"/>
  <c r="I99" i="5"/>
  <c r="H99" i="5"/>
  <c r="D99" i="5"/>
  <c r="C99" i="5"/>
  <c r="P98" i="5"/>
  <c r="N98" i="5"/>
  <c r="L98" i="5"/>
  <c r="K98" i="5"/>
  <c r="D98" i="5"/>
  <c r="S97" i="5"/>
  <c r="O97" i="5"/>
  <c r="G97" i="5" s="1"/>
  <c r="N97" i="5"/>
  <c r="L97" i="5"/>
  <c r="K97" i="5"/>
  <c r="C97" i="5"/>
  <c r="S96" i="5"/>
  <c r="O96" i="5"/>
  <c r="N96" i="5"/>
  <c r="P96" i="5" s="1"/>
  <c r="L96" i="5"/>
  <c r="K96" i="5"/>
  <c r="G96" i="5"/>
  <c r="D96" i="5"/>
  <c r="C96" i="5"/>
  <c r="E96" i="5" s="1"/>
  <c r="R95" i="5"/>
  <c r="H95" i="5" s="1"/>
  <c r="Q95" i="5"/>
  <c r="P95" i="5"/>
  <c r="I95" i="5" s="1"/>
  <c r="O95" i="5"/>
  <c r="N95" i="5"/>
  <c r="S95" i="5" s="1"/>
  <c r="L95" i="5"/>
  <c r="K95" i="5"/>
  <c r="G95" i="5"/>
  <c r="D95" i="5"/>
  <c r="C95" i="5"/>
  <c r="P94" i="5"/>
  <c r="N94" i="5"/>
  <c r="L94" i="5"/>
  <c r="K94" i="5"/>
  <c r="D94" i="5"/>
  <c r="S93" i="5"/>
  <c r="O93" i="5"/>
  <c r="N93" i="5"/>
  <c r="L93" i="5"/>
  <c r="K93" i="5"/>
  <c r="C93" i="5"/>
  <c r="S92" i="5"/>
  <c r="O92" i="5"/>
  <c r="G92" i="5" s="1"/>
  <c r="N92" i="5"/>
  <c r="P92" i="5" s="1"/>
  <c r="L92" i="5"/>
  <c r="K92" i="5"/>
  <c r="D92" i="5"/>
  <c r="C92" i="5"/>
  <c r="E92" i="5" s="1"/>
  <c r="R91" i="5"/>
  <c r="H91" i="5" s="1"/>
  <c r="Q91" i="5"/>
  <c r="P91" i="5"/>
  <c r="O91" i="5"/>
  <c r="G91" i="5" s="1"/>
  <c r="N91" i="5"/>
  <c r="S91" i="5" s="1"/>
  <c r="L91" i="5"/>
  <c r="K91" i="5"/>
  <c r="I91" i="5"/>
  <c r="D91" i="5"/>
  <c r="C91" i="5"/>
  <c r="E91" i="5" s="1"/>
  <c r="J91" i="5" s="1"/>
  <c r="N90" i="5"/>
  <c r="P90" i="5" s="1"/>
  <c r="L90" i="5"/>
  <c r="K90" i="5"/>
  <c r="N89" i="5"/>
  <c r="L89" i="5"/>
  <c r="K89" i="5"/>
  <c r="C89" i="5"/>
  <c r="S88" i="5"/>
  <c r="O88" i="5"/>
  <c r="G88" i="5" s="1"/>
  <c r="N88" i="5"/>
  <c r="L88" i="5"/>
  <c r="K88" i="5"/>
  <c r="D88" i="5"/>
  <c r="C88" i="5"/>
  <c r="E88" i="5" s="1"/>
  <c r="R87" i="5"/>
  <c r="Q87" i="5"/>
  <c r="P87" i="5"/>
  <c r="I87" i="5" s="1"/>
  <c r="O87" i="5"/>
  <c r="N87" i="5"/>
  <c r="S87" i="5" s="1"/>
  <c r="L87" i="5"/>
  <c r="K87" i="5"/>
  <c r="H87" i="5"/>
  <c r="G87" i="5"/>
  <c r="D87" i="5"/>
  <c r="C87" i="5"/>
  <c r="E87" i="5" s="1"/>
  <c r="S86" i="5"/>
  <c r="P86" i="5"/>
  <c r="N86" i="5"/>
  <c r="L86" i="5"/>
  <c r="K86" i="5"/>
  <c r="D86" i="5"/>
  <c r="S85" i="5"/>
  <c r="Q85" i="5"/>
  <c r="O85" i="5"/>
  <c r="N85" i="5"/>
  <c r="L85" i="5"/>
  <c r="K85" i="5"/>
  <c r="C85" i="5"/>
  <c r="R84" i="5"/>
  <c r="N84" i="5"/>
  <c r="D84" i="5" s="1"/>
  <c r="L84" i="5"/>
  <c r="K84" i="5"/>
  <c r="R83" i="5"/>
  <c r="H83" i="5" s="1"/>
  <c r="Q83" i="5"/>
  <c r="P83" i="5"/>
  <c r="O83" i="5"/>
  <c r="N83" i="5"/>
  <c r="S83" i="5" s="1"/>
  <c r="L83" i="5"/>
  <c r="K83" i="5"/>
  <c r="G83" i="5"/>
  <c r="D83" i="5"/>
  <c r="C83" i="5"/>
  <c r="E83" i="5" s="1"/>
  <c r="S82" i="5"/>
  <c r="P82" i="5"/>
  <c r="N82" i="5"/>
  <c r="L82" i="5"/>
  <c r="K82" i="5"/>
  <c r="D82" i="5"/>
  <c r="C82" i="5"/>
  <c r="E82" i="5" s="1"/>
  <c r="Q81" i="5"/>
  <c r="P81" i="5"/>
  <c r="O81" i="5"/>
  <c r="N81" i="5"/>
  <c r="L81" i="5"/>
  <c r="K81" i="5"/>
  <c r="S80" i="5"/>
  <c r="R80" i="5"/>
  <c r="H80" i="5" s="1"/>
  <c r="Q80" i="5"/>
  <c r="N80" i="5"/>
  <c r="L80" i="5"/>
  <c r="K80" i="5"/>
  <c r="C80" i="5"/>
  <c r="O79" i="5"/>
  <c r="N79" i="5"/>
  <c r="L79" i="5"/>
  <c r="K79" i="5"/>
  <c r="C79" i="5"/>
  <c r="S78" i="5"/>
  <c r="Q78" i="5"/>
  <c r="P78" i="5"/>
  <c r="N78" i="5"/>
  <c r="L78" i="5"/>
  <c r="K78" i="5"/>
  <c r="N77" i="5"/>
  <c r="O77" i="5" s="1"/>
  <c r="L77" i="5"/>
  <c r="K77" i="5"/>
  <c r="O76" i="5"/>
  <c r="N76" i="5"/>
  <c r="L76" i="5"/>
  <c r="K76" i="5"/>
  <c r="P75" i="5"/>
  <c r="N75" i="5"/>
  <c r="L75" i="5"/>
  <c r="K75" i="5"/>
  <c r="D75" i="5"/>
  <c r="N74" i="5"/>
  <c r="Q74" i="5" s="1"/>
  <c r="L74" i="5"/>
  <c r="K74" i="5"/>
  <c r="S73" i="5"/>
  <c r="Q73" i="5"/>
  <c r="P73" i="5"/>
  <c r="O73" i="5"/>
  <c r="G73" i="5" s="1"/>
  <c r="N73" i="5"/>
  <c r="L73" i="5"/>
  <c r="K73" i="5"/>
  <c r="C73" i="5"/>
  <c r="N72" i="5"/>
  <c r="L72" i="5"/>
  <c r="K72" i="5"/>
  <c r="E72" i="5"/>
  <c r="D72" i="5"/>
  <c r="C72" i="5"/>
  <c r="N71" i="5"/>
  <c r="D71" i="5" s="1"/>
  <c r="L71" i="5"/>
  <c r="K71" i="5"/>
  <c r="C71" i="5"/>
  <c r="N70" i="5"/>
  <c r="L70" i="5"/>
  <c r="K70" i="5"/>
  <c r="Q69" i="5"/>
  <c r="P69" i="5"/>
  <c r="O69" i="5"/>
  <c r="N69" i="5"/>
  <c r="L69" i="5"/>
  <c r="K69" i="5"/>
  <c r="S68" i="5"/>
  <c r="R68" i="5"/>
  <c r="Q68" i="5"/>
  <c r="N68" i="5"/>
  <c r="L68" i="5"/>
  <c r="K68" i="5"/>
  <c r="C68" i="5"/>
  <c r="R67" i="5"/>
  <c r="Q67" i="5"/>
  <c r="O67" i="5"/>
  <c r="N67" i="5"/>
  <c r="L67" i="5"/>
  <c r="K67" i="5"/>
  <c r="D67" i="5"/>
  <c r="C67" i="5"/>
  <c r="E67" i="5" s="1"/>
  <c r="S66" i="5"/>
  <c r="Q66" i="5"/>
  <c r="P66" i="5"/>
  <c r="N66" i="5"/>
  <c r="L66" i="5"/>
  <c r="K66" i="5"/>
  <c r="D66" i="5"/>
  <c r="E66" i="5" s="1"/>
  <c r="C66" i="5"/>
  <c r="N65" i="5"/>
  <c r="O65" i="5" s="1"/>
  <c r="L65" i="5"/>
  <c r="K65" i="5"/>
  <c r="S64" i="5"/>
  <c r="R64" i="5"/>
  <c r="H64" i="5" s="1"/>
  <c r="O64" i="5"/>
  <c r="G64" i="5" s="1"/>
  <c r="N64" i="5"/>
  <c r="L64" i="5"/>
  <c r="K64" i="5"/>
  <c r="C64" i="5"/>
  <c r="R63" i="5"/>
  <c r="Q63" i="5"/>
  <c r="N63" i="5"/>
  <c r="S63" i="5" s="1"/>
  <c r="L63" i="5"/>
  <c r="K63" i="5"/>
  <c r="N62" i="5"/>
  <c r="O62" i="5" s="1"/>
  <c r="L62" i="5"/>
  <c r="K62" i="5"/>
  <c r="S61" i="5"/>
  <c r="Q61" i="5"/>
  <c r="P61" i="5"/>
  <c r="O61" i="5"/>
  <c r="G61" i="5" s="1"/>
  <c r="N61" i="5"/>
  <c r="L61" i="5"/>
  <c r="K61" i="5"/>
  <c r="C61" i="5"/>
  <c r="R60" i="5"/>
  <c r="N60" i="5"/>
  <c r="C60" i="5" s="1"/>
  <c r="L60" i="5"/>
  <c r="K60" i="5"/>
  <c r="R59" i="5"/>
  <c r="Q59" i="5"/>
  <c r="O59" i="5"/>
  <c r="N59" i="5"/>
  <c r="L59" i="5"/>
  <c r="K59" i="5"/>
  <c r="S58" i="5"/>
  <c r="Q58" i="5"/>
  <c r="P58" i="5"/>
  <c r="O58" i="5"/>
  <c r="N58" i="5"/>
  <c r="R58" i="5" s="1"/>
  <c r="L58" i="5"/>
  <c r="K58" i="5"/>
  <c r="D58" i="5"/>
  <c r="N57" i="5"/>
  <c r="P57" i="5" s="1"/>
  <c r="L57" i="5"/>
  <c r="K57" i="5"/>
  <c r="D57" i="5"/>
  <c r="R56" i="5"/>
  <c r="H56" i="5" s="1"/>
  <c r="Q56" i="5"/>
  <c r="O56" i="5"/>
  <c r="G56" i="5" s="1"/>
  <c r="N56" i="5"/>
  <c r="S56" i="5" s="1"/>
  <c r="L56" i="5"/>
  <c r="K56" i="5"/>
  <c r="D56" i="5"/>
  <c r="C56" i="5"/>
  <c r="E56" i="5" s="1"/>
  <c r="S55" i="5"/>
  <c r="R55" i="5"/>
  <c r="H55" i="5" s="1"/>
  <c r="Q55" i="5"/>
  <c r="P55" i="5"/>
  <c r="O55" i="5"/>
  <c r="G55" i="5" s="1"/>
  <c r="N55" i="5"/>
  <c r="L55" i="5"/>
  <c r="K55" i="5"/>
  <c r="E55" i="5"/>
  <c r="D55" i="5"/>
  <c r="C55" i="5"/>
  <c r="S54" i="5"/>
  <c r="R54" i="5"/>
  <c r="H54" i="5" s="1"/>
  <c r="N54" i="5"/>
  <c r="D54" i="5" s="1"/>
  <c r="L54" i="5"/>
  <c r="K54" i="5"/>
  <c r="S53" i="5"/>
  <c r="R53" i="5"/>
  <c r="H53" i="5" s="1"/>
  <c r="Q53" i="5"/>
  <c r="I53" i="5" s="1"/>
  <c r="O53" i="5"/>
  <c r="N53" i="5"/>
  <c r="P53" i="5" s="1"/>
  <c r="L53" i="5"/>
  <c r="K53" i="5"/>
  <c r="D53" i="5"/>
  <c r="C53" i="5"/>
  <c r="E53" i="5" s="1"/>
  <c r="R52" i="5"/>
  <c r="Q52" i="5"/>
  <c r="P52" i="5"/>
  <c r="O52" i="5"/>
  <c r="G52" i="5" s="1"/>
  <c r="N52" i="5"/>
  <c r="S52" i="5" s="1"/>
  <c r="L52" i="5"/>
  <c r="K52" i="5"/>
  <c r="D52" i="5"/>
  <c r="C52" i="5"/>
  <c r="E52" i="5" s="1"/>
  <c r="S51" i="5"/>
  <c r="G51" i="5" s="1"/>
  <c r="R51" i="5"/>
  <c r="H51" i="5" s="1"/>
  <c r="Q51" i="5"/>
  <c r="P51" i="5"/>
  <c r="O51" i="5"/>
  <c r="N51" i="5"/>
  <c r="L51" i="5"/>
  <c r="K51" i="5"/>
  <c r="D51" i="5"/>
  <c r="E51" i="5" s="1"/>
  <c r="C51" i="5"/>
  <c r="N50" i="5"/>
  <c r="S50" i="5" s="1"/>
  <c r="L50" i="5"/>
  <c r="K50" i="5"/>
  <c r="D50" i="5"/>
  <c r="O49" i="5"/>
  <c r="N49" i="5"/>
  <c r="L49" i="5"/>
  <c r="K49" i="5"/>
  <c r="D49" i="5"/>
  <c r="N48" i="5"/>
  <c r="D48" i="5" s="1"/>
  <c r="L48" i="5"/>
  <c r="K48" i="5"/>
  <c r="S47" i="5"/>
  <c r="R47" i="5"/>
  <c r="Q47" i="5"/>
  <c r="P47" i="5"/>
  <c r="O47" i="5"/>
  <c r="G47" i="5" s="1"/>
  <c r="N47" i="5"/>
  <c r="L47" i="5"/>
  <c r="K47" i="5"/>
  <c r="H47" i="5"/>
  <c r="J47" i="5" s="1"/>
  <c r="D47" i="5"/>
  <c r="E47" i="5" s="1"/>
  <c r="C47" i="5"/>
  <c r="N46" i="5"/>
  <c r="P46" i="5" s="1"/>
  <c r="L46" i="5"/>
  <c r="K46" i="5"/>
  <c r="Q45" i="5"/>
  <c r="N45" i="5"/>
  <c r="P45" i="5" s="1"/>
  <c r="L45" i="5"/>
  <c r="K45" i="5"/>
  <c r="R44" i="5"/>
  <c r="O44" i="5"/>
  <c r="N44" i="5"/>
  <c r="S44" i="5" s="1"/>
  <c r="H44" i="5" s="1"/>
  <c r="L44" i="5"/>
  <c r="K44" i="5"/>
  <c r="D44" i="5"/>
  <c r="C44" i="5"/>
  <c r="E44" i="5" s="1"/>
  <c r="S43" i="5"/>
  <c r="G43" i="5" s="1"/>
  <c r="R43" i="5"/>
  <c r="Q43" i="5"/>
  <c r="P43" i="5"/>
  <c r="O43" i="5"/>
  <c r="N43" i="5"/>
  <c r="L43" i="5"/>
  <c r="K43" i="5"/>
  <c r="D43" i="5"/>
  <c r="C43" i="5"/>
  <c r="E43" i="5" s="1"/>
  <c r="N42" i="5"/>
  <c r="L42" i="5"/>
  <c r="K42" i="5"/>
  <c r="S41" i="5"/>
  <c r="R41" i="5"/>
  <c r="Q41" i="5"/>
  <c r="O41" i="5"/>
  <c r="N41" i="5"/>
  <c r="P41" i="5" s="1"/>
  <c r="I41" i="5" s="1"/>
  <c r="L41" i="5"/>
  <c r="K41" i="5"/>
  <c r="D41" i="5"/>
  <c r="E41" i="5" s="1"/>
  <c r="C41" i="5"/>
  <c r="N40" i="5"/>
  <c r="P40" i="5" s="1"/>
  <c r="L40" i="5"/>
  <c r="K40" i="5"/>
  <c r="S39" i="5"/>
  <c r="R39" i="5"/>
  <c r="H39" i="5" s="1"/>
  <c r="J39" i="5" s="1"/>
  <c r="Q39" i="5"/>
  <c r="P39" i="5"/>
  <c r="O39" i="5"/>
  <c r="G39" i="5" s="1"/>
  <c r="N39" i="5"/>
  <c r="L39" i="5"/>
  <c r="K39" i="5"/>
  <c r="E39" i="5"/>
  <c r="D39" i="5"/>
  <c r="C39" i="5"/>
  <c r="N38" i="5"/>
  <c r="P38" i="5" s="1"/>
  <c r="L38" i="5"/>
  <c r="K38" i="5"/>
  <c r="R37" i="5"/>
  <c r="N37" i="5"/>
  <c r="L37" i="5"/>
  <c r="K37" i="5"/>
  <c r="D37" i="5"/>
  <c r="R36" i="5"/>
  <c r="O36" i="5"/>
  <c r="N36" i="5"/>
  <c r="L36" i="5"/>
  <c r="K36" i="5"/>
  <c r="D36" i="5"/>
  <c r="S35" i="5"/>
  <c r="R35" i="5"/>
  <c r="H35" i="5" s="1"/>
  <c r="Q35" i="5"/>
  <c r="P35" i="5"/>
  <c r="O35" i="5"/>
  <c r="N35" i="5"/>
  <c r="L35" i="5"/>
  <c r="K35" i="5"/>
  <c r="G35" i="5"/>
  <c r="D35" i="5"/>
  <c r="E35" i="5" s="1"/>
  <c r="C35" i="5"/>
  <c r="S34" i="5"/>
  <c r="R34" i="5"/>
  <c r="H34" i="5" s="1"/>
  <c r="O34" i="5"/>
  <c r="G34" i="5" s="1"/>
  <c r="N34" i="5"/>
  <c r="L34" i="5"/>
  <c r="K34" i="5"/>
  <c r="D34" i="5"/>
  <c r="R33" i="5"/>
  <c r="Q33" i="5"/>
  <c r="N33" i="5"/>
  <c r="P33" i="5" s="1"/>
  <c r="L33" i="5"/>
  <c r="K33" i="5"/>
  <c r="D33" i="5"/>
  <c r="C33" i="5"/>
  <c r="E33" i="5" s="1"/>
  <c r="R32" i="5"/>
  <c r="H32" i="5" s="1"/>
  <c r="Q32" i="5"/>
  <c r="P32" i="5"/>
  <c r="O32" i="5"/>
  <c r="G32" i="5" s="1"/>
  <c r="N32" i="5"/>
  <c r="S32" i="5" s="1"/>
  <c r="L32" i="5"/>
  <c r="K32" i="5"/>
  <c r="D32" i="5"/>
  <c r="C32" i="5"/>
  <c r="S31" i="5"/>
  <c r="R31" i="5"/>
  <c r="H31" i="5" s="1"/>
  <c r="Q31" i="5"/>
  <c r="P31" i="5"/>
  <c r="O31" i="5"/>
  <c r="G31" i="5" s="1"/>
  <c r="N31" i="5"/>
  <c r="L31" i="5"/>
  <c r="K31" i="5"/>
  <c r="D31" i="5"/>
  <c r="C31" i="5"/>
  <c r="E31" i="5" s="1"/>
  <c r="S30" i="5"/>
  <c r="R30" i="5"/>
  <c r="N30" i="5"/>
  <c r="D30" i="5" s="1"/>
  <c r="L30" i="5"/>
  <c r="K30" i="5"/>
  <c r="S29" i="5"/>
  <c r="R29" i="5"/>
  <c r="Q29" i="5"/>
  <c r="O29" i="5"/>
  <c r="N29" i="5"/>
  <c r="P29" i="5" s="1"/>
  <c r="L29" i="5"/>
  <c r="K29" i="5"/>
  <c r="D29" i="5"/>
  <c r="C29" i="5"/>
  <c r="E29" i="5" s="1"/>
  <c r="R28" i="5"/>
  <c r="N28" i="5"/>
  <c r="D28" i="5" s="1"/>
  <c r="L28" i="5"/>
  <c r="K28" i="5"/>
  <c r="S27" i="5"/>
  <c r="R27" i="5"/>
  <c r="Q27" i="5"/>
  <c r="P27" i="5"/>
  <c r="O27" i="5"/>
  <c r="G27" i="5" s="1"/>
  <c r="N27" i="5"/>
  <c r="L27" i="5"/>
  <c r="K27" i="5"/>
  <c r="D27" i="5"/>
  <c r="C27" i="5"/>
  <c r="E27" i="5" s="1"/>
  <c r="N26" i="5"/>
  <c r="S26" i="5" s="1"/>
  <c r="L26" i="5"/>
  <c r="K26" i="5"/>
  <c r="D26" i="5"/>
  <c r="R25" i="5"/>
  <c r="N25" i="5"/>
  <c r="L25" i="5"/>
  <c r="K25" i="5"/>
  <c r="R24" i="5"/>
  <c r="P24" i="5"/>
  <c r="O24" i="5"/>
  <c r="N24" i="5"/>
  <c r="L24" i="5"/>
  <c r="K24" i="5"/>
  <c r="S23" i="5"/>
  <c r="H23" i="5" s="1"/>
  <c r="R23" i="5"/>
  <c r="Q23" i="5"/>
  <c r="P23" i="5"/>
  <c r="O23" i="5"/>
  <c r="G23" i="5" s="1"/>
  <c r="N23" i="5"/>
  <c r="L23" i="5"/>
  <c r="K23" i="5"/>
  <c r="D23" i="5"/>
  <c r="E23" i="5" s="1"/>
  <c r="J23" i="5" s="1"/>
  <c r="C23" i="5"/>
  <c r="R22" i="5"/>
  <c r="P22" i="5"/>
  <c r="O22" i="5"/>
  <c r="N22" i="5"/>
  <c r="L22" i="5"/>
  <c r="K22" i="5"/>
  <c r="N21" i="5"/>
  <c r="P21" i="5" s="1"/>
  <c r="L21" i="5"/>
  <c r="K21" i="5"/>
  <c r="N20" i="5"/>
  <c r="S20" i="5" s="1"/>
  <c r="L20" i="5"/>
  <c r="K20" i="5"/>
  <c r="S19" i="5"/>
  <c r="G19" i="5" s="1"/>
  <c r="R19" i="5"/>
  <c r="Q19" i="5"/>
  <c r="P19" i="5"/>
  <c r="O19" i="5"/>
  <c r="N19" i="5"/>
  <c r="L19" i="5"/>
  <c r="K19" i="5"/>
  <c r="D19" i="5"/>
  <c r="C19" i="5"/>
  <c r="E19" i="5" s="1"/>
  <c r="N18" i="5"/>
  <c r="L18" i="5"/>
  <c r="K18" i="5"/>
  <c r="S17" i="5"/>
  <c r="H17" i="5" s="1"/>
  <c r="R17" i="5"/>
  <c r="Q17" i="5"/>
  <c r="O17" i="5"/>
  <c r="N17" i="5"/>
  <c r="P17" i="5" s="1"/>
  <c r="I17" i="5" s="1"/>
  <c r="L17" i="5"/>
  <c r="K17" i="5"/>
  <c r="D17" i="5"/>
  <c r="C17" i="5"/>
  <c r="E17" i="5" s="1"/>
  <c r="N16" i="5"/>
  <c r="S16" i="5" s="1"/>
  <c r="L16" i="5"/>
  <c r="K16" i="5"/>
  <c r="S15" i="5"/>
  <c r="R15" i="5"/>
  <c r="Q15" i="5"/>
  <c r="P15" i="5"/>
  <c r="I15" i="5" s="1"/>
  <c r="O15" i="5"/>
  <c r="G15" i="5" s="1"/>
  <c r="N15" i="5"/>
  <c r="L15" i="5"/>
  <c r="K15" i="5"/>
  <c r="D15" i="5"/>
  <c r="C15" i="5"/>
  <c r="E15" i="5" s="1"/>
  <c r="N14" i="5"/>
  <c r="D14" i="5" s="1"/>
  <c r="L14" i="5"/>
  <c r="K14" i="5"/>
  <c r="N13" i="5"/>
  <c r="S13" i="5" s="1"/>
  <c r="L13" i="5"/>
  <c r="K13" i="5"/>
  <c r="N12" i="5"/>
  <c r="D12" i="5" s="1"/>
  <c r="L12" i="5"/>
  <c r="K12" i="5"/>
  <c r="S11" i="5"/>
  <c r="R11" i="5"/>
  <c r="Q11" i="5"/>
  <c r="P11" i="5"/>
  <c r="O11" i="5"/>
  <c r="N11" i="5"/>
  <c r="L11" i="5"/>
  <c r="K11" i="5"/>
  <c r="D11" i="5"/>
  <c r="E11" i="5" s="1"/>
  <c r="C11" i="5"/>
  <c r="R10" i="5"/>
  <c r="P10" i="5"/>
  <c r="N10" i="5"/>
  <c r="L10" i="5"/>
  <c r="K10" i="5"/>
  <c r="R9" i="5"/>
  <c r="Q9" i="5"/>
  <c r="N9" i="5"/>
  <c r="P9" i="5" s="1"/>
  <c r="L9" i="5"/>
  <c r="K9" i="5"/>
  <c r="Q8" i="5"/>
  <c r="P8" i="5"/>
  <c r="I8" i="5" s="1"/>
  <c r="N8" i="5"/>
  <c r="S8" i="5" s="1"/>
  <c r="L8" i="5"/>
  <c r="K8" i="5"/>
  <c r="S7" i="5"/>
  <c r="R7" i="5"/>
  <c r="H7" i="5" s="1"/>
  <c r="Q7" i="5"/>
  <c r="P7" i="5"/>
  <c r="O7" i="5"/>
  <c r="N7" i="5"/>
  <c r="L7" i="5"/>
  <c r="K7" i="5"/>
  <c r="D7" i="5"/>
  <c r="C7" i="5"/>
  <c r="E7" i="5" s="1"/>
  <c r="R6" i="5"/>
  <c r="P6" i="5"/>
  <c r="N6" i="5"/>
  <c r="L6" i="5"/>
  <c r="K6" i="5"/>
  <c r="R5" i="5"/>
  <c r="Q5" i="5"/>
  <c r="N5" i="5"/>
  <c r="P5" i="5" s="1"/>
  <c r="L5" i="5"/>
  <c r="K5" i="5"/>
  <c r="H11" i="5" l="1"/>
  <c r="J31" i="5"/>
  <c r="H113" i="5"/>
  <c r="J11" i="5"/>
  <c r="J53" i="5"/>
  <c r="J56" i="5"/>
  <c r="H15" i="5"/>
  <c r="G17" i="5"/>
  <c r="I23" i="5"/>
  <c r="I66" i="5"/>
  <c r="J87" i="5"/>
  <c r="G93" i="5"/>
  <c r="G101" i="5"/>
  <c r="G109" i="5"/>
  <c r="G113" i="5"/>
  <c r="J17" i="5"/>
  <c r="J35" i="5"/>
  <c r="G7" i="5"/>
  <c r="I7" i="5"/>
  <c r="G11" i="5"/>
  <c r="I19" i="5"/>
  <c r="H27" i="5"/>
  <c r="I29" i="5"/>
  <c r="I32" i="5"/>
  <c r="H58" i="5"/>
  <c r="I115" i="5"/>
  <c r="H52" i="5"/>
  <c r="I11" i="5"/>
  <c r="H29" i="5"/>
  <c r="J29" i="5" s="1"/>
  <c r="G58" i="5"/>
  <c r="G85" i="5"/>
  <c r="I111" i="5"/>
  <c r="I121" i="5"/>
  <c r="I137" i="5"/>
  <c r="I145" i="5"/>
  <c r="I161" i="5"/>
  <c r="I78" i="5"/>
  <c r="G107" i="5"/>
  <c r="G41" i="5"/>
  <c r="G44" i="5"/>
  <c r="I52" i="5"/>
  <c r="I73" i="5"/>
  <c r="J115" i="5"/>
  <c r="J7" i="5"/>
  <c r="H30" i="5"/>
  <c r="H41" i="5"/>
  <c r="J41" i="5" s="1"/>
  <c r="H63" i="5"/>
  <c r="J15" i="5"/>
  <c r="J51" i="5"/>
  <c r="J27" i="5"/>
  <c r="O13" i="5"/>
  <c r="G13" i="5" s="1"/>
  <c r="Q6" i="5"/>
  <c r="C6" i="5"/>
  <c r="E6" i="5" s="1"/>
  <c r="Q10" i="5"/>
  <c r="C10" i="5"/>
  <c r="E10" i="5" s="1"/>
  <c r="G29" i="5"/>
  <c r="O30" i="5"/>
  <c r="G30" i="5" s="1"/>
  <c r="D40" i="5"/>
  <c r="J44" i="5"/>
  <c r="G53" i="5"/>
  <c r="O54" i="5"/>
  <c r="G54" i="5" s="1"/>
  <c r="I55" i="5"/>
  <c r="S60" i="5"/>
  <c r="O63" i="5"/>
  <c r="G63" i="5" s="1"/>
  <c r="S75" i="5"/>
  <c r="I75" i="5" s="1"/>
  <c r="C75" i="5"/>
  <c r="E75" i="5" s="1"/>
  <c r="R75" i="5"/>
  <c r="Q75" i="5"/>
  <c r="J83" i="5"/>
  <c r="O70" i="5"/>
  <c r="R70" i="5"/>
  <c r="S70" i="5"/>
  <c r="Q70" i="5"/>
  <c r="P70" i="5"/>
  <c r="J52" i="5"/>
  <c r="P25" i="5"/>
  <c r="S25" i="5"/>
  <c r="H25" i="5" s="1"/>
  <c r="C25" i="5"/>
  <c r="Q25" i="5"/>
  <c r="P26" i="5"/>
  <c r="P28" i="5"/>
  <c r="O5" i="5"/>
  <c r="O6" i="5"/>
  <c r="O8" i="5"/>
  <c r="G8" i="5" s="1"/>
  <c r="O9" i="5"/>
  <c r="O10" i="5"/>
  <c r="Q22" i="5"/>
  <c r="I22" i="5" s="1"/>
  <c r="C22" i="5"/>
  <c r="S24" i="5"/>
  <c r="H24" i="5" s="1"/>
  <c r="C24" i="5"/>
  <c r="Q24" i="5"/>
  <c r="O25" i="5"/>
  <c r="Q28" i="5"/>
  <c r="P30" i="5"/>
  <c r="I31" i="5"/>
  <c r="S33" i="5"/>
  <c r="H33" i="5" s="1"/>
  <c r="J33" i="5" s="1"/>
  <c r="P49" i="5"/>
  <c r="S49" i="5"/>
  <c r="G49" i="5" s="1"/>
  <c r="C49" i="5"/>
  <c r="E49" i="5" s="1"/>
  <c r="R49" i="5"/>
  <c r="Q49" i="5"/>
  <c r="P54" i="5"/>
  <c r="C57" i="5"/>
  <c r="E57" i="5" s="1"/>
  <c r="S59" i="5"/>
  <c r="H59" i="5" s="1"/>
  <c r="P59" i="5"/>
  <c r="D59" i="5"/>
  <c r="P63" i="5"/>
  <c r="I63" i="5" s="1"/>
  <c r="O75" i="5"/>
  <c r="P80" i="5"/>
  <c r="I80" i="5" s="1"/>
  <c r="D80" i="5"/>
  <c r="E80" i="5" s="1"/>
  <c r="J80" i="5" s="1"/>
  <c r="O80" i="5"/>
  <c r="G80" i="5" s="1"/>
  <c r="Q114" i="5"/>
  <c r="C114" i="5"/>
  <c r="E114" i="5" s="1"/>
  <c r="O114" i="5"/>
  <c r="S114" i="5"/>
  <c r="R114" i="5"/>
  <c r="H114" i="5" s="1"/>
  <c r="P114" i="5"/>
  <c r="H22" i="5"/>
  <c r="O46" i="5"/>
  <c r="O48" i="5"/>
  <c r="Q62" i="5"/>
  <c r="P74" i="5"/>
  <c r="P84" i="5"/>
  <c r="I84" i="5" s="1"/>
  <c r="Q84" i="5"/>
  <c r="E71" i="5"/>
  <c r="R77" i="5"/>
  <c r="D77" i="5"/>
  <c r="S77" i="5"/>
  <c r="G77" i="5" s="1"/>
  <c r="C77" i="5"/>
  <c r="C5" i="5"/>
  <c r="E5" i="5" s="1"/>
  <c r="S9" i="5"/>
  <c r="I9" i="5" s="1"/>
  <c r="Q18" i="5"/>
  <c r="C18" i="5"/>
  <c r="Q21" i="5"/>
  <c r="I21" i="5" s="1"/>
  <c r="C28" i="5"/>
  <c r="E28" i="5" s="1"/>
  <c r="D5" i="5"/>
  <c r="D6" i="5"/>
  <c r="C9" i="5"/>
  <c r="D10" i="5"/>
  <c r="R12" i="5"/>
  <c r="S14" i="5"/>
  <c r="P16" i="5"/>
  <c r="O18" i="5"/>
  <c r="P20" i="5"/>
  <c r="R21" i="5"/>
  <c r="H21" i="5" s="1"/>
  <c r="S22" i="5"/>
  <c r="G22" i="5" s="1"/>
  <c r="D25" i="5"/>
  <c r="E32" i="5"/>
  <c r="J32" i="5" s="1"/>
  <c r="O45" i="5"/>
  <c r="I47" i="5"/>
  <c r="P48" i="5"/>
  <c r="I58" i="5"/>
  <c r="R62" i="5"/>
  <c r="P77" i="5"/>
  <c r="S79" i="5"/>
  <c r="G79" i="5" s="1"/>
  <c r="P79" i="5"/>
  <c r="D79" i="5"/>
  <c r="E79" i="5" s="1"/>
  <c r="J79" i="5" s="1"/>
  <c r="O84" i="5"/>
  <c r="P13" i="5"/>
  <c r="Q13" i="5"/>
  <c r="O12" i="5"/>
  <c r="Q46" i="5"/>
  <c r="C46" i="5"/>
  <c r="P12" i="5"/>
  <c r="O16" i="5"/>
  <c r="G16" i="5" s="1"/>
  <c r="R46" i="5"/>
  <c r="C70" i="5"/>
  <c r="Q77" i="5"/>
  <c r="H84" i="5"/>
  <c r="Q90" i="5"/>
  <c r="I90" i="5" s="1"/>
  <c r="C90" i="5"/>
  <c r="E90" i="5" s="1"/>
  <c r="O90" i="5"/>
  <c r="S90" i="5"/>
  <c r="R90" i="5"/>
  <c r="D90" i="5"/>
  <c r="O74" i="5"/>
  <c r="C74" i="5"/>
  <c r="S74" i="5"/>
  <c r="R74" i="5"/>
  <c r="H74" i="5" s="1"/>
  <c r="C8" i="5"/>
  <c r="E8" i="5" s="1"/>
  <c r="D9" i="5"/>
  <c r="C13" i="5"/>
  <c r="P18" i="5"/>
  <c r="I18" i="5" s="1"/>
  <c r="S21" i="5"/>
  <c r="Q42" i="5"/>
  <c r="C42" i="5"/>
  <c r="D8" i="5"/>
  <c r="D13" i="5"/>
  <c r="R16" i="5"/>
  <c r="H16" i="5" s="1"/>
  <c r="D24" i="5"/>
  <c r="P37" i="5"/>
  <c r="S37" i="5"/>
  <c r="H37" i="5" s="1"/>
  <c r="C37" i="5"/>
  <c r="E37" i="5" s="1"/>
  <c r="J37" i="5" s="1"/>
  <c r="Q37" i="5"/>
  <c r="O42" i="5"/>
  <c r="G42" i="5" s="1"/>
  <c r="P44" i="5"/>
  <c r="R45" i="5"/>
  <c r="S46" i="5"/>
  <c r="O57" i="5"/>
  <c r="I61" i="5"/>
  <c r="C63" i="5"/>
  <c r="D70" i="5"/>
  <c r="P72" i="5"/>
  <c r="O72" i="5"/>
  <c r="S72" i="5"/>
  <c r="R72" i="5"/>
  <c r="Q79" i="5"/>
  <c r="S84" i="5"/>
  <c r="G59" i="5"/>
  <c r="S5" i="5"/>
  <c r="I5" i="5" s="1"/>
  <c r="S6" i="5"/>
  <c r="H6" i="5" s="1"/>
  <c r="R8" i="5"/>
  <c r="H8" i="5" s="1"/>
  <c r="S10" i="5"/>
  <c r="H10" i="5" s="1"/>
  <c r="R13" i="5"/>
  <c r="H13" i="5" s="1"/>
  <c r="O20" i="5"/>
  <c r="G20" i="5" s="1"/>
  <c r="Q16" i="5"/>
  <c r="Q20" i="5"/>
  <c r="Q38" i="5"/>
  <c r="C38" i="5"/>
  <c r="R38" i="5"/>
  <c r="O38" i="5"/>
  <c r="S40" i="5"/>
  <c r="O40" i="5"/>
  <c r="J55" i="5"/>
  <c r="S62" i="5"/>
  <c r="G62" i="5" s="1"/>
  <c r="R65" i="5"/>
  <c r="D65" i="5"/>
  <c r="S65" i="5"/>
  <c r="G65" i="5" s="1"/>
  <c r="C65" i="5"/>
  <c r="C12" i="5"/>
  <c r="E12" i="5" s="1"/>
  <c r="R18" i="5"/>
  <c r="H18" i="5" s="1"/>
  <c r="R20" i="5"/>
  <c r="H20" i="5" s="1"/>
  <c r="D22" i="5"/>
  <c r="C16" i="5"/>
  <c r="S18" i="5"/>
  <c r="H19" i="5"/>
  <c r="J19" i="5" s="1"/>
  <c r="C21" i="5"/>
  <c r="Q34" i="5"/>
  <c r="C34" i="5"/>
  <c r="E34" i="5" s="1"/>
  <c r="J34" i="5" s="1"/>
  <c r="S36" i="5"/>
  <c r="C36" i="5"/>
  <c r="E36" i="5" s="1"/>
  <c r="Q36" i="5"/>
  <c r="O37" i="5"/>
  <c r="G37" i="5" s="1"/>
  <c r="S38" i="5"/>
  <c r="Q40" i="5"/>
  <c r="P42" i="5"/>
  <c r="I43" i="5"/>
  <c r="Q44" i="5"/>
  <c r="S45" i="5"/>
  <c r="I45" i="5" s="1"/>
  <c r="Q57" i="5"/>
  <c r="C59" i="5"/>
  <c r="E59" i="5" s="1"/>
  <c r="D63" i="5"/>
  <c r="P64" i="5"/>
  <c r="D64" i="5"/>
  <c r="E64" i="5" s="1"/>
  <c r="J64" i="5" s="1"/>
  <c r="P65" i="5"/>
  <c r="Q72" i="5"/>
  <c r="P76" i="5"/>
  <c r="D76" i="5"/>
  <c r="C76" i="5"/>
  <c r="S76" i="5"/>
  <c r="G76" i="5" s="1"/>
  <c r="R76" i="5"/>
  <c r="R79" i="5"/>
  <c r="H79" i="5" s="1"/>
  <c r="O82" i="5"/>
  <c r="G82" i="5" s="1"/>
  <c r="R82" i="5"/>
  <c r="H82" i="5" s="1"/>
  <c r="J82" i="5" s="1"/>
  <c r="Q14" i="5"/>
  <c r="C14" i="5"/>
  <c r="E14" i="5" s="1"/>
  <c r="O14" i="5"/>
  <c r="G14" i="5" s="1"/>
  <c r="P62" i="5"/>
  <c r="I62" i="5" s="1"/>
  <c r="R14" i="5"/>
  <c r="H14" i="5" s="1"/>
  <c r="D16" i="5"/>
  <c r="D18" i="5"/>
  <c r="I33" i="5"/>
  <c r="R40" i="5"/>
  <c r="H40" i="5" s="1"/>
  <c r="R57" i="5"/>
  <c r="P60" i="5"/>
  <c r="O60" i="5"/>
  <c r="G60" i="5" s="1"/>
  <c r="D60" i="5"/>
  <c r="E60" i="5" s="1"/>
  <c r="Q65" i="5"/>
  <c r="I83" i="5"/>
  <c r="R89" i="5"/>
  <c r="D89" i="5"/>
  <c r="E89" i="5" s="1"/>
  <c r="Q89" i="5"/>
  <c r="P89" i="5"/>
  <c r="S89" i="5"/>
  <c r="O89" i="5"/>
  <c r="S48" i="5"/>
  <c r="C48" i="5"/>
  <c r="E48" i="5" s="1"/>
  <c r="R48" i="5"/>
  <c r="H48" i="5" s="1"/>
  <c r="Q48" i="5"/>
  <c r="D21" i="5"/>
  <c r="R42" i="5"/>
  <c r="D46" i="5"/>
  <c r="D74" i="5"/>
  <c r="C20" i="5"/>
  <c r="E20" i="5" s="1"/>
  <c r="O33" i="5"/>
  <c r="G33" i="5" s="1"/>
  <c r="P34" i="5"/>
  <c r="I35" i="5"/>
  <c r="P36" i="5"/>
  <c r="D38" i="5"/>
  <c r="S42" i="5"/>
  <c r="H43" i="5"/>
  <c r="J43" i="5" s="1"/>
  <c r="C45" i="5"/>
  <c r="E45" i="5" s="1"/>
  <c r="P56" i="5"/>
  <c r="I56" i="5" s="1"/>
  <c r="S57" i="5"/>
  <c r="Q60" i="5"/>
  <c r="C62" i="5"/>
  <c r="E62" i="5" s="1"/>
  <c r="Q64" i="5"/>
  <c r="Q76" i="5"/>
  <c r="O78" i="5"/>
  <c r="G78" i="5" s="1"/>
  <c r="R78" i="5"/>
  <c r="H78" i="5" s="1"/>
  <c r="D78" i="5"/>
  <c r="C78" i="5"/>
  <c r="Q82" i="5"/>
  <c r="I82" i="5" s="1"/>
  <c r="Q108" i="5"/>
  <c r="C108" i="5"/>
  <c r="E108" i="5" s="1"/>
  <c r="P108" i="5"/>
  <c r="S108" i="5"/>
  <c r="R108" i="5"/>
  <c r="H108" i="5" s="1"/>
  <c r="O108" i="5"/>
  <c r="S12" i="5"/>
  <c r="Q12" i="5"/>
  <c r="Q112" i="5"/>
  <c r="C112" i="5"/>
  <c r="P112" i="5"/>
  <c r="D112" i="5"/>
  <c r="S112" i="5"/>
  <c r="G112" i="5" s="1"/>
  <c r="R112" i="5"/>
  <c r="H112" i="5" s="1"/>
  <c r="P14" i="5"/>
  <c r="I14" i="5" s="1"/>
  <c r="O21" i="5"/>
  <c r="G21" i="5" s="1"/>
  <c r="D20" i="5"/>
  <c r="Q26" i="5"/>
  <c r="C26" i="5"/>
  <c r="E26" i="5" s="1"/>
  <c r="R26" i="5"/>
  <c r="H26" i="5" s="1"/>
  <c r="O26" i="5"/>
  <c r="G26" i="5" s="1"/>
  <c r="S28" i="5"/>
  <c r="H28" i="5" s="1"/>
  <c r="O28" i="5"/>
  <c r="G28" i="5" s="1"/>
  <c r="Q30" i="5"/>
  <c r="C30" i="5"/>
  <c r="E30" i="5" s="1"/>
  <c r="J30" i="5" s="1"/>
  <c r="C40" i="5"/>
  <c r="E40" i="5" s="1"/>
  <c r="J40" i="5" s="1"/>
  <c r="D42" i="5"/>
  <c r="D45" i="5"/>
  <c r="Q50" i="5"/>
  <c r="C50" i="5"/>
  <c r="E50" i="5" s="1"/>
  <c r="R50" i="5"/>
  <c r="H50" i="5" s="1"/>
  <c r="P50" i="5"/>
  <c r="I50" i="5" s="1"/>
  <c r="O50" i="5"/>
  <c r="G50" i="5" s="1"/>
  <c r="Q54" i="5"/>
  <c r="C54" i="5"/>
  <c r="E54" i="5" s="1"/>
  <c r="J54" i="5" s="1"/>
  <c r="H60" i="5"/>
  <c r="D62" i="5"/>
  <c r="S71" i="5"/>
  <c r="P71" i="5"/>
  <c r="R71" i="5"/>
  <c r="Q71" i="5"/>
  <c r="O71" i="5"/>
  <c r="C84" i="5"/>
  <c r="E84" i="5" s="1"/>
  <c r="P68" i="5"/>
  <c r="I68" i="5" s="1"/>
  <c r="D68" i="5"/>
  <c r="E68" i="5" s="1"/>
  <c r="O68" i="5"/>
  <c r="G68" i="5" s="1"/>
  <c r="P88" i="5"/>
  <c r="R88" i="5"/>
  <c r="H88" i="5" s="1"/>
  <c r="J88" i="5" s="1"/>
  <c r="Q88" i="5"/>
  <c r="S67" i="5"/>
  <c r="H67" i="5" s="1"/>
  <c r="J67" i="5" s="1"/>
  <c r="P67" i="5"/>
  <c r="Q86" i="5"/>
  <c r="I86" i="5" s="1"/>
  <c r="C86" i="5"/>
  <c r="E86" i="5" s="1"/>
  <c r="O86" i="5"/>
  <c r="G86" i="5" s="1"/>
  <c r="R86" i="5"/>
  <c r="H86" i="5" s="1"/>
  <c r="I27" i="5"/>
  <c r="I39" i="5"/>
  <c r="I51" i="5"/>
  <c r="O66" i="5"/>
  <c r="G66" i="5" s="1"/>
  <c r="R66" i="5"/>
  <c r="H66" i="5" s="1"/>
  <c r="J66" i="5" s="1"/>
  <c r="H68" i="5"/>
  <c r="R85" i="5"/>
  <c r="H85" i="5" s="1"/>
  <c r="D85" i="5"/>
  <c r="E85" i="5" s="1"/>
  <c r="P85" i="5"/>
  <c r="I85" i="5" s="1"/>
  <c r="E95" i="5"/>
  <c r="J95" i="5" s="1"/>
  <c r="E181" i="5"/>
  <c r="E99" i="5"/>
  <c r="J99" i="5" s="1"/>
  <c r="E103" i="5"/>
  <c r="J103" i="5" s="1"/>
  <c r="E107" i="5"/>
  <c r="J107" i="5" s="1"/>
  <c r="H116" i="5"/>
  <c r="R118" i="5"/>
  <c r="H118" i="5" s="1"/>
  <c r="D118" i="5"/>
  <c r="Q118" i="5"/>
  <c r="C118" i="5"/>
  <c r="E118" i="5" s="1"/>
  <c r="O118" i="5"/>
  <c r="G118" i="5" s="1"/>
  <c r="Q110" i="5"/>
  <c r="C110" i="5"/>
  <c r="O110" i="5"/>
  <c r="R69" i="5"/>
  <c r="D69" i="5"/>
  <c r="R81" i="5"/>
  <c r="D81" i="5"/>
  <c r="P110" i="5"/>
  <c r="P118" i="5"/>
  <c r="E131" i="5"/>
  <c r="R93" i="5"/>
  <c r="H93" i="5" s="1"/>
  <c r="D93" i="5"/>
  <c r="E93" i="5" s="1"/>
  <c r="Q94" i="5"/>
  <c r="C94" i="5"/>
  <c r="E94" i="5" s="1"/>
  <c r="O94" i="5"/>
  <c r="R97" i="5"/>
  <c r="H97" i="5" s="1"/>
  <c r="D97" i="5"/>
  <c r="E97" i="5" s="1"/>
  <c r="Q98" i="5"/>
  <c r="I98" i="5" s="1"/>
  <c r="C98" i="5"/>
  <c r="E98" i="5" s="1"/>
  <c r="O98" i="5"/>
  <c r="R101" i="5"/>
  <c r="H101" i="5" s="1"/>
  <c r="D101" i="5"/>
  <c r="E101" i="5" s="1"/>
  <c r="Q102" i="5"/>
  <c r="C102" i="5"/>
  <c r="E102" i="5" s="1"/>
  <c r="O102" i="5"/>
  <c r="R105" i="5"/>
  <c r="H105" i="5" s="1"/>
  <c r="D105" i="5"/>
  <c r="E105" i="5" s="1"/>
  <c r="J105" i="5" s="1"/>
  <c r="Q106" i="5"/>
  <c r="C106" i="5"/>
  <c r="E106" i="5" s="1"/>
  <c r="O106" i="5"/>
  <c r="S110" i="5"/>
  <c r="H110" i="5" s="1"/>
  <c r="H117" i="5"/>
  <c r="G117" i="5"/>
  <c r="C58" i="5"/>
  <c r="E58" i="5" s="1"/>
  <c r="J58" i="5" s="1"/>
  <c r="R61" i="5"/>
  <c r="H61" i="5" s="1"/>
  <c r="D61" i="5"/>
  <c r="E61" i="5" s="1"/>
  <c r="C69" i="5"/>
  <c r="E69" i="5" s="1"/>
  <c r="S69" i="5"/>
  <c r="R73" i="5"/>
  <c r="H73" i="5" s="1"/>
  <c r="D73" i="5"/>
  <c r="E73" i="5" s="1"/>
  <c r="C81" i="5"/>
  <c r="E81" i="5" s="1"/>
  <c r="S81" i="5"/>
  <c r="G81" i="5" s="1"/>
  <c r="Q92" i="5"/>
  <c r="I92" i="5" s="1"/>
  <c r="P93" i="5"/>
  <c r="R94" i="5"/>
  <c r="Q96" i="5"/>
  <c r="I96" i="5" s="1"/>
  <c r="P97" i="5"/>
  <c r="I97" i="5" s="1"/>
  <c r="R98" i="5"/>
  <c r="H98" i="5" s="1"/>
  <c r="Q100" i="5"/>
  <c r="I100" i="5" s="1"/>
  <c r="P101" i="5"/>
  <c r="R102" i="5"/>
  <c r="Q104" i="5"/>
  <c r="I104" i="5" s="1"/>
  <c r="P105" i="5"/>
  <c r="R106" i="5"/>
  <c r="E163" i="5"/>
  <c r="R92" i="5"/>
  <c r="H92" i="5" s="1"/>
  <c r="J92" i="5" s="1"/>
  <c r="Q93" i="5"/>
  <c r="S94" i="5"/>
  <c r="R96" i="5"/>
  <c r="H96" i="5" s="1"/>
  <c r="J96" i="5" s="1"/>
  <c r="Q97" i="5"/>
  <c r="S98" i="5"/>
  <c r="R100" i="5"/>
  <c r="H100" i="5" s="1"/>
  <c r="J100" i="5" s="1"/>
  <c r="Q101" i="5"/>
  <c r="S102" i="5"/>
  <c r="R104" i="5"/>
  <c r="H104" i="5" s="1"/>
  <c r="J104" i="5" s="1"/>
  <c r="Q105" i="5"/>
  <c r="S106" i="5"/>
  <c r="D110" i="5"/>
  <c r="Q116" i="5"/>
  <c r="C116" i="5"/>
  <c r="E116" i="5" s="1"/>
  <c r="J116" i="5" s="1"/>
  <c r="P116" i="5"/>
  <c r="I116" i="5" s="1"/>
  <c r="O116" i="5"/>
  <c r="G116" i="5" s="1"/>
  <c r="I129" i="5"/>
  <c r="I141" i="5"/>
  <c r="I153" i="5"/>
  <c r="S168" i="5"/>
  <c r="R168" i="5"/>
  <c r="D168" i="5"/>
  <c r="Q168" i="5"/>
  <c r="C168" i="5"/>
  <c r="E168" i="5" s="1"/>
  <c r="P168" i="5"/>
  <c r="O168" i="5"/>
  <c r="S180" i="5"/>
  <c r="R180" i="5"/>
  <c r="D180" i="5"/>
  <c r="Q180" i="5"/>
  <c r="C180" i="5"/>
  <c r="P180" i="5"/>
  <c r="O180" i="5"/>
  <c r="S192" i="5"/>
  <c r="R192" i="5"/>
  <c r="D192" i="5"/>
  <c r="Q192" i="5"/>
  <c r="C192" i="5"/>
  <c r="P192" i="5"/>
  <c r="O192" i="5"/>
  <c r="D109" i="5"/>
  <c r="E109" i="5" s="1"/>
  <c r="J109" i="5" s="1"/>
  <c r="D113" i="5"/>
  <c r="E113" i="5" s="1"/>
  <c r="J113" i="5" s="1"/>
  <c r="D117" i="5"/>
  <c r="E117" i="5" s="1"/>
  <c r="S166" i="5"/>
  <c r="R166" i="5"/>
  <c r="D166" i="5"/>
  <c r="Q166" i="5"/>
  <c r="C166" i="5"/>
  <c r="E166" i="5" s="1"/>
  <c r="P166" i="5"/>
  <c r="O166" i="5"/>
  <c r="S178" i="5"/>
  <c r="R178" i="5"/>
  <c r="D178" i="5"/>
  <c r="Q178" i="5"/>
  <c r="C178" i="5"/>
  <c r="P178" i="5"/>
  <c r="O178" i="5"/>
  <c r="S190" i="5"/>
  <c r="R190" i="5"/>
  <c r="D190" i="5"/>
  <c r="Q190" i="5"/>
  <c r="C190" i="5"/>
  <c r="P190" i="5"/>
  <c r="O190" i="5"/>
  <c r="P119" i="5"/>
  <c r="I119" i="5" s="1"/>
  <c r="O119" i="5"/>
  <c r="G119" i="5" s="1"/>
  <c r="S120" i="5"/>
  <c r="R120" i="5"/>
  <c r="H120" i="5" s="1"/>
  <c r="Q120" i="5"/>
  <c r="P120" i="5"/>
  <c r="I120" i="5" s="1"/>
  <c r="O120" i="5"/>
  <c r="G120" i="5" s="1"/>
  <c r="S164" i="5"/>
  <c r="R164" i="5"/>
  <c r="D164" i="5"/>
  <c r="Q164" i="5"/>
  <c r="C164" i="5"/>
  <c r="P164" i="5"/>
  <c r="O164" i="5"/>
  <c r="S176" i="5"/>
  <c r="R176" i="5"/>
  <c r="H176" i="5" s="1"/>
  <c r="D176" i="5"/>
  <c r="Q176" i="5"/>
  <c r="C176" i="5"/>
  <c r="E176" i="5" s="1"/>
  <c r="P176" i="5"/>
  <c r="I176" i="5" s="1"/>
  <c r="O176" i="5"/>
  <c r="G176" i="5" s="1"/>
  <c r="S188" i="5"/>
  <c r="R188" i="5"/>
  <c r="H188" i="5" s="1"/>
  <c r="D188" i="5"/>
  <c r="Q188" i="5"/>
  <c r="C188" i="5"/>
  <c r="E188" i="5" s="1"/>
  <c r="P188" i="5"/>
  <c r="O188" i="5"/>
  <c r="G188" i="5" s="1"/>
  <c r="S200" i="5"/>
  <c r="R200" i="5"/>
  <c r="H200" i="5" s="1"/>
  <c r="D200" i="5"/>
  <c r="Q200" i="5"/>
  <c r="C200" i="5"/>
  <c r="P200" i="5"/>
  <c r="O200" i="5"/>
  <c r="G200" i="5" s="1"/>
  <c r="S122" i="5"/>
  <c r="R122" i="5"/>
  <c r="D122" i="5"/>
  <c r="Q122" i="5"/>
  <c r="C122" i="5"/>
  <c r="E122" i="5" s="1"/>
  <c r="O122" i="5"/>
  <c r="S124" i="5"/>
  <c r="R124" i="5"/>
  <c r="D124" i="5"/>
  <c r="Q124" i="5"/>
  <c r="C124" i="5"/>
  <c r="P124" i="5"/>
  <c r="O124" i="5"/>
  <c r="S126" i="5"/>
  <c r="R126" i="5"/>
  <c r="D126" i="5"/>
  <c r="Q126" i="5"/>
  <c r="I126" i="5" s="1"/>
  <c r="C126" i="5"/>
  <c r="O126" i="5"/>
  <c r="G126" i="5" s="1"/>
  <c r="S128" i="5"/>
  <c r="R128" i="5"/>
  <c r="H128" i="5" s="1"/>
  <c r="D128" i="5"/>
  <c r="Q128" i="5"/>
  <c r="C128" i="5"/>
  <c r="E128" i="5" s="1"/>
  <c r="P128" i="5"/>
  <c r="O128" i="5"/>
  <c r="S130" i="5"/>
  <c r="R130" i="5"/>
  <c r="D130" i="5"/>
  <c r="Q130" i="5"/>
  <c r="I130" i="5" s="1"/>
  <c r="C130" i="5"/>
  <c r="E130" i="5" s="1"/>
  <c r="O130" i="5"/>
  <c r="G130" i="5" s="1"/>
  <c r="S132" i="5"/>
  <c r="R132" i="5"/>
  <c r="D132" i="5"/>
  <c r="Q132" i="5"/>
  <c r="C132" i="5"/>
  <c r="P132" i="5"/>
  <c r="O132" i="5"/>
  <c r="S134" i="5"/>
  <c r="R134" i="5"/>
  <c r="H134" i="5" s="1"/>
  <c r="D134" i="5"/>
  <c r="Q134" i="5"/>
  <c r="I134" i="5" s="1"/>
  <c r="C134" i="5"/>
  <c r="E134" i="5" s="1"/>
  <c r="O134" i="5"/>
  <c r="G134" i="5" s="1"/>
  <c r="S136" i="5"/>
  <c r="R136" i="5"/>
  <c r="D136" i="5"/>
  <c r="Q136" i="5"/>
  <c r="C136" i="5"/>
  <c r="E136" i="5" s="1"/>
  <c r="P136" i="5"/>
  <c r="O136" i="5"/>
  <c r="S138" i="5"/>
  <c r="R138" i="5"/>
  <c r="D138" i="5"/>
  <c r="Q138" i="5"/>
  <c r="C138" i="5"/>
  <c r="E138" i="5" s="1"/>
  <c r="O138" i="5"/>
  <c r="S140" i="5"/>
  <c r="R140" i="5"/>
  <c r="H140" i="5" s="1"/>
  <c r="D140" i="5"/>
  <c r="Q140" i="5"/>
  <c r="C140" i="5"/>
  <c r="E140" i="5" s="1"/>
  <c r="P140" i="5"/>
  <c r="O140" i="5"/>
  <c r="G140" i="5" s="1"/>
  <c r="S142" i="5"/>
  <c r="R142" i="5"/>
  <c r="H142" i="5" s="1"/>
  <c r="D142" i="5"/>
  <c r="Q142" i="5"/>
  <c r="I142" i="5" s="1"/>
  <c r="C142" i="5"/>
  <c r="O142" i="5"/>
  <c r="G142" i="5" s="1"/>
  <c r="S144" i="5"/>
  <c r="R144" i="5"/>
  <c r="D144" i="5"/>
  <c r="Q144" i="5"/>
  <c r="C144" i="5"/>
  <c r="P144" i="5"/>
  <c r="O144" i="5"/>
  <c r="S146" i="5"/>
  <c r="R146" i="5"/>
  <c r="D146" i="5"/>
  <c r="Q146" i="5"/>
  <c r="I146" i="5" s="1"/>
  <c r="C146" i="5"/>
  <c r="O146" i="5"/>
  <c r="S148" i="5"/>
  <c r="R148" i="5"/>
  <c r="D148" i="5"/>
  <c r="Q148" i="5"/>
  <c r="C148" i="5"/>
  <c r="E148" i="5" s="1"/>
  <c r="P148" i="5"/>
  <c r="O148" i="5"/>
  <c r="S150" i="5"/>
  <c r="R150" i="5"/>
  <c r="H150" i="5" s="1"/>
  <c r="D150" i="5"/>
  <c r="Q150" i="5"/>
  <c r="I150" i="5" s="1"/>
  <c r="C150" i="5"/>
  <c r="E150" i="5" s="1"/>
  <c r="O150" i="5"/>
  <c r="S152" i="5"/>
  <c r="R152" i="5"/>
  <c r="D152" i="5"/>
  <c r="Q152" i="5"/>
  <c r="C152" i="5"/>
  <c r="P152" i="5"/>
  <c r="O152" i="5"/>
  <c r="G152" i="5" s="1"/>
  <c r="S154" i="5"/>
  <c r="R154" i="5"/>
  <c r="D154" i="5"/>
  <c r="Q154" i="5"/>
  <c r="C154" i="5"/>
  <c r="O154" i="5"/>
  <c r="S156" i="5"/>
  <c r="R156" i="5"/>
  <c r="D156" i="5"/>
  <c r="Q156" i="5"/>
  <c r="C156" i="5"/>
  <c r="E156" i="5" s="1"/>
  <c r="P156" i="5"/>
  <c r="I156" i="5" s="1"/>
  <c r="O156" i="5"/>
  <c r="G156" i="5" s="1"/>
  <c r="S158" i="5"/>
  <c r="R158" i="5"/>
  <c r="D158" i="5"/>
  <c r="Q158" i="5"/>
  <c r="I158" i="5" s="1"/>
  <c r="C158" i="5"/>
  <c r="E158" i="5" s="1"/>
  <c r="O158" i="5"/>
  <c r="S160" i="5"/>
  <c r="R160" i="5"/>
  <c r="H160" i="5" s="1"/>
  <c r="D160" i="5"/>
  <c r="Q160" i="5"/>
  <c r="C160" i="5"/>
  <c r="E160" i="5" s="1"/>
  <c r="P160" i="5"/>
  <c r="I160" i="5" s="1"/>
  <c r="O160" i="5"/>
  <c r="S162" i="5"/>
  <c r="R162" i="5"/>
  <c r="H162" i="5" s="1"/>
  <c r="D162" i="5"/>
  <c r="Q162" i="5"/>
  <c r="C162" i="5"/>
  <c r="E162" i="5" s="1"/>
  <c r="O162" i="5"/>
  <c r="E165" i="5"/>
  <c r="E189" i="5"/>
  <c r="J189" i="5" s="1"/>
  <c r="I162" i="5"/>
  <c r="S174" i="5"/>
  <c r="R174" i="5"/>
  <c r="H174" i="5" s="1"/>
  <c r="D174" i="5"/>
  <c r="Q174" i="5"/>
  <c r="C174" i="5"/>
  <c r="P174" i="5"/>
  <c r="O174" i="5"/>
  <c r="G174" i="5" s="1"/>
  <c r="S186" i="5"/>
  <c r="R186" i="5"/>
  <c r="H186" i="5" s="1"/>
  <c r="D186" i="5"/>
  <c r="Q186" i="5"/>
  <c r="C186" i="5"/>
  <c r="E186" i="5" s="1"/>
  <c r="J186" i="5" s="1"/>
  <c r="P186" i="5"/>
  <c r="O186" i="5"/>
  <c r="G186" i="5" s="1"/>
  <c r="S198" i="5"/>
  <c r="R198" i="5"/>
  <c r="D198" i="5"/>
  <c r="Q198" i="5"/>
  <c r="C198" i="5"/>
  <c r="E198" i="5" s="1"/>
  <c r="P198" i="5"/>
  <c r="O198" i="5"/>
  <c r="S172" i="5"/>
  <c r="R172" i="5"/>
  <c r="D172" i="5"/>
  <c r="Q172" i="5"/>
  <c r="C172" i="5"/>
  <c r="E172" i="5" s="1"/>
  <c r="P172" i="5"/>
  <c r="I172" i="5" s="1"/>
  <c r="O172" i="5"/>
  <c r="S184" i="5"/>
  <c r="R184" i="5"/>
  <c r="H184" i="5" s="1"/>
  <c r="D184" i="5"/>
  <c r="Q184" i="5"/>
  <c r="C184" i="5"/>
  <c r="E184" i="5" s="1"/>
  <c r="J184" i="5" s="1"/>
  <c r="P184" i="5"/>
  <c r="I184" i="5" s="1"/>
  <c r="O184" i="5"/>
  <c r="G184" i="5" s="1"/>
  <c r="S196" i="5"/>
  <c r="R196" i="5"/>
  <c r="D196" i="5"/>
  <c r="Q196" i="5"/>
  <c r="C196" i="5"/>
  <c r="E196" i="5" s="1"/>
  <c r="P196" i="5"/>
  <c r="O196" i="5"/>
  <c r="D120" i="5"/>
  <c r="E120" i="5" s="1"/>
  <c r="J120" i="5" s="1"/>
  <c r="E185" i="5"/>
  <c r="I189" i="5"/>
  <c r="S170" i="5"/>
  <c r="R170" i="5"/>
  <c r="H170" i="5" s="1"/>
  <c r="D170" i="5"/>
  <c r="Q170" i="5"/>
  <c r="C170" i="5"/>
  <c r="E170" i="5" s="1"/>
  <c r="P170" i="5"/>
  <c r="O170" i="5"/>
  <c r="S182" i="5"/>
  <c r="R182" i="5"/>
  <c r="D182" i="5"/>
  <c r="Q182" i="5"/>
  <c r="C182" i="5"/>
  <c r="E182" i="5" s="1"/>
  <c r="P182" i="5"/>
  <c r="I182" i="5" s="1"/>
  <c r="O182" i="5"/>
  <c r="G182" i="5" s="1"/>
  <c r="S194" i="5"/>
  <c r="R194" i="5"/>
  <c r="D194" i="5"/>
  <c r="Q194" i="5"/>
  <c r="C194" i="5"/>
  <c r="E194" i="5" s="1"/>
  <c r="P194" i="5"/>
  <c r="O194" i="5"/>
  <c r="D121" i="5"/>
  <c r="E121" i="5" s="1"/>
  <c r="J121" i="5" s="1"/>
  <c r="R121" i="5"/>
  <c r="H121" i="5" s="1"/>
  <c r="D125" i="5"/>
  <c r="E125" i="5" s="1"/>
  <c r="J125" i="5" s="1"/>
  <c r="R125" i="5"/>
  <c r="H125" i="5" s="1"/>
  <c r="D129" i="5"/>
  <c r="E129" i="5" s="1"/>
  <c r="R129" i="5"/>
  <c r="H129" i="5" s="1"/>
  <c r="D133" i="5"/>
  <c r="E133" i="5" s="1"/>
  <c r="R133" i="5"/>
  <c r="H133" i="5" s="1"/>
  <c r="D137" i="5"/>
  <c r="E137" i="5" s="1"/>
  <c r="R137" i="5"/>
  <c r="H137" i="5" s="1"/>
  <c r="D141" i="5"/>
  <c r="E141" i="5" s="1"/>
  <c r="R141" i="5"/>
  <c r="H141" i="5" s="1"/>
  <c r="D145" i="5"/>
  <c r="E145" i="5" s="1"/>
  <c r="J145" i="5" s="1"/>
  <c r="R145" i="5"/>
  <c r="H145" i="5" s="1"/>
  <c r="D149" i="5"/>
  <c r="E149" i="5" s="1"/>
  <c r="J149" i="5" s="1"/>
  <c r="R149" i="5"/>
  <c r="H149" i="5" s="1"/>
  <c r="D153" i="5"/>
  <c r="E153" i="5" s="1"/>
  <c r="R153" i="5"/>
  <c r="H153" i="5" s="1"/>
  <c r="D157" i="5"/>
  <c r="E157" i="5" s="1"/>
  <c r="R157" i="5"/>
  <c r="H157" i="5" s="1"/>
  <c r="D161" i="5"/>
  <c r="E161" i="5" s="1"/>
  <c r="R161" i="5"/>
  <c r="H161" i="5" s="1"/>
  <c r="D165" i="5"/>
  <c r="R165" i="5"/>
  <c r="D169" i="5"/>
  <c r="E169" i="5" s="1"/>
  <c r="R169" i="5"/>
  <c r="D173" i="5"/>
  <c r="E173" i="5" s="1"/>
  <c r="J173" i="5" s="1"/>
  <c r="R173" i="5"/>
  <c r="H173" i="5" s="1"/>
  <c r="D177" i="5"/>
  <c r="E177" i="5" s="1"/>
  <c r="R177" i="5"/>
  <c r="D181" i="5"/>
  <c r="R181" i="5"/>
  <c r="D185" i="5"/>
  <c r="R185" i="5"/>
  <c r="D189" i="5"/>
  <c r="R189" i="5"/>
  <c r="H189" i="5" s="1"/>
  <c r="D193" i="5"/>
  <c r="E193" i="5" s="1"/>
  <c r="R193" i="5"/>
  <c r="D197" i="5"/>
  <c r="E197" i="5" s="1"/>
  <c r="R197" i="5"/>
  <c r="D201" i="5"/>
  <c r="E201" i="5" s="1"/>
  <c r="R201" i="5"/>
  <c r="O202" i="5"/>
  <c r="G202" i="5" s="1"/>
  <c r="S165" i="5"/>
  <c r="I165" i="5" s="1"/>
  <c r="S169" i="5"/>
  <c r="I169" i="5" s="1"/>
  <c r="S173" i="5"/>
  <c r="I173" i="5" s="1"/>
  <c r="S177" i="5"/>
  <c r="I177" i="5" s="1"/>
  <c r="S181" i="5"/>
  <c r="I181" i="5" s="1"/>
  <c r="S185" i="5"/>
  <c r="I185" i="5" s="1"/>
  <c r="S189" i="5"/>
  <c r="S193" i="5"/>
  <c r="I193" i="5" s="1"/>
  <c r="S197" i="5"/>
  <c r="I197" i="5" s="1"/>
  <c r="S201" i="5"/>
  <c r="I201" i="5" s="1"/>
  <c r="P202" i="5"/>
  <c r="C202" i="5"/>
  <c r="Q202" i="5"/>
  <c r="O123" i="5"/>
  <c r="G123" i="5" s="1"/>
  <c r="O127" i="5"/>
  <c r="G127" i="5" s="1"/>
  <c r="O131" i="5"/>
  <c r="G131" i="5" s="1"/>
  <c r="O135" i="5"/>
  <c r="G135" i="5" s="1"/>
  <c r="O139" i="5"/>
  <c r="G139" i="5" s="1"/>
  <c r="O143" i="5"/>
  <c r="G143" i="5" s="1"/>
  <c r="O147" i="5"/>
  <c r="G147" i="5" s="1"/>
  <c r="O151" i="5"/>
  <c r="G151" i="5" s="1"/>
  <c r="O155" i="5"/>
  <c r="G155" i="5" s="1"/>
  <c r="O159" i="5"/>
  <c r="G159" i="5" s="1"/>
  <c r="O163" i="5"/>
  <c r="G163" i="5" s="1"/>
  <c r="O167" i="5"/>
  <c r="G167" i="5" s="1"/>
  <c r="O171" i="5"/>
  <c r="G171" i="5" s="1"/>
  <c r="O175" i="5"/>
  <c r="G175" i="5" s="1"/>
  <c r="O179" i="5"/>
  <c r="G179" i="5" s="1"/>
  <c r="O183" i="5"/>
  <c r="G183" i="5" s="1"/>
  <c r="O187" i="5"/>
  <c r="G187" i="5" s="1"/>
  <c r="O191" i="5"/>
  <c r="G191" i="5" s="1"/>
  <c r="O195" i="5"/>
  <c r="G195" i="5" s="1"/>
  <c r="O199" i="5"/>
  <c r="G199" i="5" s="1"/>
  <c r="D202" i="5"/>
  <c r="R202" i="5"/>
  <c r="H202" i="5" s="1"/>
  <c r="O203" i="5"/>
  <c r="G203" i="5" s="1"/>
  <c r="P123" i="5"/>
  <c r="I123" i="5" s="1"/>
  <c r="P127" i="5"/>
  <c r="I127" i="5" s="1"/>
  <c r="P131" i="5"/>
  <c r="I131" i="5" s="1"/>
  <c r="P135" i="5"/>
  <c r="I135" i="5" s="1"/>
  <c r="P139" i="5"/>
  <c r="I139" i="5" s="1"/>
  <c r="P143" i="5"/>
  <c r="I143" i="5" s="1"/>
  <c r="P147" i="5"/>
  <c r="I147" i="5" s="1"/>
  <c r="P151" i="5"/>
  <c r="I151" i="5" s="1"/>
  <c r="P155" i="5"/>
  <c r="I155" i="5" s="1"/>
  <c r="P159" i="5"/>
  <c r="I159" i="5" s="1"/>
  <c r="P163" i="5"/>
  <c r="I163" i="5" s="1"/>
  <c r="P167" i="5"/>
  <c r="I167" i="5" s="1"/>
  <c r="P171" i="5"/>
  <c r="I171" i="5" s="1"/>
  <c r="P175" i="5"/>
  <c r="I175" i="5" s="1"/>
  <c r="P179" i="5"/>
  <c r="I179" i="5" s="1"/>
  <c r="P183" i="5"/>
  <c r="I183" i="5" s="1"/>
  <c r="P187" i="5"/>
  <c r="I187" i="5" s="1"/>
  <c r="P191" i="5"/>
  <c r="I191" i="5" s="1"/>
  <c r="P195" i="5"/>
  <c r="I195" i="5" s="1"/>
  <c r="P199" i="5"/>
  <c r="I199" i="5" s="1"/>
  <c r="P203" i="5"/>
  <c r="I203" i="5" s="1"/>
  <c r="D123" i="5"/>
  <c r="E123" i="5" s="1"/>
  <c r="R123" i="5"/>
  <c r="H123" i="5" s="1"/>
  <c r="D127" i="5"/>
  <c r="E127" i="5" s="1"/>
  <c r="R127" i="5"/>
  <c r="H127" i="5" s="1"/>
  <c r="D131" i="5"/>
  <c r="R131" i="5"/>
  <c r="H131" i="5" s="1"/>
  <c r="D135" i="5"/>
  <c r="E135" i="5" s="1"/>
  <c r="R135" i="5"/>
  <c r="H135" i="5" s="1"/>
  <c r="D139" i="5"/>
  <c r="E139" i="5" s="1"/>
  <c r="J139" i="5" s="1"/>
  <c r="R139" i="5"/>
  <c r="H139" i="5" s="1"/>
  <c r="D143" i="5"/>
  <c r="E143" i="5" s="1"/>
  <c r="R143" i="5"/>
  <c r="H143" i="5" s="1"/>
  <c r="D147" i="5"/>
  <c r="E147" i="5" s="1"/>
  <c r="R147" i="5"/>
  <c r="H147" i="5" s="1"/>
  <c r="D151" i="5"/>
  <c r="E151" i="5" s="1"/>
  <c r="R151" i="5"/>
  <c r="H151" i="5" s="1"/>
  <c r="D155" i="5"/>
  <c r="E155" i="5" s="1"/>
  <c r="J155" i="5" s="1"/>
  <c r="R155" i="5"/>
  <c r="H155" i="5" s="1"/>
  <c r="D159" i="5"/>
  <c r="E159" i="5" s="1"/>
  <c r="R159" i="5"/>
  <c r="H159" i="5" s="1"/>
  <c r="D163" i="5"/>
  <c r="R163" i="5"/>
  <c r="H163" i="5" s="1"/>
  <c r="D167" i="5"/>
  <c r="E167" i="5" s="1"/>
  <c r="R167" i="5"/>
  <c r="H167" i="5" s="1"/>
  <c r="D171" i="5"/>
  <c r="E171" i="5" s="1"/>
  <c r="R171" i="5"/>
  <c r="H171" i="5" s="1"/>
  <c r="D175" i="5"/>
  <c r="E175" i="5" s="1"/>
  <c r="R175" i="5"/>
  <c r="H175" i="5" s="1"/>
  <c r="D179" i="5"/>
  <c r="E179" i="5" s="1"/>
  <c r="J179" i="5" s="1"/>
  <c r="R179" i="5"/>
  <c r="H179" i="5" s="1"/>
  <c r="D183" i="5"/>
  <c r="E183" i="5" s="1"/>
  <c r="R183" i="5"/>
  <c r="H183" i="5" s="1"/>
  <c r="D187" i="5"/>
  <c r="E187" i="5" s="1"/>
  <c r="J187" i="5" s="1"/>
  <c r="R187" i="5"/>
  <c r="H187" i="5" s="1"/>
  <c r="D191" i="5"/>
  <c r="E191" i="5" s="1"/>
  <c r="R191" i="5"/>
  <c r="H191" i="5" s="1"/>
  <c r="D195" i="5"/>
  <c r="E195" i="5" s="1"/>
  <c r="R195" i="5"/>
  <c r="H195" i="5" s="1"/>
  <c r="D199" i="5"/>
  <c r="E199" i="5" s="1"/>
  <c r="R199" i="5"/>
  <c r="H199" i="5" s="1"/>
  <c r="D203" i="5"/>
  <c r="E203" i="5" s="1"/>
  <c r="J203" i="5" s="1"/>
  <c r="R203" i="5"/>
  <c r="H203" i="5" s="1"/>
  <c r="O204" i="5"/>
  <c r="G204" i="5" s="1"/>
  <c r="P204" i="5"/>
  <c r="I204" i="5" s="1"/>
  <c r="C204" i="5"/>
  <c r="E204" i="5" s="1"/>
  <c r="Q204" i="5"/>
  <c r="O121" i="5"/>
  <c r="G121" i="5" s="1"/>
  <c r="O125" i="5"/>
  <c r="G125" i="5" s="1"/>
  <c r="O129" i="5"/>
  <c r="G129" i="5" s="1"/>
  <c r="O133" i="5"/>
  <c r="G133" i="5" s="1"/>
  <c r="O137" i="5"/>
  <c r="G137" i="5" s="1"/>
  <c r="O141" i="5"/>
  <c r="G141" i="5" s="1"/>
  <c r="O145" i="5"/>
  <c r="G145" i="5" s="1"/>
  <c r="O149" i="5"/>
  <c r="G149" i="5" s="1"/>
  <c r="O153" i="5"/>
  <c r="G153" i="5" s="1"/>
  <c r="O157" i="5"/>
  <c r="G157" i="5" s="1"/>
  <c r="O161" i="5"/>
  <c r="G161" i="5" s="1"/>
  <c r="O165" i="5"/>
  <c r="O169" i="5"/>
  <c r="G169" i="5" s="1"/>
  <c r="O173" i="5"/>
  <c r="G173" i="5" s="1"/>
  <c r="O177" i="5"/>
  <c r="G177" i="5" s="1"/>
  <c r="O181" i="5"/>
  <c r="G181" i="5" s="1"/>
  <c r="O185" i="5"/>
  <c r="O189" i="5"/>
  <c r="G189" i="5" s="1"/>
  <c r="O193" i="5"/>
  <c r="O197" i="5"/>
  <c r="O201" i="5"/>
  <c r="D204" i="5"/>
  <c r="R204" i="5"/>
  <c r="H204" i="5" s="1"/>
  <c r="J199" i="5" l="1"/>
  <c r="J175" i="5"/>
  <c r="J151" i="5"/>
  <c r="J127" i="5"/>
  <c r="J133" i="5"/>
  <c r="H194" i="5"/>
  <c r="H158" i="5"/>
  <c r="H136" i="5"/>
  <c r="J136" i="5" s="1"/>
  <c r="J101" i="5"/>
  <c r="J131" i="5"/>
  <c r="I38" i="5"/>
  <c r="G84" i="5"/>
  <c r="I6" i="5"/>
  <c r="J60" i="5"/>
  <c r="J123" i="5"/>
  <c r="J153" i="5"/>
  <c r="J129" i="5"/>
  <c r="I154" i="5"/>
  <c r="I93" i="5"/>
  <c r="I88" i="5"/>
  <c r="I70" i="5"/>
  <c r="J171" i="5"/>
  <c r="I138" i="5"/>
  <c r="I106" i="5"/>
  <c r="J163" i="5"/>
  <c r="J48" i="5"/>
  <c r="J59" i="5"/>
  <c r="I49" i="5"/>
  <c r="G9" i="5"/>
  <c r="I152" i="5"/>
  <c r="G148" i="5"/>
  <c r="H81" i="5"/>
  <c r="J81" i="5" s="1"/>
  <c r="J68" i="5"/>
  <c r="I57" i="5"/>
  <c r="G46" i="5"/>
  <c r="J191" i="5"/>
  <c r="J167" i="5"/>
  <c r="J143" i="5"/>
  <c r="G165" i="5"/>
  <c r="H169" i="5"/>
  <c r="J169" i="5" s="1"/>
  <c r="G122" i="5"/>
  <c r="J97" i="5"/>
  <c r="G89" i="5"/>
  <c r="I144" i="5"/>
  <c r="I178" i="5"/>
  <c r="I180" i="5"/>
  <c r="I102" i="5"/>
  <c r="G74" i="5"/>
  <c r="H12" i="5"/>
  <c r="I114" i="5"/>
  <c r="J195" i="5"/>
  <c r="G194" i="5"/>
  <c r="G162" i="5"/>
  <c r="G136" i="5"/>
  <c r="I122" i="5"/>
  <c r="J117" i="5"/>
  <c r="G94" i="5"/>
  <c r="J50" i="5"/>
  <c r="I89" i="5"/>
  <c r="J183" i="5"/>
  <c r="J159" i="5"/>
  <c r="J135" i="5"/>
  <c r="J141" i="5"/>
  <c r="I194" i="5"/>
  <c r="J162" i="5"/>
  <c r="G158" i="5"/>
  <c r="J140" i="5"/>
  <c r="I136" i="5"/>
  <c r="J188" i="5"/>
  <c r="I101" i="5"/>
  <c r="J20" i="5"/>
  <c r="I46" i="5"/>
  <c r="J147" i="5"/>
  <c r="J204" i="5"/>
  <c r="J194" i="5"/>
  <c r="G172" i="5"/>
  <c r="H198" i="5"/>
  <c r="J158" i="5"/>
  <c r="H148" i="5"/>
  <c r="J148" i="5" s="1"/>
  <c r="G128" i="5"/>
  <c r="H122" i="5"/>
  <c r="J122" i="5" s="1"/>
  <c r="I94" i="5"/>
  <c r="I76" i="5"/>
  <c r="I40" i="5"/>
  <c r="G38" i="5"/>
  <c r="H45" i="5"/>
  <c r="J45" i="5" s="1"/>
  <c r="G114" i="5"/>
  <c r="I24" i="5"/>
  <c r="H75" i="5"/>
  <c r="J10" i="5"/>
  <c r="J61" i="5"/>
  <c r="J93" i="5"/>
  <c r="J85" i="5"/>
  <c r="I71" i="5"/>
  <c r="I108" i="5"/>
  <c r="J114" i="5"/>
  <c r="I10" i="5"/>
  <c r="J193" i="5"/>
  <c r="H197" i="5"/>
  <c r="J197" i="5" s="1"/>
  <c r="J160" i="5"/>
  <c r="H146" i="5"/>
  <c r="J134" i="5"/>
  <c r="H124" i="5"/>
  <c r="J176" i="5"/>
  <c r="H190" i="5"/>
  <c r="H192" i="5"/>
  <c r="G106" i="5"/>
  <c r="I118" i="5"/>
  <c r="J118" i="5"/>
  <c r="H72" i="5"/>
  <c r="J72" i="5" s="1"/>
  <c r="E13" i="5"/>
  <c r="J13" i="5" s="1"/>
  <c r="G12" i="5"/>
  <c r="I48" i="5"/>
  <c r="G10" i="5"/>
  <c r="J75" i="5"/>
  <c r="H9" i="5"/>
  <c r="H77" i="5"/>
  <c r="J6" i="5"/>
  <c r="H193" i="5"/>
  <c r="H196" i="5"/>
  <c r="J196" i="5" s="1"/>
  <c r="I186" i="5"/>
  <c r="E152" i="5"/>
  <c r="I148" i="5"/>
  <c r="G144" i="5"/>
  <c r="H138" i="5"/>
  <c r="J138" i="5" s="1"/>
  <c r="E126" i="5"/>
  <c r="G178" i="5"/>
  <c r="H166" i="5"/>
  <c r="J166" i="5" s="1"/>
  <c r="G180" i="5"/>
  <c r="H168" i="5"/>
  <c r="J168" i="5" s="1"/>
  <c r="H94" i="5"/>
  <c r="J108" i="5"/>
  <c r="H42" i="5"/>
  <c r="H89" i="5"/>
  <c r="J89" i="5" s="1"/>
  <c r="H76" i="5"/>
  <c r="E21" i="5"/>
  <c r="J21" i="5" s="1"/>
  <c r="G72" i="5"/>
  <c r="J8" i="5"/>
  <c r="I13" i="5"/>
  <c r="G45" i="5"/>
  <c r="G75" i="5"/>
  <c r="G24" i="5"/>
  <c r="I72" i="5"/>
  <c r="I37" i="5"/>
  <c r="G6" i="5"/>
  <c r="H5" i="5"/>
  <c r="H165" i="5"/>
  <c r="J165" i="5" s="1"/>
  <c r="H182" i="5"/>
  <c r="J182" i="5" s="1"/>
  <c r="H172" i="5"/>
  <c r="H156" i="5"/>
  <c r="J156" i="5" s="1"/>
  <c r="E144" i="5"/>
  <c r="I140" i="5"/>
  <c r="H130" i="5"/>
  <c r="J130" i="5" s="1"/>
  <c r="I188" i="5"/>
  <c r="E178" i="5"/>
  <c r="E180" i="5"/>
  <c r="J180" i="5" s="1"/>
  <c r="J94" i="5"/>
  <c r="I112" i="5"/>
  <c r="E76" i="5"/>
  <c r="J76" i="5" s="1"/>
  <c r="G40" i="5"/>
  <c r="E70" i="5"/>
  <c r="J28" i="5"/>
  <c r="I30" i="5"/>
  <c r="G5" i="5"/>
  <c r="H70" i="5"/>
  <c r="J106" i="5"/>
  <c r="H152" i="5"/>
  <c r="G132" i="5"/>
  <c r="H126" i="5"/>
  <c r="G164" i="5"/>
  <c r="H106" i="5"/>
  <c r="G102" i="5"/>
  <c r="H69" i="5"/>
  <c r="J69" i="5" s="1"/>
  <c r="J86" i="5"/>
  <c r="E112" i="5"/>
  <c r="J112" i="5" s="1"/>
  <c r="E78" i="5"/>
  <c r="J78" i="5" s="1"/>
  <c r="I42" i="5"/>
  <c r="E16" i="5"/>
  <c r="J16" i="5" s="1"/>
  <c r="E63" i="5"/>
  <c r="J63" i="5" s="1"/>
  <c r="E74" i="5"/>
  <c r="J74" i="5" s="1"/>
  <c r="I59" i="5"/>
  <c r="I28" i="5"/>
  <c r="G70" i="5"/>
  <c r="J98" i="5"/>
  <c r="H65" i="5"/>
  <c r="G154" i="5"/>
  <c r="I132" i="5"/>
  <c r="I164" i="5"/>
  <c r="I105" i="5"/>
  <c r="J102" i="5"/>
  <c r="G110" i="5"/>
  <c r="H46" i="5"/>
  <c r="E18" i="5"/>
  <c r="J18" i="5" s="1"/>
  <c r="G25" i="5"/>
  <c r="I26" i="5"/>
  <c r="H185" i="5"/>
  <c r="J185" i="5" s="1"/>
  <c r="G170" i="5"/>
  <c r="G198" i="5"/>
  <c r="G193" i="5"/>
  <c r="J161" i="5"/>
  <c r="J137" i="5"/>
  <c r="I170" i="5"/>
  <c r="I198" i="5"/>
  <c r="E154" i="5"/>
  <c r="G150" i="5"/>
  <c r="H144" i="5"/>
  <c r="E132" i="5"/>
  <c r="I128" i="5"/>
  <c r="G124" i="5"/>
  <c r="E164" i="5"/>
  <c r="G190" i="5"/>
  <c r="H178" i="5"/>
  <c r="G192" i="5"/>
  <c r="H180" i="5"/>
  <c r="J73" i="5"/>
  <c r="E110" i="5"/>
  <c r="J110" i="5" s="1"/>
  <c r="I67" i="5"/>
  <c r="J84" i="5"/>
  <c r="J26" i="5"/>
  <c r="I36" i="5"/>
  <c r="J14" i="5"/>
  <c r="H38" i="5"/>
  <c r="G57" i="5"/>
  <c r="I79" i="5"/>
  <c r="I20" i="5"/>
  <c r="I74" i="5"/>
  <c r="G201" i="5"/>
  <c r="H181" i="5"/>
  <c r="J181" i="5" s="1"/>
  <c r="J170" i="5"/>
  <c r="J198" i="5"/>
  <c r="J150" i="5"/>
  <c r="G146" i="5"/>
  <c r="J128" i="5"/>
  <c r="I124" i="5"/>
  <c r="I190" i="5"/>
  <c r="I192" i="5"/>
  <c r="H102" i="5"/>
  <c r="G71" i="5"/>
  <c r="I60" i="5"/>
  <c r="I65" i="5"/>
  <c r="E38" i="5"/>
  <c r="E42" i="5"/>
  <c r="J42" i="5" s="1"/>
  <c r="H90" i="5"/>
  <c r="J90" i="5" s="1"/>
  <c r="I12" i="5"/>
  <c r="G18" i="5"/>
  <c r="I54" i="5"/>
  <c r="E24" i="5"/>
  <c r="J24" i="5" s="1"/>
  <c r="E25" i="5"/>
  <c r="J25" i="5" s="1"/>
  <c r="E9" i="5"/>
  <c r="G185" i="5"/>
  <c r="E202" i="5"/>
  <c r="J202" i="5" s="1"/>
  <c r="J157" i="5"/>
  <c r="G196" i="5"/>
  <c r="I174" i="5"/>
  <c r="E146" i="5"/>
  <c r="E124" i="5"/>
  <c r="I200" i="5"/>
  <c r="E190" i="5"/>
  <c r="J190" i="5" s="1"/>
  <c r="G166" i="5"/>
  <c r="E192" i="5"/>
  <c r="G168" i="5"/>
  <c r="I69" i="5"/>
  <c r="G69" i="5"/>
  <c r="G67" i="5"/>
  <c r="I34" i="5"/>
  <c r="H57" i="5"/>
  <c r="J57" i="5" s="1"/>
  <c r="J12" i="5"/>
  <c r="I77" i="5"/>
  <c r="I16" i="5"/>
  <c r="J5" i="5"/>
  <c r="I81" i="5"/>
  <c r="H36" i="5"/>
  <c r="G36" i="5"/>
  <c r="J172" i="5"/>
  <c r="I110" i="5"/>
  <c r="G197" i="5"/>
  <c r="I202" i="5"/>
  <c r="H201" i="5"/>
  <c r="J201" i="5" s="1"/>
  <c r="H177" i="5"/>
  <c r="J177" i="5" s="1"/>
  <c r="I196" i="5"/>
  <c r="E174" i="5"/>
  <c r="J174" i="5" s="1"/>
  <c r="G160" i="5"/>
  <c r="H154" i="5"/>
  <c r="E142" i="5"/>
  <c r="J142" i="5" s="1"/>
  <c r="G138" i="5"/>
  <c r="H132" i="5"/>
  <c r="E200" i="5"/>
  <c r="J200" i="5" s="1"/>
  <c r="H164" i="5"/>
  <c r="I166" i="5"/>
  <c r="I168" i="5"/>
  <c r="G98" i="5"/>
  <c r="H71" i="5"/>
  <c r="J71" i="5" s="1"/>
  <c r="G108" i="5"/>
  <c r="I64" i="5"/>
  <c r="J36" i="5"/>
  <c r="E65" i="5"/>
  <c r="I44" i="5"/>
  <c r="G90" i="5"/>
  <c r="E46" i="5"/>
  <c r="H62" i="5"/>
  <c r="J62" i="5" s="1"/>
  <c r="E77" i="5"/>
  <c r="J77" i="5" s="1"/>
  <c r="G48" i="5"/>
  <c r="H49" i="5"/>
  <c r="J49" i="5" s="1"/>
  <c r="E22" i="5"/>
  <c r="J22" i="5" s="1"/>
  <c r="I25" i="5"/>
  <c r="J65" i="5" l="1"/>
  <c r="J192" i="5"/>
  <c r="J164" i="5"/>
  <c r="J146" i="5"/>
  <c r="J132" i="5"/>
  <c r="J178" i="5"/>
  <c r="J38" i="5"/>
  <c r="J152" i="5"/>
  <c r="J126" i="5"/>
  <c r="J46" i="5"/>
  <c r="J124" i="5"/>
  <c r="J154" i="5"/>
  <c r="J144" i="5"/>
  <c r="J9" i="5"/>
  <c r="J7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B6DE1-6E39-47CB-A0B9-CBC706813A02}" keepAlive="1" name="查询 - fnFinnhubValuation" description="与工作簿中“fnFinnhubValuation”查询的连接。" type="5" refreshedVersion="0" background="1">
    <dbPr connection="Provider=Microsoft.Mashup.OleDb.1;Data Source=$Workbook$;Location=fnFinnhubValuation;Extended Properties=&quot;&quot;" command="SELECT * FROM [fnFinnhubValuation]"/>
  </connection>
  <connection id="2" xr16:uid="{8874B576-E107-4620-B20F-B15D644FFD1D}" keepAlive="1" name="查询 - qEarningsRaw" description="与工作簿中“qEarningsRaw”查询的连接。" type="5" refreshedVersion="8" background="1" saveData="1">
    <dbPr connection="Provider=Microsoft.Mashup.OleDb.1;Data Source=$Workbook$;Location=qEarningsRaw;Extended Properties=&quot;&quot;" command="SELECT * FROM [qEarningsRaw]"/>
  </connection>
  <connection id="3" xr16:uid="{FD7A8295-1445-41E0-8832-0FCBC117E5C9}" keepAlive="1" name="查询 - qPricesRaw" description="与工作簿中“qPricesRaw”查询的连接。" type="5" refreshedVersion="8" background="1" saveData="1">
    <dbPr connection="Provider=Microsoft.Mashup.OleDb.1;Data Source=$Workbook$;Location=qPricesRaw;Extended Properties=&quot;&quot;" command="SELECT * FROM [qPricesRaw]"/>
  </connection>
  <connection id="4" xr16:uid="{3278A3B9-42AA-427D-9D5D-0B5B9E3926FC}" keepAlive="1" name="查询 - 调用的函数" description="与工作簿中“调用的函数”查询的连接。" type="5" refreshedVersion="0" background="1">
    <dbPr connection="Provider=Microsoft.Mashup.OleDb.1;Data Source=$Workbook$;Location=调用的函数;Extended Properties=&quot;&quot;" command="SELECT * FROM [调用的函数]"/>
  </connection>
</connections>
</file>

<file path=xl/sharedStrings.xml><?xml version="1.0" encoding="utf-8"?>
<sst xmlns="http://schemas.openxmlformats.org/spreadsheetml/2006/main" count="4249" uniqueCount="2129">
  <si>
    <t>Mag7 财报自动跟踪器（Power Query + 公式）</t>
  </si>
  <si>
    <t>使用方法：填写 API_TOKEN / 起止日期 → Data(数据) &gt; Refresh All(全部刷新)。</t>
  </si>
  <si>
    <t>Parameter</t>
  </si>
  <si>
    <t>Value</t>
  </si>
  <si>
    <t>说明</t>
  </si>
  <si>
    <t>API_TOKEN</t>
  </si>
  <si>
    <t/>
  </si>
  <si>
    <t>Finnhub API token（必填）</t>
  </si>
  <si>
    <t>START_DATE</t>
  </si>
  <si>
    <t>价格数据起始日期（YYYY-MM-DD）</t>
  </si>
  <si>
    <t>END_DATE</t>
  </si>
  <si>
    <t>价格数据结束日期（YYYY-MM-DD）</t>
  </si>
  <si>
    <t>EARNINGS_LOOKBACK</t>
  </si>
  <si>
    <t>拉取最近多少期财报（建议 8~40）</t>
  </si>
  <si>
    <t>PROVIDER</t>
  </si>
  <si>
    <t>Finnhub</t>
  </si>
  <si>
    <t>当前模板的 M 代码默认 Finnhub</t>
  </si>
  <si>
    <t>跟踪标的（默认 Mag7，可自行增删）</t>
  </si>
  <si>
    <t>Ticker</t>
  </si>
  <si>
    <t>Company</t>
  </si>
  <si>
    <t>Notes</t>
  </si>
  <si>
    <t>AAPL</t>
  </si>
  <si>
    <t>Apple</t>
  </si>
  <si>
    <t>MSFT</t>
  </si>
  <si>
    <t>Microsoft</t>
  </si>
  <si>
    <t>GOOGL</t>
  </si>
  <si>
    <t>Alphabet (Class A)</t>
  </si>
  <si>
    <t>AMZN</t>
  </si>
  <si>
    <t>Amazon</t>
  </si>
  <si>
    <t>META</t>
  </si>
  <si>
    <t>Meta Platforms</t>
  </si>
  <si>
    <t>NVDA</t>
  </si>
  <si>
    <t>NVIDIA</t>
  </si>
  <si>
    <t>TSLA</t>
  </si>
  <si>
    <t>Tesla</t>
  </si>
  <si>
    <t>Power Query 输出：财报数据（请不要手动修改，刷新会覆盖）</t>
  </si>
  <si>
    <t>Key</t>
  </si>
  <si>
    <t>ReportDate</t>
  </si>
  <si>
    <t>EPS_Actual</t>
  </si>
  <si>
    <t>EPS_Estimate</t>
  </si>
  <si>
    <t>Revenue_Actual</t>
  </si>
  <si>
    <t>Revenue_Estimate</t>
  </si>
  <si>
    <t>SurprisePct</t>
  </si>
  <si>
    <t>AAPL|2025-01-30</t>
  </si>
  <si>
    <t>2025-01-30</t>
  </si>
  <si>
    <t>Power Query 输出：日线价格数据（含 PrevClose，用于计算 Gap/收盘反应）</t>
  </si>
  <si>
    <t>Date</t>
  </si>
  <si>
    <t>Open</t>
  </si>
  <si>
    <t>High</t>
  </si>
  <si>
    <t>Low</t>
  </si>
  <si>
    <t>Close</t>
  </si>
  <si>
    <t>PrevClose</t>
  </si>
  <si>
    <t>AAPL|2025-01-29</t>
  </si>
  <si>
    <t>价格行动（财报后反应）— 自动版（Mag7 示例）</t>
  </si>
  <si>
    <t>填写：日期(财报对应交易日) + Ticker + 指引方向(-1/0/1) + 备注；其余字段自动填充。</t>
  </si>
  <si>
    <t>日期</t>
  </si>
  <si>
    <t>EPS实际</t>
  </si>
  <si>
    <t>EPS预期</t>
  </si>
  <si>
    <t>Surprise%</t>
  </si>
  <si>
    <t>指引方向(-1/0/1)</t>
  </si>
  <si>
    <t>开盘Gap%</t>
  </si>
  <si>
    <t>收盘反应%</t>
  </si>
  <si>
    <t>盘中振幅%</t>
  </si>
  <si>
    <t>类型（公式）</t>
  </si>
  <si>
    <t>板块联动(0-1)</t>
  </si>
  <si>
    <t>行为评分</t>
  </si>
  <si>
    <t>备注</t>
  </si>
  <si>
    <t>Power Query（M）代码 - 复制到 Excel：Data &gt; Get Data &gt; From Other Sources &gt; Blank Query &gt; Advanced Editor</t>
  </si>
  <si>
    <t>【步骤】</t>
  </si>
  <si>
    <t>1) 在 Settings 表填好 API_TOKEN / START_DATE / END_DATE / EARNINGS_LOOKBACK</t>
  </si>
  <si>
    <t>2) Excel 菜单：数据(Data) → 获取数据(Get Data) → 从其他来源(From Other Sources) → 空白查询(Blank Query)</t>
  </si>
  <si>
    <t>3) 高级编辑器(Advanced Editor)粘贴下方 ‘EarningsRaw 查询’ 的 M 代码，命名为 qEarningsRaw，加载到表：EarningsRaw!tblEarningsRaw</t>
  </si>
  <si>
    <t>4) 同样方式粘贴 ‘PricesRaw 查询’ 的 M 代码，命名为 qPricesRaw，加载到表：PricesRaw!tblPricesRaw</t>
  </si>
  <si>
    <t>5) 刷新全部(Refresh All)。然后在 Tracker 表填 日期+Ticker 即可自动回填。</t>
  </si>
  <si>
    <t>【注意】Finnhub 免费额度有限，建议先缩短起止日期或减少标的。</t>
  </si>
  <si>
    <t>----- EarningsRaw 查询（命名：qEarningsRaw）-----</t>
  </si>
  <si>
    <t>----- PricesRaw 查询（命名：qPricesRaw）-----</t>
  </si>
  <si>
    <t>快速上手</t>
  </si>
  <si>
    <t>1) 去 Finnhub 注册并创建 API token（免费档即可）。</t>
  </si>
  <si>
    <t>2) 打开 Settings 表，把 token 粘贴到 API_TOKEN。</t>
  </si>
  <si>
    <t>3) 设置 START_DATE / END_DATE（建议覆盖财报季范围即可）。</t>
  </si>
  <si>
    <t>4) 打开 PQ_M_Code 表，按步骤创建 2 个查询并分别加载到 EarningsRaw 和 PricesRaw 的表格里。</t>
  </si>
  <si>
    <t>5) Data → Refresh All。</t>
  </si>
  <si>
    <t>6) 在 Tracker 表逐行输入：日期（财报对应交易日）+ Ticker + 指引方向(-1/0/1) + 备注。</t>
  </si>
  <si>
    <t>7) 其余字段会自动回填：EPS、开盘Gap、收盘反应、类型、评分、板块联动。</t>
  </si>
  <si>
    <t>常见问题</t>
  </si>
  <si>
    <t>• 如果 PricesRaw 没有数据：检查 token、日期范围、以及 Finnhub 当日是否返回 s=ok。</t>
  </si>
  <si>
    <t>• 如果 Tracker 回填为空：确保日期是交易日，并且 Key=Ticker|YYYY-MM-DD 与 Raw 表一致。</t>
  </si>
  <si>
    <t>• 指引方向需要手工：财报新闻里管理层指引通常需要人工判定（-1/0/1）。</t>
  </si>
  <si>
    <t>• 如果你想把“指引”也自动化：需要接入付费数据源或用文本抽取（我也可以给你升级方案）。</t>
  </si>
  <si>
    <t xml:space="preserve">// ===== qEarningsRaw (Finnhub) =====
let
    Settings = Excel.CurrentWorkbook(){[Name="tblSettings"]}[Content],
    Token = Text.From(Settings{[Parameter="API_TOKEN"]}[Value]),
    Lookback = Number.From(Settings{[Parameter="EARNINGS_LOOKBACK"]}[Value]),
    TickersTbl = Excel.CurrentWorkbook(){[Name="tblTickers"]}[Content],
    Tickers = List.Transform(TickersTbl[Ticker], each Text.Upper(Text.Trim(_))),
    GetOne = (sym as text) as table =&gt;
        let
            Url = "https://finnhub.io/api/v1/stock/earnings?symbol=" &amp; sym &amp; "&amp;token=" &amp; Token,
            Json = Json.Document(Web.Contents(Url)),
            Tbl = if Json is list then Table.FromList(Json, Splitter.SplitByNothing(), null, null, ExtraValues.Error) else #table({},{}),
            Expand = if Table.IsEmpty(Tbl) then Tbl else Table.ExpandRecordColumn(Tbl, "Column1",
                {"period","quarter","year","actual","estimate","surprise","surprisePercent","revenueActual","revenueEstimate"},
                {"period","quarter","year","EPS_Actual","EPS_Estimate","surprise","SurprisePct","Revenue_Actual","Revenue_Estimate"}),
            AddTicker = Table.AddColumn(Expand, "Ticker", each sym, type text),
            Keep = Table.SelectColumns(AddTicker, {"Ticker","period","EPS_Actual","EPS_Estimate","Revenue_Actual","Revenue_Estimate","SurprisePct"}),
            Rename = Table.RenameColumns(Keep, {{"period","ReportDate"}}),
            TopN = Table.FirstN(Rename, Lookback),
            Key = Table.AddColumn(TopN, "Key", each [Ticker] &amp; "|" &amp; Date.ToText(Date.From([ReportDate]), "yyyy-MM-dd"), type text),
            Reorder = Table.ReorderColumns(Key, {"Key","Ticker","ReportDate","EPS_Actual","EPS_Estimate","Revenue_Actual","Revenue_Estimate","SurprisePct"})
        in
            Reorder,
    Tables = List.Transform(Tickers, each GetOne(_)),
    Combined = Table.Combine(Tables),
    CleanDate = Table.TransformColumns(Combined, {{"ReportDate", each Date.From(_), type date}})
in
    CleanDate
</t>
    <phoneticPr fontId="8" type="noConversion"/>
  </si>
  <si>
    <t>AAPL|2025-12-31</t>
  </si>
  <si>
    <t>AAPL|2025-09-30</t>
  </si>
  <si>
    <t>AAPL|2025-06-30</t>
  </si>
  <si>
    <t>AAPL|2025-03-31</t>
  </si>
  <si>
    <t>MSFT|2025-12-31</t>
  </si>
  <si>
    <t>MSFT|2025-09-30</t>
  </si>
  <si>
    <t>MSFT|2025-06-30</t>
  </si>
  <si>
    <t>MSFT|2025-03-31</t>
  </si>
  <si>
    <t>GOOGL|2025-12-31</t>
  </si>
  <si>
    <t>GOOGL|2025-09-30</t>
  </si>
  <si>
    <t>GOOGL|2025-06-30</t>
  </si>
  <si>
    <t>GOOGL|2025-03-31</t>
  </si>
  <si>
    <t>AMZN|2025-12-31</t>
  </si>
  <si>
    <t>AMZN|2025-09-30</t>
  </si>
  <si>
    <t>AMZN|2025-06-30</t>
  </si>
  <si>
    <t>AMZN|2025-03-31</t>
  </si>
  <si>
    <t>META|2025-12-31</t>
  </si>
  <si>
    <t>META|2025-09-30</t>
  </si>
  <si>
    <t>META|2025-06-30</t>
  </si>
  <si>
    <t>META|2025-03-31</t>
  </si>
  <si>
    <t>NVDA|2025-12-31</t>
  </si>
  <si>
    <t>NVDA|2025-09-30</t>
  </si>
  <si>
    <t>NVDA|2025-06-30</t>
  </si>
  <si>
    <t>NVDA|2025-03-31</t>
  </si>
  <si>
    <t>TSLA|2025-12-31</t>
  </si>
  <si>
    <t>TSLA|2025-09-30</t>
  </si>
  <si>
    <t>TSLA|2025-06-30</t>
  </si>
  <si>
    <t>TSLA|2025-03-31</t>
  </si>
  <si>
    <t xml:space="preserve">// ===== qPricesRaw (Finnhub) =====
let
    Settings = Excel.CurrentWorkbook(){[Name="tblSettings"]}[Content],
    Token = Text.From(Settings{[Parameter="API_TOKEN"]}[Value]),
    StartDate = Date.From(Settings{[Parameter="START_DATE"]}[Value]),
    EndDate = Date.From(Settings{[Parameter="END_DATE"]}[Value]),
    // buffer 10 days to help prev close around weekends/holidays
    StartBuf = Date.AddDays(StartDate, -10),
    EndBuf = Date.AddDays(EndDate, 10),
    FromUnix = Number.RoundDown(Duration.TotalSeconds(DateTime.From(StartBuf) - #datetime(1970,1,1,0,0,0))),
    ToUnix = Number.RoundDown(Duration.TotalSeconds(DateTime.From(EndBuf) - #datetime(1970,1,1,0,0,0))),
    TickersTbl = Excel.CurrentWorkbook(){[Name="tblTickers"]}[Content],
    Tickers = List.Transform(TickersTbl[Ticker], each Text.Upper(Text.Trim(_))),
    CandlesToTable = (sym as text) as table =&gt;
        let
            Url = "https://finnhub.io/api/v1/stock/candle?symbol=" &amp; sym &amp; "&amp;resolution=D&amp;from=" &amp; Number.ToText(FromUnix) &amp; "&amp;to=" &amp; Number.ToText(ToUnix) &amp; "&amp;token=" &amp; Token,
            Json = Json.Document(Web.Contents(Url)),
            Status = try Text.From(Record.Field(Json, "s")) otherwise "no",
            T = if Status="ok" then Record.Field(Json,"t") else {},
            O = if Status="ok" then Record.Field(Json,"o") else {},
            H = if Status="ok" then Record.Field(Json,"h") else {},
            L = if Status="ok" then Record.Field(Json,"l") else {},
            C = if Status="ok" then Record.Field(Json,"c") else {},
            Tbl = Table.FromColumns({T,O,H,L,C}, {"t","Open","High","Low","Close"}),
            AddDate = Table.AddColumn(Tbl, "Date", each Date.From(DateTimeZone.FromUnixTime([t])), type date),
            AddTicker = Table.AddColumn(AddDate, "Ticker", each sym, type text),
            Sort = Table.Sort(AddTicker, {{"Date", Order.Ascending}}),
            // PrevClose = previous row close per ticker
            AddIndex = Table.AddIndexColumn(Sort, "ix", 0, 1, Int64.Type),
            Prev = Table.AddColumn(AddIndex, "PrevClose", each try AddIndex{[ix]-1}[Close] otherwise null, type number),
            Key = Table.AddColumn(Prev, "Key", each [Ticker] &amp; "|" &amp; Date.ToText([Date], "yyyy-MM-dd"), type text),
            Keep = Table.SelectColumns(Key, {"Key","Ticker","Date","Open","High","Low","Close","PrevClose"})
        in
            Keep,
    Tables = List.Transform(Tickers, each CandlesToTable(_)),
    Combined = Table.Combine(Tables),
    Filter = Table.SelectRows(Combined, each [Date] &gt;= StartDate and [Date] &lt;= EndDate)
in
    Filter
</t>
    <phoneticPr fontId="8" type="noConversion"/>
  </si>
  <si>
    <t>d65ul8pr01qiish14p3gd65ul8pr01qiish14p40</t>
    <phoneticPr fontId="8" type="noConversion"/>
  </si>
  <si>
    <t>AAPL|2024-12-24</t>
  </si>
  <si>
    <t>AAPL|2024-12-26</t>
  </si>
  <si>
    <t>AAPL|2024-12-27</t>
  </si>
  <si>
    <t>AAPL|2024-12-30</t>
  </si>
  <si>
    <t>AAPL|2024-12-31</t>
  </si>
  <si>
    <t>AAPL|2025-01-02</t>
  </si>
  <si>
    <t>AAPL|2025-01-03</t>
  </si>
  <si>
    <t>AAPL|2025-01-06</t>
  </si>
  <si>
    <t>AAPL|2025-01-07</t>
  </si>
  <si>
    <t>AAPL|2025-01-08</t>
  </si>
  <si>
    <t>AAPL|2025-01-10</t>
  </si>
  <si>
    <t>AAPL|2025-01-13</t>
  </si>
  <si>
    <t>AAPL|2025-01-14</t>
  </si>
  <si>
    <t>AAPL|2025-01-15</t>
  </si>
  <si>
    <t>AAPL|2025-01-16</t>
  </si>
  <si>
    <t>AAPL|2025-01-17</t>
  </si>
  <si>
    <t>AAPL|2025-01-21</t>
  </si>
  <si>
    <t>AAPL|2025-01-22</t>
  </si>
  <si>
    <t>AAPL|2025-01-23</t>
  </si>
  <si>
    <t>AAPL|2025-01-24</t>
  </si>
  <si>
    <t>AAPL|2025-01-27</t>
  </si>
  <si>
    <t>AAPL|2025-01-28</t>
  </si>
  <si>
    <t>AAPL|2025-01-31</t>
  </si>
  <si>
    <t>AAPL|2025-02-03</t>
  </si>
  <si>
    <t>AAPL|2025-02-04</t>
  </si>
  <si>
    <t>AAPL|2025-02-05</t>
  </si>
  <si>
    <t>AAPL|2025-02-06</t>
  </si>
  <si>
    <t>AAPL|2025-02-07</t>
  </si>
  <si>
    <t>AAPL|2025-02-10</t>
  </si>
  <si>
    <t>AAPL|2025-02-11</t>
  </si>
  <si>
    <t>AAPL|2025-02-12</t>
  </si>
  <si>
    <t>AAPL|2025-02-13</t>
  </si>
  <si>
    <t>AAPL|2025-02-14</t>
  </si>
  <si>
    <t>AAPL|2025-02-18</t>
  </si>
  <si>
    <t>AAPL|2025-02-19</t>
  </si>
  <si>
    <t>AAPL|2025-02-20</t>
  </si>
  <si>
    <t>AAPL|2025-02-21</t>
  </si>
  <si>
    <t>AAPL|2025-02-24</t>
  </si>
  <si>
    <t>AAPL|2025-02-25</t>
  </si>
  <si>
    <t>AAPL|2025-02-26</t>
  </si>
  <si>
    <t>AAPL|2025-02-27</t>
  </si>
  <si>
    <t>AAPL|2025-02-28</t>
  </si>
  <si>
    <t>AAPL|2025-03-03</t>
  </si>
  <si>
    <t>AAPL|2025-03-04</t>
  </si>
  <si>
    <t>AAPL|2025-03-05</t>
  </si>
  <si>
    <t>AAPL|2025-03-06</t>
  </si>
  <si>
    <t>AAPL|2025-03-07</t>
  </si>
  <si>
    <t>AAPL|2025-03-10</t>
  </si>
  <si>
    <t>AAPL|2025-03-11</t>
  </si>
  <si>
    <t>AAPL|2025-03-12</t>
  </si>
  <si>
    <t>AAPL|2025-03-13</t>
  </si>
  <si>
    <t>AAPL|2025-03-14</t>
  </si>
  <si>
    <t>AAPL|2025-03-17</t>
  </si>
  <si>
    <t>AAPL|2025-03-18</t>
  </si>
  <si>
    <t>AAPL|2025-03-19</t>
  </si>
  <si>
    <t>AAPL|2025-03-20</t>
  </si>
  <si>
    <t>AAPL|2025-03-21</t>
  </si>
  <si>
    <t>AAPL|2025-03-24</t>
  </si>
  <si>
    <t>AAPL|2025-03-25</t>
  </si>
  <si>
    <t>AAPL|2025-03-26</t>
  </si>
  <si>
    <t>AAPL|2025-03-27</t>
  </si>
  <si>
    <t>AAPL|2025-03-28</t>
  </si>
  <si>
    <t>AAPL|2025-04-01</t>
  </si>
  <si>
    <t>AAPL|2025-04-02</t>
  </si>
  <si>
    <t>AAPL|2025-04-03</t>
  </si>
  <si>
    <t>AAPL|2025-04-04</t>
  </si>
  <si>
    <t>AAPL|2025-04-07</t>
  </si>
  <si>
    <t>AAPL|2025-04-08</t>
  </si>
  <si>
    <t>AAPL|2025-04-09</t>
  </si>
  <si>
    <t>AAPL|2025-04-10</t>
  </si>
  <si>
    <t>AAPL|2025-04-11</t>
  </si>
  <si>
    <t>AAPL|2025-04-14</t>
  </si>
  <si>
    <t>AAPL|2025-04-15</t>
  </si>
  <si>
    <t>AAPL|2025-04-16</t>
  </si>
  <si>
    <t>AAPL|2025-04-17</t>
  </si>
  <si>
    <t>AAPL|2025-04-21</t>
  </si>
  <si>
    <t>AAPL|2025-04-22</t>
  </si>
  <si>
    <t>AAPL|2025-04-23</t>
  </si>
  <si>
    <t>AAPL|2025-04-24</t>
  </si>
  <si>
    <t>AAPL|2025-04-25</t>
  </si>
  <si>
    <t>AAPL|2025-04-28</t>
  </si>
  <si>
    <t>AAPL|2025-04-29</t>
  </si>
  <si>
    <t>AAPL|2025-04-30</t>
  </si>
  <si>
    <t>AAPL|2025-05-01</t>
  </si>
  <si>
    <t>AAPL|2025-05-02</t>
  </si>
  <si>
    <t>AAPL|2025-05-05</t>
  </si>
  <si>
    <t>AAPL|2025-05-06</t>
  </si>
  <si>
    <t>AAPL|2025-05-07</t>
  </si>
  <si>
    <t>AAPL|2025-05-08</t>
  </si>
  <si>
    <t>AAPL|2025-05-09</t>
  </si>
  <si>
    <t>AAPL|2025-05-12</t>
  </si>
  <si>
    <t>AAPL|2025-05-13</t>
  </si>
  <si>
    <t>AAPL|2025-05-14</t>
  </si>
  <si>
    <t>AAPL|2025-05-15</t>
  </si>
  <si>
    <t>AAPL|2025-05-16</t>
  </si>
  <si>
    <t>AAPL|2025-05-19</t>
  </si>
  <si>
    <t>AAPL|2025-05-20</t>
  </si>
  <si>
    <t>AAPL|2025-05-21</t>
  </si>
  <si>
    <t>AAPL|2025-05-22</t>
  </si>
  <si>
    <t>AAPL|2025-05-23</t>
  </si>
  <si>
    <t>AAPL|2025-05-27</t>
  </si>
  <si>
    <t>AAPL|2025-05-28</t>
  </si>
  <si>
    <t>AAPL|2025-05-29</t>
  </si>
  <si>
    <t>AAPL|2025-05-30</t>
  </si>
  <si>
    <t>AAPL|2025-06-02</t>
  </si>
  <si>
    <t>AAPL|2025-06-03</t>
  </si>
  <si>
    <t>AAPL|2025-06-04</t>
  </si>
  <si>
    <t>AAPL|2025-06-05</t>
  </si>
  <si>
    <t>AAPL|2025-06-06</t>
  </si>
  <si>
    <t>AAPL|2025-06-09</t>
  </si>
  <si>
    <t>AAPL|2025-06-10</t>
  </si>
  <si>
    <t>AAPL|2025-06-11</t>
  </si>
  <si>
    <t>AAPL|2025-06-12</t>
  </si>
  <si>
    <t>AAPL|2025-06-13</t>
  </si>
  <si>
    <t>AAPL|2025-06-16</t>
  </si>
  <si>
    <t>AAPL|2025-06-17</t>
  </si>
  <si>
    <t>AAPL|2025-06-18</t>
  </si>
  <si>
    <t>AAPL|2025-06-20</t>
  </si>
  <si>
    <t>AAPL|2025-06-23</t>
  </si>
  <si>
    <t>AAPL|2025-06-24</t>
  </si>
  <si>
    <t>AAPL|2025-06-25</t>
  </si>
  <si>
    <t>AAPL|2025-06-26</t>
  </si>
  <si>
    <t>AAPL|2025-06-27</t>
  </si>
  <si>
    <t>AAPL|2025-07-01</t>
  </si>
  <si>
    <t>AAPL|2025-07-02</t>
  </si>
  <si>
    <t>AAPL|2025-07-03</t>
  </si>
  <si>
    <t>AAPL|2025-07-07</t>
  </si>
  <si>
    <t>AAPL|2025-07-08</t>
  </si>
  <si>
    <t>AAPL|2025-07-09</t>
  </si>
  <si>
    <t>AAPL|2025-07-10</t>
  </si>
  <si>
    <t>AAPL|2025-07-11</t>
  </si>
  <si>
    <t>AAPL|2025-07-14</t>
  </si>
  <si>
    <t>AAPL|2025-07-15</t>
  </si>
  <si>
    <t>AAPL|2025-07-16</t>
  </si>
  <si>
    <t>AAPL|2025-07-17</t>
  </si>
  <si>
    <t>AAPL|2025-07-18</t>
  </si>
  <si>
    <t>AAPL|2025-07-21</t>
  </si>
  <si>
    <t>AAPL|2025-07-22</t>
  </si>
  <si>
    <t>AAPL|2025-07-23</t>
  </si>
  <si>
    <t>AAPL|2025-07-24</t>
  </si>
  <si>
    <t>AAPL|2025-07-25</t>
  </si>
  <si>
    <t>AAPL|2025-07-28</t>
  </si>
  <si>
    <t>AAPL|2025-07-29</t>
  </si>
  <si>
    <t>AAPL|2025-07-30</t>
  </si>
  <si>
    <t>AAPL|2025-07-31</t>
  </si>
  <si>
    <t>AAPL|2025-08-01</t>
  </si>
  <si>
    <t>AAPL|2025-08-04</t>
  </si>
  <si>
    <t>AAPL|2025-08-05</t>
  </si>
  <si>
    <t>AAPL|2025-08-06</t>
  </si>
  <si>
    <t>AAPL|2025-08-07</t>
  </si>
  <si>
    <t>AAPL|2025-08-08</t>
  </si>
  <si>
    <t>AAPL|2025-08-11</t>
  </si>
  <si>
    <t>AAPL|2025-08-12</t>
  </si>
  <si>
    <t>AAPL|2025-08-13</t>
  </si>
  <si>
    <t>AAPL|2025-08-14</t>
  </si>
  <si>
    <t>AAPL|2025-08-15</t>
  </si>
  <si>
    <t>AAPL|2025-08-18</t>
  </si>
  <si>
    <t>AAPL|2025-08-19</t>
  </si>
  <si>
    <t>AAPL|2025-08-20</t>
  </si>
  <si>
    <t>AAPL|2025-08-21</t>
  </si>
  <si>
    <t>AAPL|2025-08-22</t>
  </si>
  <si>
    <t>AAPL|2025-08-25</t>
  </si>
  <si>
    <t>AAPL|2025-08-26</t>
  </si>
  <si>
    <t>AAPL|2025-08-27</t>
  </si>
  <si>
    <t>AAPL|2025-08-28</t>
  </si>
  <si>
    <t>AAPL|2025-08-29</t>
  </si>
  <si>
    <t>AAPL|2025-09-02</t>
  </si>
  <si>
    <t>AAPL|2025-09-03</t>
  </si>
  <si>
    <t>AAPL|2025-09-04</t>
  </si>
  <si>
    <t>AAPL|2025-09-05</t>
  </si>
  <si>
    <t>AAPL|2025-09-08</t>
  </si>
  <si>
    <t>AAPL|2025-09-09</t>
  </si>
  <si>
    <t>AAPL|2025-09-10</t>
  </si>
  <si>
    <t>AAPL|2025-09-11</t>
  </si>
  <si>
    <t>AAPL|2025-09-12</t>
  </si>
  <si>
    <t>AAPL|2025-09-15</t>
  </si>
  <si>
    <t>AAPL|2025-09-16</t>
  </si>
  <si>
    <t>AAPL|2025-09-17</t>
  </si>
  <si>
    <t>AAPL|2025-09-18</t>
  </si>
  <si>
    <t>AAPL|2025-09-19</t>
  </si>
  <si>
    <t>AAPL|2025-09-22</t>
  </si>
  <si>
    <t>AAPL|2025-09-23</t>
  </si>
  <si>
    <t>AAPL|2025-09-24</t>
  </si>
  <si>
    <t>AAPL|2025-09-25</t>
  </si>
  <si>
    <t>AAPL|2025-09-26</t>
  </si>
  <si>
    <t>AAPL|2025-09-29</t>
  </si>
  <si>
    <t>AAPL|2025-10-01</t>
  </si>
  <si>
    <t>AAPL|2025-10-02</t>
  </si>
  <si>
    <t>AAPL|2025-10-03</t>
  </si>
  <si>
    <t>AAPL|2025-10-06</t>
  </si>
  <si>
    <t>AAPL|2025-10-07</t>
  </si>
  <si>
    <t>AAPL|2025-10-08</t>
  </si>
  <si>
    <t>AAPL|2025-10-09</t>
  </si>
  <si>
    <t>AAPL|2025-10-10</t>
  </si>
  <si>
    <t>AAPL|2025-10-13</t>
  </si>
  <si>
    <t>AAPL|2025-10-14</t>
  </si>
  <si>
    <t>AAPL|2025-10-15</t>
  </si>
  <si>
    <t>AAPL|2025-10-16</t>
  </si>
  <si>
    <t>AAPL|2025-10-17</t>
  </si>
  <si>
    <t>AAPL|2025-10-20</t>
  </si>
  <si>
    <t>AAPL|2025-10-21</t>
  </si>
  <si>
    <t>AAPL|2025-10-22</t>
  </si>
  <si>
    <t>AAPL|2025-10-23</t>
  </si>
  <si>
    <t>AAPL|2025-10-24</t>
  </si>
  <si>
    <t>AAPL|2025-10-27</t>
  </si>
  <si>
    <t>AAPL|2025-10-28</t>
  </si>
  <si>
    <t>AAPL|2025-10-29</t>
  </si>
  <si>
    <t>AAPL|2025-10-30</t>
  </si>
  <si>
    <t>AAPL|2025-10-31</t>
  </si>
  <si>
    <t>AAPL|2025-11-03</t>
  </si>
  <si>
    <t>AAPL|2025-11-04</t>
  </si>
  <si>
    <t>AAPL|2025-11-05</t>
  </si>
  <si>
    <t>AAPL|2025-11-06</t>
  </si>
  <si>
    <t>AAPL|2025-11-07</t>
  </si>
  <si>
    <t>AAPL|2025-11-10</t>
  </si>
  <si>
    <t>AAPL|2025-11-11</t>
  </si>
  <si>
    <t>AAPL|2025-11-12</t>
  </si>
  <si>
    <t>AAPL|2025-11-13</t>
  </si>
  <si>
    <t>AAPL|2025-11-14</t>
  </si>
  <si>
    <t>AAPL|2025-11-17</t>
  </si>
  <si>
    <t>AAPL|2025-11-18</t>
  </si>
  <si>
    <t>AAPL|2025-11-19</t>
  </si>
  <si>
    <t>AAPL|2025-11-20</t>
  </si>
  <si>
    <t>AAPL|2025-11-21</t>
  </si>
  <si>
    <t>AAPL|2025-11-24</t>
  </si>
  <si>
    <t>AAPL|2025-11-25</t>
  </si>
  <si>
    <t>AAPL|2025-11-26</t>
  </si>
  <si>
    <t>AAPL|2025-11-28</t>
  </si>
  <si>
    <t>AAPL|2025-12-01</t>
  </si>
  <si>
    <t>AAPL|2025-12-02</t>
  </si>
  <si>
    <t>AAPL|2025-12-03</t>
  </si>
  <si>
    <t>AAPL|2025-12-04</t>
  </si>
  <si>
    <t>AAPL|2025-12-05</t>
  </si>
  <si>
    <t>AAPL|2025-12-08</t>
  </si>
  <si>
    <t>AAPL|2025-12-09</t>
  </si>
  <si>
    <t>AAPL|2025-12-10</t>
  </si>
  <si>
    <t>AAPL|2025-12-11</t>
  </si>
  <si>
    <t>AAPL|2025-12-12</t>
  </si>
  <si>
    <t>AAPL|2025-12-15</t>
  </si>
  <si>
    <t>AAPL|2025-12-16</t>
  </si>
  <si>
    <t>AAPL|2025-12-17</t>
  </si>
  <si>
    <t>AAPL|2025-12-18</t>
  </si>
  <si>
    <t>AAPL|2025-12-19</t>
  </si>
  <si>
    <t>AAPL|2025-12-22</t>
  </si>
  <si>
    <t>AAPL|2025-12-23</t>
  </si>
  <si>
    <t>AAPL|2025-12-24</t>
  </si>
  <si>
    <t>AAPL|2025-12-26</t>
  </si>
  <si>
    <t>AAPL|2025-12-29</t>
  </si>
  <si>
    <t>AAPL|2025-12-30</t>
  </si>
  <si>
    <t>AAPL|2026-01-02</t>
  </si>
  <si>
    <t>AAPL|2026-01-05</t>
  </si>
  <si>
    <t>AAPL|2026-01-06</t>
  </si>
  <si>
    <t>AAPL|2026-01-07</t>
  </si>
  <si>
    <t>AAPL|2026-01-08</t>
  </si>
  <si>
    <t>AAPL|2026-01-09</t>
  </si>
  <si>
    <t>AAPL|2026-01-12</t>
  </si>
  <si>
    <t>AAPL|2026-01-13</t>
  </si>
  <si>
    <t>AAPL|2026-01-14</t>
  </si>
  <si>
    <t>AAPL|2026-01-15</t>
  </si>
  <si>
    <t>AAPL|2026-01-16</t>
  </si>
  <si>
    <t>AAPL|2026-01-20</t>
  </si>
  <si>
    <t>AAPL|2026-01-21</t>
  </si>
  <si>
    <t>AAPL|2026-01-22</t>
  </si>
  <si>
    <t>AAPL|2026-01-23</t>
  </si>
  <si>
    <t>AAPL|2026-01-26</t>
  </si>
  <si>
    <t>AAPL|2026-01-27</t>
  </si>
  <si>
    <t>AAPL|2026-01-28</t>
  </si>
  <si>
    <t>AAPL|2026-01-29</t>
  </si>
  <si>
    <t>AAPL|2026-01-30</t>
  </si>
  <si>
    <t>AAPL|2026-02-02</t>
  </si>
  <si>
    <t>AAPL|2026-02-03</t>
  </si>
  <si>
    <t>AAPL|2026-02-04</t>
  </si>
  <si>
    <t>AAPL|2026-02-05</t>
  </si>
  <si>
    <t>AAPL|2026-02-06</t>
  </si>
  <si>
    <t>AAPL|2026-02-09</t>
  </si>
  <si>
    <t>AAPL|2026-02-10</t>
  </si>
  <si>
    <t>AAPL|2026-02-11</t>
  </si>
  <si>
    <t>AAPL|2026-02-12</t>
  </si>
  <si>
    <t>AAPL|2026-02-13</t>
  </si>
  <si>
    <t>AAPL|2026-02-17</t>
  </si>
  <si>
    <t>AAPL|2026-02-18</t>
  </si>
  <si>
    <t>AAPL|2026-02-19</t>
  </si>
  <si>
    <t>AAPL|2026-02-20</t>
  </si>
  <si>
    <t>AAPL|2026-02-23</t>
  </si>
  <si>
    <t>AAPL|2026-02-24</t>
  </si>
  <si>
    <t>AMZN|2024-12-24</t>
  </si>
  <si>
    <t>AMZN|2024-12-26</t>
  </si>
  <si>
    <t>AMZN|2024-12-27</t>
  </si>
  <si>
    <t>AMZN|2024-12-30</t>
  </si>
  <si>
    <t>AMZN|2024-12-31</t>
  </si>
  <si>
    <t>AMZN|2025-01-02</t>
  </si>
  <si>
    <t>AMZN|2025-01-03</t>
  </si>
  <si>
    <t>AMZN|2025-01-06</t>
  </si>
  <si>
    <t>AMZN|2025-01-07</t>
  </si>
  <si>
    <t>AMZN|2025-01-08</t>
  </si>
  <si>
    <t>AMZN|2025-01-10</t>
  </si>
  <si>
    <t>AMZN|2025-01-13</t>
  </si>
  <si>
    <t>AMZN|2025-01-14</t>
  </si>
  <si>
    <t>AMZN|2025-01-15</t>
  </si>
  <si>
    <t>AMZN|2025-01-16</t>
  </si>
  <si>
    <t>AMZN|2025-01-17</t>
  </si>
  <si>
    <t>AMZN|2025-01-21</t>
  </si>
  <si>
    <t>AMZN|2025-01-22</t>
  </si>
  <si>
    <t>AMZN|2025-01-23</t>
  </si>
  <si>
    <t>AMZN|2025-01-24</t>
  </si>
  <si>
    <t>AMZN|2025-01-27</t>
  </si>
  <si>
    <t>AMZN|2025-01-28</t>
  </si>
  <si>
    <t>AMZN|2025-01-29</t>
  </si>
  <si>
    <t>AMZN|2025-01-30</t>
  </si>
  <si>
    <t>AMZN|2025-01-31</t>
  </si>
  <si>
    <t>AMZN|2025-02-03</t>
  </si>
  <si>
    <t>AMZN|2025-02-04</t>
  </si>
  <si>
    <t>AMZN|2025-02-05</t>
  </si>
  <si>
    <t>AMZN|2025-02-06</t>
  </si>
  <si>
    <t>AMZN|2025-02-07</t>
  </si>
  <si>
    <t>AMZN|2025-02-10</t>
  </si>
  <si>
    <t>AMZN|2025-02-11</t>
  </si>
  <si>
    <t>AMZN|2025-02-12</t>
  </si>
  <si>
    <t>AMZN|2025-02-13</t>
  </si>
  <si>
    <t>AMZN|2025-02-14</t>
  </si>
  <si>
    <t>AMZN|2025-02-18</t>
  </si>
  <si>
    <t>AMZN|2025-02-19</t>
  </si>
  <si>
    <t>AMZN|2025-02-20</t>
  </si>
  <si>
    <t>AMZN|2025-02-21</t>
  </si>
  <si>
    <t>AMZN|2025-02-24</t>
  </si>
  <si>
    <t>AMZN|2025-02-25</t>
  </si>
  <si>
    <t>AMZN|2025-02-26</t>
  </si>
  <si>
    <t>AMZN|2025-02-27</t>
  </si>
  <si>
    <t>AMZN|2025-02-28</t>
  </si>
  <si>
    <t>AMZN|2025-03-03</t>
  </si>
  <si>
    <t>AMZN|2025-03-04</t>
  </si>
  <si>
    <t>AMZN|2025-03-05</t>
  </si>
  <si>
    <t>AMZN|2025-03-06</t>
  </si>
  <si>
    <t>AMZN|2025-03-07</t>
  </si>
  <si>
    <t>AMZN|2025-03-10</t>
  </si>
  <si>
    <t>AMZN|2025-03-11</t>
  </si>
  <si>
    <t>AMZN|2025-03-12</t>
  </si>
  <si>
    <t>AMZN|2025-03-13</t>
  </si>
  <si>
    <t>AMZN|2025-03-14</t>
  </si>
  <si>
    <t>AMZN|2025-03-17</t>
  </si>
  <si>
    <t>AMZN|2025-03-18</t>
  </si>
  <si>
    <t>AMZN|2025-03-19</t>
  </si>
  <si>
    <t>AMZN|2025-03-20</t>
  </si>
  <si>
    <t>AMZN|2025-03-21</t>
  </si>
  <si>
    <t>AMZN|2025-03-24</t>
  </si>
  <si>
    <t>AMZN|2025-03-25</t>
  </si>
  <si>
    <t>AMZN|2025-03-26</t>
  </si>
  <si>
    <t>AMZN|2025-03-27</t>
  </si>
  <si>
    <t>AMZN|2025-03-28</t>
  </si>
  <si>
    <t>AMZN|2025-04-01</t>
  </si>
  <si>
    <t>AMZN|2025-04-02</t>
  </si>
  <si>
    <t>AMZN|2025-04-03</t>
  </si>
  <si>
    <t>AMZN|2025-04-04</t>
  </si>
  <si>
    <t>AMZN|2025-04-07</t>
  </si>
  <si>
    <t>AMZN|2025-04-08</t>
  </si>
  <si>
    <t>AMZN|2025-04-09</t>
  </si>
  <si>
    <t>AMZN|2025-04-10</t>
  </si>
  <si>
    <t>AMZN|2025-04-11</t>
  </si>
  <si>
    <t>AMZN|2025-04-14</t>
  </si>
  <si>
    <t>AMZN|2025-04-15</t>
  </si>
  <si>
    <t>AMZN|2025-04-16</t>
  </si>
  <si>
    <t>AMZN|2025-04-17</t>
  </si>
  <si>
    <t>AMZN|2025-04-21</t>
  </si>
  <si>
    <t>AMZN|2025-04-22</t>
  </si>
  <si>
    <t>AMZN|2025-04-23</t>
  </si>
  <si>
    <t>AMZN|2025-04-24</t>
  </si>
  <si>
    <t>AMZN|2025-04-25</t>
  </si>
  <si>
    <t>AMZN|2025-04-28</t>
  </si>
  <si>
    <t>AMZN|2025-04-29</t>
  </si>
  <si>
    <t>AMZN|2025-04-30</t>
  </si>
  <si>
    <t>AMZN|2025-05-01</t>
  </si>
  <si>
    <t>AMZN|2025-05-02</t>
  </si>
  <si>
    <t>AMZN|2025-05-05</t>
  </si>
  <si>
    <t>AMZN|2025-05-06</t>
  </si>
  <si>
    <t>AMZN|2025-05-07</t>
  </si>
  <si>
    <t>AMZN|2025-05-08</t>
  </si>
  <si>
    <t>AMZN|2025-05-09</t>
  </si>
  <si>
    <t>AMZN|2025-05-12</t>
  </si>
  <si>
    <t>AMZN|2025-05-13</t>
  </si>
  <si>
    <t>AMZN|2025-05-14</t>
  </si>
  <si>
    <t>AMZN|2025-05-15</t>
  </si>
  <si>
    <t>AMZN|2025-05-16</t>
  </si>
  <si>
    <t>AMZN|2025-05-19</t>
  </si>
  <si>
    <t>AMZN|2025-05-20</t>
  </si>
  <si>
    <t>AMZN|2025-05-21</t>
  </si>
  <si>
    <t>AMZN|2025-05-22</t>
  </si>
  <si>
    <t>AMZN|2025-05-23</t>
  </si>
  <si>
    <t>AMZN|2025-05-27</t>
  </si>
  <si>
    <t>AMZN|2025-05-28</t>
  </si>
  <si>
    <t>AMZN|2025-05-29</t>
  </si>
  <si>
    <t>AMZN|2025-05-30</t>
  </si>
  <si>
    <t>AMZN|2025-06-02</t>
  </si>
  <si>
    <t>AMZN|2025-06-03</t>
  </si>
  <si>
    <t>AMZN|2025-06-04</t>
  </si>
  <si>
    <t>AMZN|2025-06-05</t>
  </si>
  <si>
    <t>AMZN|2025-06-06</t>
  </si>
  <si>
    <t>AMZN|2025-06-09</t>
  </si>
  <si>
    <t>AMZN|2025-06-10</t>
  </si>
  <si>
    <t>AMZN|2025-06-11</t>
  </si>
  <si>
    <t>AMZN|2025-06-12</t>
  </si>
  <si>
    <t>AMZN|2025-06-13</t>
  </si>
  <si>
    <t>AMZN|2025-06-16</t>
  </si>
  <si>
    <t>AMZN|2025-06-17</t>
  </si>
  <si>
    <t>AMZN|2025-06-18</t>
  </si>
  <si>
    <t>AMZN|2025-06-20</t>
  </si>
  <si>
    <t>AMZN|2025-06-23</t>
  </si>
  <si>
    <t>AMZN|2025-06-24</t>
  </si>
  <si>
    <t>AMZN|2025-06-25</t>
  </si>
  <si>
    <t>AMZN|2025-06-26</t>
  </si>
  <si>
    <t>AMZN|2025-06-27</t>
  </si>
  <si>
    <t>AMZN|2025-07-01</t>
  </si>
  <si>
    <t>AMZN|2025-07-02</t>
  </si>
  <si>
    <t>AMZN|2025-07-03</t>
  </si>
  <si>
    <t>AMZN|2025-07-07</t>
  </si>
  <si>
    <t>AMZN|2025-07-08</t>
  </si>
  <si>
    <t>AMZN|2025-07-09</t>
  </si>
  <si>
    <t>AMZN|2025-07-10</t>
  </si>
  <si>
    <t>AMZN|2025-07-11</t>
  </si>
  <si>
    <t>AMZN|2025-07-14</t>
  </si>
  <si>
    <t>AMZN|2025-07-15</t>
  </si>
  <si>
    <t>AMZN|2025-07-16</t>
  </si>
  <si>
    <t>AMZN|2025-07-17</t>
  </si>
  <si>
    <t>AMZN|2025-07-18</t>
  </si>
  <si>
    <t>AMZN|2025-07-21</t>
  </si>
  <si>
    <t>AMZN|2025-07-22</t>
  </si>
  <si>
    <t>AMZN|2025-07-23</t>
  </si>
  <si>
    <t>AMZN|2025-07-24</t>
  </si>
  <si>
    <t>AMZN|2025-07-25</t>
  </si>
  <si>
    <t>AMZN|2025-07-28</t>
  </si>
  <si>
    <t>AMZN|2025-07-29</t>
  </si>
  <si>
    <t>AMZN|2025-07-30</t>
  </si>
  <si>
    <t>AMZN|2025-07-31</t>
  </si>
  <si>
    <t>AMZN|2025-08-01</t>
  </si>
  <si>
    <t>AMZN|2025-08-04</t>
  </si>
  <si>
    <t>AMZN|2025-08-05</t>
  </si>
  <si>
    <t>AMZN|2025-08-06</t>
  </si>
  <si>
    <t>AMZN|2025-08-07</t>
  </si>
  <si>
    <t>AMZN|2025-08-08</t>
  </si>
  <si>
    <t>AMZN|2025-08-11</t>
  </si>
  <si>
    <t>AMZN|2025-08-12</t>
  </si>
  <si>
    <t>AMZN|2025-08-13</t>
  </si>
  <si>
    <t>AMZN|2025-08-14</t>
  </si>
  <si>
    <t>AMZN|2025-08-15</t>
  </si>
  <si>
    <t>AMZN|2025-08-18</t>
  </si>
  <si>
    <t>AMZN|2025-08-19</t>
  </si>
  <si>
    <t>AMZN|2025-08-20</t>
  </si>
  <si>
    <t>AMZN|2025-08-21</t>
  </si>
  <si>
    <t>AMZN|2025-08-22</t>
  </si>
  <si>
    <t>AMZN|2025-08-25</t>
  </si>
  <si>
    <t>AMZN|2025-08-26</t>
  </si>
  <si>
    <t>AMZN|2025-08-27</t>
  </si>
  <si>
    <t>AMZN|2025-08-28</t>
  </si>
  <si>
    <t>AMZN|2025-08-29</t>
  </si>
  <si>
    <t>AMZN|2025-09-02</t>
  </si>
  <si>
    <t>AMZN|2025-09-03</t>
  </si>
  <si>
    <t>AMZN|2025-09-04</t>
  </si>
  <si>
    <t>AMZN|2025-09-05</t>
  </si>
  <si>
    <t>AMZN|2025-09-08</t>
  </si>
  <si>
    <t>AMZN|2025-09-09</t>
  </si>
  <si>
    <t>AMZN|2025-09-10</t>
  </si>
  <si>
    <t>AMZN|2025-09-11</t>
  </si>
  <si>
    <t>AMZN|2025-09-12</t>
  </si>
  <si>
    <t>AMZN|2025-09-15</t>
  </si>
  <si>
    <t>AMZN|2025-09-16</t>
  </si>
  <si>
    <t>AMZN|2025-09-17</t>
  </si>
  <si>
    <t>AMZN|2025-09-18</t>
  </si>
  <si>
    <t>AMZN|2025-09-19</t>
  </si>
  <si>
    <t>AMZN|2025-09-22</t>
  </si>
  <si>
    <t>AMZN|2025-09-23</t>
  </si>
  <si>
    <t>AMZN|2025-09-24</t>
  </si>
  <si>
    <t>AMZN|2025-09-25</t>
  </si>
  <si>
    <t>AMZN|2025-09-26</t>
  </si>
  <si>
    <t>AMZN|2025-09-29</t>
  </si>
  <si>
    <t>AMZN|2025-10-01</t>
  </si>
  <si>
    <t>AMZN|2025-10-02</t>
  </si>
  <si>
    <t>AMZN|2025-10-03</t>
  </si>
  <si>
    <t>AMZN|2025-10-06</t>
  </si>
  <si>
    <t>AMZN|2025-10-07</t>
  </si>
  <si>
    <t>AMZN|2025-10-08</t>
  </si>
  <si>
    <t>AMZN|2025-10-09</t>
  </si>
  <si>
    <t>AMZN|2025-10-10</t>
  </si>
  <si>
    <t>AMZN|2025-10-13</t>
  </si>
  <si>
    <t>AMZN|2025-10-14</t>
  </si>
  <si>
    <t>AMZN|2025-10-15</t>
  </si>
  <si>
    <t>AMZN|2025-10-16</t>
  </si>
  <si>
    <t>AMZN|2025-10-17</t>
  </si>
  <si>
    <t>AMZN|2025-10-20</t>
  </si>
  <si>
    <t>AMZN|2025-10-21</t>
  </si>
  <si>
    <t>AMZN|2025-10-22</t>
  </si>
  <si>
    <t>AMZN|2025-10-23</t>
  </si>
  <si>
    <t>AMZN|2025-10-24</t>
  </si>
  <si>
    <t>AMZN|2025-10-27</t>
  </si>
  <si>
    <t>AMZN|2025-10-28</t>
  </si>
  <si>
    <t>AMZN|2025-10-29</t>
  </si>
  <si>
    <t>AMZN|2025-10-30</t>
  </si>
  <si>
    <t>AMZN|2025-10-31</t>
  </si>
  <si>
    <t>AMZN|2025-11-03</t>
  </si>
  <si>
    <t>AMZN|2025-11-04</t>
  </si>
  <si>
    <t>AMZN|2025-11-05</t>
  </si>
  <si>
    <t>AMZN|2025-11-06</t>
  </si>
  <si>
    <t>AMZN|2025-11-07</t>
  </si>
  <si>
    <t>AMZN|2025-11-10</t>
  </si>
  <si>
    <t>AMZN|2025-11-11</t>
  </si>
  <si>
    <t>AMZN|2025-11-12</t>
  </si>
  <si>
    <t>AMZN|2025-11-13</t>
  </si>
  <si>
    <t>AMZN|2025-11-14</t>
  </si>
  <si>
    <t>AMZN|2025-11-17</t>
  </si>
  <si>
    <t>AMZN|2025-11-18</t>
  </si>
  <si>
    <t>AMZN|2025-11-19</t>
  </si>
  <si>
    <t>AMZN|2025-11-20</t>
  </si>
  <si>
    <t>AMZN|2025-11-21</t>
  </si>
  <si>
    <t>AMZN|2025-11-24</t>
  </si>
  <si>
    <t>AMZN|2025-11-25</t>
  </si>
  <si>
    <t>AMZN|2025-11-26</t>
  </si>
  <si>
    <t>AMZN|2025-11-28</t>
  </si>
  <si>
    <t>AMZN|2025-12-01</t>
  </si>
  <si>
    <t>AMZN|2025-12-02</t>
  </si>
  <si>
    <t>AMZN|2025-12-03</t>
  </si>
  <si>
    <t>AMZN|2025-12-04</t>
  </si>
  <si>
    <t>AMZN|2025-12-05</t>
  </si>
  <si>
    <t>AMZN|2025-12-08</t>
  </si>
  <si>
    <t>AMZN|2025-12-09</t>
  </si>
  <si>
    <t>AMZN|2025-12-10</t>
  </si>
  <si>
    <t>AMZN|2025-12-11</t>
  </si>
  <si>
    <t>AMZN|2025-12-12</t>
  </si>
  <si>
    <t>AMZN|2025-12-15</t>
  </si>
  <si>
    <t>AMZN|2025-12-16</t>
  </si>
  <si>
    <t>AMZN|2025-12-17</t>
  </si>
  <si>
    <t>AMZN|2025-12-18</t>
  </si>
  <si>
    <t>AMZN|2025-12-19</t>
  </si>
  <si>
    <t>AMZN|2025-12-22</t>
  </si>
  <si>
    <t>AMZN|2025-12-23</t>
  </si>
  <si>
    <t>AMZN|2025-12-24</t>
  </si>
  <si>
    <t>AMZN|2025-12-26</t>
  </si>
  <si>
    <t>AMZN|2025-12-29</t>
  </si>
  <si>
    <t>AMZN|2025-12-30</t>
  </si>
  <si>
    <t>AMZN|2026-01-02</t>
  </si>
  <si>
    <t>AMZN|2026-01-05</t>
  </si>
  <si>
    <t>AMZN|2026-01-06</t>
  </si>
  <si>
    <t>AMZN|2026-01-07</t>
  </si>
  <si>
    <t>AMZN|2026-01-08</t>
  </si>
  <si>
    <t>AMZN|2026-01-09</t>
  </si>
  <si>
    <t>AMZN|2026-01-12</t>
  </si>
  <si>
    <t>AMZN|2026-01-13</t>
  </si>
  <si>
    <t>AMZN|2026-01-14</t>
  </si>
  <si>
    <t>AMZN|2026-01-15</t>
  </si>
  <si>
    <t>AMZN|2026-01-16</t>
  </si>
  <si>
    <t>AMZN|2026-01-20</t>
  </si>
  <si>
    <t>AMZN|2026-01-21</t>
  </si>
  <si>
    <t>AMZN|2026-01-22</t>
  </si>
  <si>
    <t>AMZN|2026-01-23</t>
  </si>
  <si>
    <t>AMZN|2026-01-26</t>
  </si>
  <si>
    <t>AMZN|2026-01-27</t>
  </si>
  <si>
    <t>AMZN|2026-01-28</t>
  </si>
  <si>
    <t>AMZN|2026-01-29</t>
  </si>
  <si>
    <t>AMZN|2026-01-30</t>
  </si>
  <si>
    <t>AMZN|2026-02-02</t>
  </si>
  <si>
    <t>AMZN|2026-02-03</t>
  </si>
  <si>
    <t>AMZN|2026-02-04</t>
  </si>
  <si>
    <t>AMZN|2026-02-05</t>
  </si>
  <si>
    <t>AMZN|2026-02-06</t>
  </si>
  <si>
    <t>AMZN|2026-02-09</t>
  </si>
  <si>
    <t>AMZN|2026-02-10</t>
  </si>
  <si>
    <t>AMZN|2026-02-11</t>
  </si>
  <si>
    <t>AMZN|2026-02-12</t>
  </si>
  <si>
    <t>AMZN|2026-02-13</t>
  </si>
  <si>
    <t>AMZN|2026-02-17</t>
  </si>
  <si>
    <t>AMZN|2026-02-18</t>
  </si>
  <si>
    <t>AMZN|2026-02-19</t>
  </si>
  <si>
    <t>AMZN|2026-02-20</t>
  </si>
  <si>
    <t>AMZN|2026-02-23</t>
  </si>
  <si>
    <t>AMZN|2026-02-24</t>
  </si>
  <si>
    <t>GOOGL|2024-12-24</t>
  </si>
  <si>
    <t>GOOGL|2024-12-26</t>
  </si>
  <si>
    <t>GOOGL|2024-12-27</t>
  </si>
  <si>
    <t>GOOGL|2024-12-30</t>
  </si>
  <si>
    <t>GOOGL|2024-12-31</t>
  </si>
  <si>
    <t>GOOGL|2025-01-02</t>
  </si>
  <si>
    <t>GOOGL|2025-01-03</t>
  </si>
  <si>
    <t>GOOGL|2025-01-06</t>
  </si>
  <si>
    <t>GOOGL|2025-01-07</t>
  </si>
  <si>
    <t>GOOGL|2025-01-08</t>
  </si>
  <si>
    <t>GOOGL|2025-01-10</t>
  </si>
  <si>
    <t>GOOGL|2025-01-13</t>
  </si>
  <si>
    <t>GOOGL|2025-01-14</t>
  </si>
  <si>
    <t>GOOGL|2025-01-15</t>
  </si>
  <si>
    <t>GOOGL|2025-01-16</t>
  </si>
  <si>
    <t>GOOGL|2025-01-17</t>
  </si>
  <si>
    <t>GOOGL|2025-01-21</t>
  </si>
  <si>
    <t>GOOGL|2025-01-22</t>
  </si>
  <si>
    <t>GOOGL|2025-01-23</t>
  </si>
  <si>
    <t>GOOGL|2025-01-24</t>
  </si>
  <si>
    <t>GOOGL|2025-01-27</t>
  </si>
  <si>
    <t>GOOGL|2025-01-28</t>
  </si>
  <si>
    <t>GOOGL|2025-01-29</t>
  </si>
  <si>
    <t>GOOGL|2025-01-30</t>
  </si>
  <si>
    <t>GOOGL|2025-01-31</t>
  </si>
  <si>
    <t>GOOGL|2025-02-03</t>
  </si>
  <si>
    <t>GOOGL|2025-02-04</t>
  </si>
  <si>
    <t>GOOGL|2025-02-05</t>
  </si>
  <si>
    <t>GOOGL|2025-02-06</t>
  </si>
  <si>
    <t>GOOGL|2025-02-07</t>
  </si>
  <si>
    <t>GOOGL|2025-02-10</t>
  </si>
  <si>
    <t>GOOGL|2025-02-11</t>
  </si>
  <si>
    <t>GOOGL|2025-02-12</t>
  </si>
  <si>
    <t>GOOGL|2025-02-13</t>
  </si>
  <si>
    <t>GOOGL|2025-02-14</t>
  </si>
  <si>
    <t>GOOGL|2025-02-18</t>
  </si>
  <si>
    <t>GOOGL|2025-02-19</t>
  </si>
  <si>
    <t>GOOGL|2025-02-20</t>
  </si>
  <si>
    <t>GOOGL|2025-02-21</t>
  </si>
  <si>
    <t>GOOGL|2025-02-24</t>
  </si>
  <si>
    <t>GOOGL|2025-02-25</t>
  </si>
  <si>
    <t>GOOGL|2025-02-26</t>
  </si>
  <si>
    <t>GOOGL|2025-02-27</t>
  </si>
  <si>
    <t>GOOGL|2025-02-28</t>
  </si>
  <si>
    <t>GOOGL|2025-03-03</t>
  </si>
  <si>
    <t>GOOGL|2025-03-04</t>
  </si>
  <si>
    <t>GOOGL|2025-03-05</t>
  </si>
  <si>
    <t>GOOGL|2025-03-06</t>
  </si>
  <si>
    <t>GOOGL|2025-03-07</t>
  </si>
  <si>
    <t>GOOGL|2025-03-10</t>
  </si>
  <si>
    <t>GOOGL|2025-03-11</t>
  </si>
  <si>
    <t>GOOGL|2025-03-12</t>
  </si>
  <si>
    <t>GOOGL|2025-03-13</t>
  </si>
  <si>
    <t>GOOGL|2025-03-14</t>
  </si>
  <si>
    <t>GOOGL|2025-03-17</t>
  </si>
  <si>
    <t>GOOGL|2025-03-18</t>
  </si>
  <si>
    <t>GOOGL|2025-03-19</t>
  </si>
  <si>
    <t>GOOGL|2025-03-20</t>
  </si>
  <si>
    <t>GOOGL|2025-03-21</t>
  </si>
  <si>
    <t>GOOGL|2025-03-24</t>
  </si>
  <si>
    <t>GOOGL|2025-03-25</t>
  </si>
  <si>
    <t>GOOGL|2025-03-26</t>
  </si>
  <si>
    <t>GOOGL|2025-03-27</t>
  </si>
  <si>
    <t>GOOGL|2025-03-28</t>
  </si>
  <si>
    <t>GOOGL|2025-04-01</t>
  </si>
  <si>
    <t>GOOGL|2025-04-02</t>
  </si>
  <si>
    <t>GOOGL|2025-04-03</t>
  </si>
  <si>
    <t>GOOGL|2025-04-04</t>
  </si>
  <si>
    <t>GOOGL|2025-04-07</t>
  </si>
  <si>
    <t>GOOGL|2025-04-08</t>
  </si>
  <si>
    <t>GOOGL|2025-04-09</t>
  </si>
  <si>
    <t>GOOGL|2025-04-10</t>
  </si>
  <si>
    <t>GOOGL|2025-04-11</t>
  </si>
  <si>
    <t>GOOGL|2025-04-14</t>
  </si>
  <si>
    <t>GOOGL|2025-04-15</t>
  </si>
  <si>
    <t>GOOGL|2025-04-16</t>
  </si>
  <si>
    <t>GOOGL|2025-04-17</t>
  </si>
  <si>
    <t>GOOGL|2025-04-21</t>
  </si>
  <si>
    <t>GOOGL|2025-04-22</t>
  </si>
  <si>
    <t>GOOGL|2025-04-23</t>
  </si>
  <si>
    <t>GOOGL|2025-04-24</t>
  </si>
  <si>
    <t>GOOGL|2025-04-25</t>
  </si>
  <si>
    <t>GOOGL|2025-04-28</t>
  </si>
  <si>
    <t>GOOGL|2025-04-29</t>
  </si>
  <si>
    <t>GOOGL|2025-04-30</t>
  </si>
  <si>
    <t>GOOGL|2025-05-01</t>
  </si>
  <si>
    <t>GOOGL|2025-05-02</t>
  </si>
  <si>
    <t>GOOGL|2025-05-05</t>
  </si>
  <si>
    <t>GOOGL|2025-05-06</t>
  </si>
  <si>
    <t>GOOGL|2025-05-07</t>
  </si>
  <si>
    <t>GOOGL|2025-05-08</t>
  </si>
  <si>
    <t>GOOGL|2025-05-09</t>
  </si>
  <si>
    <t>GOOGL|2025-05-12</t>
  </si>
  <si>
    <t>GOOGL|2025-05-13</t>
  </si>
  <si>
    <t>GOOGL|2025-05-14</t>
  </si>
  <si>
    <t>GOOGL|2025-05-15</t>
  </si>
  <si>
    <t>GOOGL|2025-05-16</t>
  </si>
  <si>
    <t>GOOGL|2025-05-19</t>
  </si>
  <si>
    <t>GOOGL|2025-05-20</t>
  </si>
  <si>
    <t>GOOGL|2025-05-21</t>
  </si>
  <si>
    <t>GOOGL|2025-05-22</t>
  </si>
  <si>
    <t>GOOGL|2025-05-23</t>
  </si>
  <si>
    <t>GOOGL|2025-05-27</t>
  </si>
  <si>
    <t>GOOGL|2025-05-28</t>
  </si>
  <si>
    <t>GOOGL|2025-05-29</t>
  </si>
  <si>
    <t>GOOGL|2025-05-30</t>
  </si>
  <si>
    <t>GOOGL|2025-06-02</t>
  </si>
  <si>
    <t>GOOGL|2025-06-03</t>
  </si>
  <si>
    <t>GOOGL|2025-06-04</t>
  </si>
  <si>
    <t>GOOGL|2025-06-05</t>
  </si>
  <si>
    <t>GOOGL|2025-06-06</t>
  </si>
  <si>
    <t>GOOGL|2025-06-09</t>
  </si>
  <si>
    <t>GOOGL|2025-06-10</t>
  </si>
  <si>
    <t>GOOGL|2025-06-11</t>
  </si>
  <si>
    <t>GOOGL|2025-06-12</t>
  </si>
  <si>
    <t>GOOGL|2025-06-13</t>
  </si>
  <si>
    <t>GOOGL|2025-06-16</t>
  </si>
  <si>
    <t>GOOGL|2025-06-17</t>
  </si>
  <si>
    <t>GOOGL|2025-06-18</t>
  </si>
  <si>
    <t>GOOGL|2025-06-20</t>
  </si>
  <si>
    <t>GOOGL|2025-06-23</t>
  </si>
  <si>
    <t>GOOGL|2025-06-24</t>
  </si>
  <si>
    <t>GOOGL|2025-06-25</t>
  </si>
  <si>
    <t>GOOGL|2025-06-26</t>
  </si>
  <si>
    <t>GOOGL|2025-06-27</t>
  </si>
  <si>
    <t>GOOGL|2025-07-01</t>
  </si>
  <si>
    <t>GOOGL|2025-07-02</t>
  </si>
  <si>
    <t>GOOGL|2025-07-03</t>
  </si>
  <si>
    <t>GOOGL|2025-07-07</t>
  </si>
  <si>
    <t>GOOGL|2025-07-08</t>
  </si>
  <si>
    <t>GOOGL|2025-07-09</t>
  </si>
  <si>
    <t>GOOGL|2025-07-10</t>
  </si>
  <si>
    <t>GOOGL|2025-07-11</t>
  </si>
  <si>
    <t>GOOGL|2025-07-14</t>
  </si>
  <si>
    <t>GOOGL|2025-07-15</t>
  </si>
  <si>
    <t>GOOGL|2025-07-16</t>
  </si>
  <si>
    <t>GOOGL|2025-07-17</t>
  </si>
  <si>
    <t>GOOGL|2025-07-18</t>
  </si>
  <si>
    <t>GOOGL|2025-07-21</t>
  </si>
  <si>
    <t>GOOGL|2025-07-22</t>
  </si>
  <si>
    <t>GOOGL|2025-07-23</t>
  </si>
  <si>
    <t>GOOGL|2025-07-24</t>
  </si>
  <si>
    <t>GOOGL|2025-07-25</t>
  </si>
  <si>
    <t>GOOGL|2025-07-28</t>
  </si>
  <si>
    <t>GOOGL|2025-07-29</t>
  </si>
  <si>
    <t>GOOGL|2025-07-30</t>
  </si>
  <si>
    <t>GOOGL|2025-07-31</t>
  </si>
  <si>
    <t>GOOGL|2025-08-01</t>
  </si>
  <si>
    <t>GOOGL|2025-08-04</t>
  </si>
  <si>
    <t>GOOGL|2025-08-05</t>
  </si>
  <si>
    <t>GOOGL|2025-08-06</t>
  </si>
  <si>
    <t>GOOGL|2025-08-07</t>
  </si>
  <si>
    <t>GOOGL|2025-08-08</t>
  </si>
  <si>
    <t>GOOGL|2025-08-11</t>
  </si>
  <si>
    <t>GOOGL|2025-08-12</t>
  </si>
  <si>
    <t>GOOGL|2025-08-13</t>
  </si>
  <si>
    <t>GOOGL|2025-08-14</t>
  </si>
  <si>
    <t>GOOGL|2025-08-15</t>
  </si>
  <si>
    <t>GOOGL|2025-08-18</t>
  </si>
  <si>
    <t>GOOGL|2025-08-19</t>
  </si>
  <si>
    <t>GOOGL|2025-08-20</t>
  </si>
  <si>
    <t>GOOGL|2025-08-21</t>
  </si>
  <si>
    <t>GOOGL|2025-08-22</t>
  </si>
  <si>
    <t>GOOGL|2025-08-25</t>
  </si>
  <si>
    <t>GOOGL|2025-08-26</t>
  </si>
  <si>
    <t>GOOGL|2025-08-27</t>
  </si>
  <si>
    <t>GOOGL|2025-08-28</t>
  </si>
  <si>
    <t>GOOGL|2025-08-29</t>
  </si>
  <si>
    <t>GOOGL|2025-09-02</t>
  </si>
  <si>
    <t>GOOGL|2025-09-03</t>
  </si>
  <si>
    <t>GOOGL|2025-09-04</t>
  </si>
  <si>
    <t>GOOGL|2025-09-05</t>
  </si>
  <si>
    <t>GOOGL|2025-09-08</t>
  </si>
  <si>
    <t>GOOGL|2025-09-09</t>
  </si>
  <si>
    <t>GOOGL|2025-09-10</t>
  </si>
  <si>
    <t>GOOGL|2025-09-11</t>
  </si>
  <si>
    <t>GOOGL|2025-09-12</t>
  </si>
  <si>
    <t>GOOGL|2025-09-15</t>
  </si>
  <si>
    <t>GOOGL|2025-09-16</t>
  </si>
  <si>
    <t>GOOGL|2025-09-17</t>
  </si>
  <si>
    <t>GOOGL|2025-09-18</t>
  </si>
  <si>
    <t>GOOGL|2025-09-19</t>
  </si>
  <si>
    <t>GOOGL|2025-09-22</t>
  </si>
  <si>
    <t>GOOGL|2025-09-23</t>
  </si>
  <si>
    <t>GOOGL|2025-09-24</t>
  </si>
  <si>
    <t>GOOGL|2025-09-25</t>
  </si>
  <si>
    <t>GOOGL|2025-09-26</t>
  </si>
  <si>
    <t>GOOGL|2025-09-29</t>
  </si>
  <si>
    <t>GOOGL|2025-10-01</t>
  </si>
  <si>
    <t>GOOGL|2025-10-02</t>
  </si>
  <si>
    <t>GOOGL|2025-10-03</t>
  </si>
  <si>
    <t>GOOGL|2025-10-06</t>
  </si>
  <si>
    <t>GOOGL|2025-10-07</t>
  </si>
  <si>
    <t>GOOGL|2025-10-08</t>
  </si>
  <si>
    <t>GOOGL|2025-10-09</t>
  </si>
  <si>
    <t>GOOGL|2025-10-10</t>
  </si>
  <si>
    <t>GOOGL|2025-10-13</t>
  </si>
  <si>
    <t>GOOGL|2025-10-14</t>
  </si>
  <si>
    <t>GOOGL|2025-10-15</t>
  </si>
  <si>
    <t>GOOGL|2025-10-16</t>
  </si>
  <si>
    <t>GOOGL|2025-10-17</t>
  </si>
  <si>
    <t>GOOGL|2025-10-20</t>
  </si>
  <si>
    <t>GOOGL|2025-10-21</t>
  </si>
  <si>
    <t>GOOGL|2025-10-22</t>
  </si>
  <si>
    <t>GOOGL|2025-10-23</t>
  </si>
  <si>
    <t>GOOGL|2025-10-24</t>
  </si>
  <si>
    <t>GOOGL|2025-10-27</t>
  </si>
  <si>
    <t>GOOGL|2025-10-28</t>
  </si>
  <si>
    <t>GOOGL|2025-10-29</t>
  </si>
  <si>
    <t>GOOGL|2025-10-30</t>
  </si>
  <si>
    <t>GOOGL|2025-10-31</t>
  </si>
  <si>
    <t>GOOGL|2025-11-03</t>
  </si>
  <si>
    <t>GOOGL|2025-11-04</t>
  </si>
  <si>
    <t>GOOGL|2025-11-05</t>
  </si>
  <si>
    <t>GOOGL|2025-11-06</t>
  </si>
  <si>
    <t>GOOGL|2025-11-07</t>
  </si>
  <si>
    <t>GOOGL|2025-11-10</t>
  </si>
  <si>
    <t>GOOGL|2025-11-11</t>
  </si>
  <si>
    <t>GOOGL|2025-11-12</t>
  </si>
  <si>
    <t>GOOGL|2025-11-13</t>
  </si>
  <si>
    <t>GOOGL|2025-11-14</t>
  </si>
  <si>
    <t>GOOGL|2025-11-17</t>
  </si>
  <si>
    <t>GOOGL|2025-11-18</t>
  </si>
  <si>
    <t>GOOGL|2025-11-19</t>
  </si>
  <si>
    <t>GOOGL|2025-11-20</t>
  </si>
  <si>
    <t>GOOGL|2025-11-21</t>
  </si>
  <si>
    <t>GOOGL|2025-11-24</t>
  </si>
  <si>
    <t>GOOGL|2025-11-25</t>
  </si>
  <si>
    <t>GOOGL|2025-11-26</t>
  </si>
  <si>
    <t>GOOGL|2025-11-28</t>
  </si>
  <si>
    <t>GOOGL|2025-12-01</t>
  </si>
  <si>
    <t>GOOGL|2025-12-02</t>
  </si>
  <si>
    <t>GOOGL|2025-12-03</t>
  </si>
  <si>
    <t>GOOGL|2025-12-04</t>
  </si>
  <si>
    <t>GOOGL|2025-12-05</t>
  </si>
  <si>
    <t>GOOGL|2025-12-08</t>
  </si>
  <si>
    <t>GOOGL|2025-12-09</t>
  </si>
  <si>
    <t>GOOGL|2025-12-10</t>
  </si>
  <si>
    <t>GOOGL|2025-12-11</t>
  </si>
  <si>
    <t>GOOGL|2025-12-12</t>
  </si>
  <si>
    <t>GOOGL|2025-12-15</t>
  </si>
  <si>
    <t>GOOGL|2025-12-16</t>
  </si>
  <si>
    <t>GOOGL|2025-12-17</t>
  </si>
  <si>
    <t>GOOGL|2025-12-18</t>
  </si>
  <si>
    <t>GOOGL|2025-12-19</t>
  </si>
  <si>
    <t>GOOGL|2025-12-22</t>
  </si>
  <si>
    <t>GOOGL|2025-12-23</t>
  </si>
  <si>
    <t>GOOGL|2025-12-24</t>
  </si>
  <si>
    <t>GOOGL|2025-12-26</t>
  </si>
  <si>
    <t>GOOGL|2025-12-29</t>
  </si>
  <si>
    <t>GOOGL|2025-12-30</t>
  </si>
  <si>
    <t>GOOGL|2026-01-02</t>
  </si>
  <si>
    <t>GOOGL|2026-01-05</t>
  </si>
  <si>
    <t>GOOGL|2026-01-06</t>
  </si>
  <si>
    <t>GOOGL|2026-01-07</t>
  </si>
  <si>
    <t>GOOGL|2026-01-08</t>
  </si>
  <si>
    <t>GOOGL|2026-01-09</t>
  </si>
  <si>
    <t>GOOGL|2026-01-12</t>
  </si>
  <si>
    <t>GOOGL|2026-01-13</t>
  </si>
  <si>
    <t>GOOGL|2026-01-14</t>
  </si>
  <si>
    <t>GOOGL|2026-01-15</t>
  </si>
  <si>
    <t>GOOGL|2026-01-16</t>
  </si>
  <si>
    <t>GOOGL|2026-01-20</t>
  </si>
  <si>
    <t>GOOGL|2026-01-21</t>
  </si>
  <si>
    <t>GOOGL|2026-01-22</t>
  </si>
  <si>
    <t>GOOGL|2026-01-23</t>
  </si>
  <si>
    <t>GOOGL|2026-01-26</t>
  </si>
  <si>
    <t>GOOGL|2026-01-27</t>
  </si>
  <si>
    <t>GOOGL|2026-01-28</t>
  </si>
  <si>
    <t>GOOGL|2026-01-29</t>
  </si>
  <si>
    <t>GOOGL|2026-01-30</t>
  </si>
  <si>
    <t>GOOGL|2026-02-02</t>
  </si>
  <si>
    <t>GOOGL|2026-02-03</t>
  </si>
  <si>
    <t>GOOGL|2026-02-04</t>
  </si>
  <si>
    <t>GOOGL|2026-02-05</t>
  </si>
  <si>
    <t>GOOGL|2026-02-06</t>
  </si>
  <si>
    <t>GOOGL|2026-02-09</t>
  </si>
  <si>
    <t>GOOGL|2026-02-10</t>
  </si>
  <si>
    <t>GOOGL|2026-02-11</t>
  </si>
  <si>
    <t>GOOGL|2026-02-12</t>
  </si>
  <si>
    <t>GOOGL|2026-02-13</t>
  </si>
  <si>
    <t>GOOGL|2026-02-17</t>
  </si>
  <si>
    <t>GOOGL|2026-02-18</t>
  </si>
  <si>
    <t>GOOGL|2026-02-19</t>
  </si>
  <si>
    <t>GOOGL|2026-02-20</t>
  </si>
  <si>
    <t>GOOGL|2026-02-23</t>
  </si>
  <si>
    <t>GOOGL|2026-02-24</t>
  </si>
  <si>
    <t>META|2024-12-24</t>
  </si>
  <si>
    <t>META|2024-12-26</t>
  </si>
  <si>
    <t>META|2024-12-27</t>
  </si>
  <si>
    <t>META|2024-12-30</t>
  </si>
  <si>
    <t>META|2024-12-31</t>
  </si>
  <si>
    <t>META|2025-01-02</t>
  </si>
  <si>
    <t>META|2025-01-03</t>
  </si>
  <si>
    <t>META|2025-01-06</t>
  </si>
  <si>
    <t>META|2025-01-07</t>
  </si>
  <si>
    <t>META|2025-01-08</t>
  </si>
  <si>
    <t>META|2025-01-10</t>
  </si>
  <si>
    <t>META|2025-01-13</t>
  </si>
  <si>
    <t>META|2025-01-14</t>
  </si>
  <si>
    <t>META|2025-01-15</t>
  </si>
  <si>
    <t>META|2025-01-16</t>
  </si>
  <si>
    <t>META|2025-01-17</t>
  </si>
  <si>
    <t>META|2025-01-21</t>
  </si>
  <si>
    <t>META|2025-01-22</t>
  </si>
  <si>
    <t>META|2025-01-23</t>
  </si>
  <si>
    <t>META|2025-01-24</t>
  </si>
  <si>
    <t>META|2025-01-27</t>
  </si>
  <si>
    <t>META|2025-01-28</t>
  </si>
  <si>
    <t>META|2025-01-29</t>
  </si>
  <si>
    <t>META|2025-01-30</t>
  </si>
  <si>
    <t>META|2025-01-31</t>
  </si>
  <si>
    <t>META|2025-02-03</t>
  </si>
  <si>
    <t>META|2025-02-04</t>
  </si>
  <si>
    <t>META|2025-02-05</t>
  </si>
  <si>
    <t>META|2025-02-06</t>
  </si>
  <si>
    <t>META|2025-02-07</t>
  </si>
  <si>
    <t>META|2025-02-10</t>
  </si>
  <si>
    <t>META|2025-02-11</t>
  </si>
  <si>
    <t>META|2025-02-12</t>
  </si>
  <si>
    <t>META|2025-02-13</t>
  </si>
  <si>
    <t>META|2025-02-14</t>
  </si>
  <si>
    <t>META|2025-02-18</t>
  </si>
  <si>
    <t>META|2025-02-19</t>
  </si>
  <si>
    <t>META|2025-02-20</t>
  </si>
  <si>
    <t>META|2025-02-21</t>
  </si>
  <si>
    <t>META|2025-02-24</t>
  </si>
  <si>
    <t>META|2025-02-25</t>
  </si>
  <si>
    <t>META|2025-02-26</t>
  </si>
  <si>
    <t>META|2025-02-27</t>
  </si>
  <si>
    <t>META|2025-02-28</t>
  </si>
  <si>
    <t>META|2025-03-03</t>
  </si>
  <si>
    <t>META|2025-03-04</t>
  </si>
  <si>
    <t>META|2025-03-05</t>
  </si>
  <si>
    <t>META|2025-03-06</t>
  </si>
  <si>
    <t>META|2025-03-07</t>
  </si>
  <si>
    <t>META|2025-03-10</t>
  </si>
  <si>
    <t>META|2025-03-11</t>
  </si>
  <si>
    <t>META|2025-03-12</t>
  </si>
  <si>
    <t>META|2025-03-13</t>
  </si>
  <si>
    <t>META|2025-03-14</t>
  </si>
  <si>
    <t>META|2025-03-17</t>
  </si>
  <si>
    <t>META|2025-03-18</t>
  </si>
  <si>
    <t>META|2025-03-19</t>
  </si>
  <si>
    <t>META|2025-03-20</t>
  </si>
  <si>
    <t>META|2025-03-21</t>
  </si>
  <si>
    <t>META|2025-03-24</t>
  </si>
  <si>
    <t>META|2025-03-25</t>
  </si>
  <si>
    <t>META|2025-03-26</t>
  </si>
  <si>
    <t>META|2025-03-27</t>
  </si>
  <si>
    <t>META|2025-03-28</t>
  </si>
  <si>
    <t>META|2025-04-01</t>
  </si>
  <si>
    <t>META|2025-04-02</t>
  </si>
  <si>
    <t>META|2025-04-03</t>
  </si>
  <si>
    <t>META|2025-04-04</t>
  </si>
  <si>
    <t>META|2025-04-07</t>
  </si>
  <si>
    <t>META|2025-04-08</t>
  </si>
  <si>
    <t>META|2025-04-09</t>
  </si>
  <si>
    <t>META|2025-04-10</t>
  </si>
  <si>
    <t>META|2025-04-11</t>
  </si>
  <si>
    <t>META|2025-04-14</t>
  </si>
  <si>
    <t>META|2025-04-15</t>
  </si>
  <si>
    <t>META|2025-04-16</t>
  </si>
  <si>
    <t>META|2025-04-17</t>
  </si>
  <si>
    <t>META|2025-04-21</t>
  </si>
  <si>
    <t>META|2025-04-22</t>
  </si>
  <si>
    <t>META|2025-04-23</t>
  </si>
  <si>
    <t>META|2025-04-24</t>
  </si>
  <si>
    <t>META|2025-04-25</t>
  </si>
  <si>
    <t>META|2025-04-28</t>
  </si>
  <si>
    <t>META|2025-04-29</t>
  </si>
  <si>
    <t>META|2025-04-30</t>
  </si>
  <si>
    <t>META|2025-05-01</t>
  </si>
  <si>
    <t>META|2025-05-02</t>
  </si>
  <si>
    <t>META|2025-05-05</t>
  </si>
  <si>
    <t>META|2025-05-06</t>
  </si>
  <si>
    <t>META|2025-05-07</t>
  </si>
  <si>
    <t>META|2025-05-08</t>
  </si>
  <si>
    <t>META|2025-05-09</t>
  </si>
  <si>
    <t>META|2025-05-12</t>
  </si>
  <si>
    <t>META|2025-05-13</t>
  </si>
  <si>
    <t>META|2025-05-14</t>
  </si>
  <si>
    <t>META|2025-05-15</t>
  </si>
  <si>
    <t>META|2025-05-16</t>
  </si>
  <si>
    <t>META|2025-05-19</t>
  </si>
  <si>
    <t>META|2025-05-20</t>
  </si>
  <si>
    <t>META|2025-05-21</t>
  </si>
  <si>
    <t>META|2025-05-22</t>
  </si>
  <si>
    <t>META|2025-05-23</t>
  </si>
  <si>
    <t>META|2025-05-27</t>
  </si>
  <si>
    <t>META|2025-05-28</t>
  </si>
  <si>
    <t>META|2025-05-29</t>
  </si>
  <si>
    <t>META|2025-05-30</t>
  </si>
  <si>
    <t>META|2025-06-02</t>
  </si>
  <si>
    <t>META|2025-06-03</t>
  </si>
  <si>
    <t>META|2025-06-04</t>
  </si>
  <si>
    <t>META|2025-06-05</t>
  </si>
  <si>
    <t>META|2025-06-06</t>
  </si>
  <si>
    <t>META|2025-06-09</t>
  </si>
  <si>
    <t>META|2025-06-10</t>
  </si>
  <si>
    <t>META|2025-06-11</t>
  </si>
  <si>
    <t>META|2025-06-12</t>
  </si>
  <si>
    <t>META|2025-06-13</t>
  </si>
  <si>
    <t>META|2025-06-16</t>
  </si>
  <si>
    <t>META|2025-06-17</t>
  </si>
  <si>
    <t>META|2025-06-18</t>
  </si>
  <si>
    <t>META|2025-06-20</t>
  </si>
  <si>
    <t>META|2025-06-23</t>
  </si>
  <si>
    <t>META|2025-06-24</t>
  </si>
  <si>
    <t>META|2025-06-25</t>
  </si>
  <si>
    <t>META|2025-06-26</t>
  </si>
  <si>
    <t>META|2025-06-27</t>
  </si>
  <si>
    <t>META|2025-07-01</t>
  </si>
  <si>
    <t>META|2025-07-02</t>
  </si>
  <si>
    <t>META|2025-07-03</t>
  </si>
  <si>
    <t>META|2025-07-07</t>
  </si>
  <si>
    <t>META|2025-07-08</t>
  </si>
  <si>
    <t>META|2025-07-09</t>
  </si>
  <si>
    <t>META|2025-07-10</t>
  </si>
  <si>
    <t>META|2025-07-11</t>
  </si>
  <si>
    <t>META|2025-07-14</t>
  </si>
  <si>
    <t>META|2025-07-15</t>
  </si>
  <si>
    <t>META|2025-07-16</t>
  </si>
  <si>
    <t>META|2025-07-17</t>
  </si>
  <si>
    <t>META|2025-07-18</t>
  </si>
  <si>
    <t>META|2025-07-21</t>
  </si>
  <si>
    <t>META|2025-07-22</t>
  </si>
  <si>
    <t>META|2025-07-23</t>
  </si>
  <si>
    <t>META|2025-07-24</t>
  </si>
  <si>
    <t>META|2025-07-25</t>
  </si>
  <si>
    <t>META|2025-07-28</t>
  </si>
  <si>
    <t>META|2025-07-29</t>
  </si>
  <si>
    <t>META|2025-07-30</t>
  </si>
  <si>
    <t>META|2025-07-31</t>
  </si>
  <si>
    <t>META|2025-08-01</t>
  </si>
  <si>
    <t>META|2025-08-04</t>
  </si>
  <si>
    <t>META|2025-08-05</t>
  </si>
  <si>
    <t>META|2025-08-06</t>
  </si>
  <si>
    <t>META|2025-08-07</t>
  </si>
  <si>
    <t>META|2025-08-08</t>
  </si>
  <si>
    <t>META|2025-08-11</t>
  </si>
  <si>
    <t>META|2025-08-12</t>
  </si>
  <si>
    <t>META|2025-08-13</t>
  </si>
  <si>
    <t>META|2025-08-14</t>
  </si>
  <si>
    <t>META|2025-08-15</t>
  </si>
  <si>
    <t>META|2025-08-18</t>
  </si>
  <si>
    <t>META|2025-08-19</t>
  </si>
  <si>
    <t>META|2025-08-20</t>
  </si>
  <si>
    <t>META|2025-08-21</t>
  </si>
  <si>
    <t>META|2025-08-22</t>
  </si>
  <si>
    <t>META|2025-08-25</t>
  </si>
  <si>
    <t>META|2025-08-26</t>
  </si>
  <si>
    <t>META|2025-08-27</t>
  </si>
  <si>
    <t>META|2025-08-28</t>
  </si>
  <si>
    <t>META|2025-08-29</t>
  </si>
  <si>
    <t>META|2025-09-02</t>
  </si>
  <si>
    <t>META|2025-09-03</t>
  </si>
  <si>
    <t>META|2025-09-04</t>
  </si>
  <si>
    <t>META|2025-09-05</t>
  </si>
  <si>
    <t>META|2025-09-08</t>
  </si>
  <si>
    <t>META|2025-09-09</t>
  </si>
  <si>
    <t>META|2025-09-10</t>
  </si>
  <si>
    <t>META|2025-09-11</t>
  </si>
  <si>
    <t>META|2025-09-12</t>
  </si>
  <si>
    <t>META|2025-09-15</t>
  </si>
  <si>
    <t>META|2025-09-16</t>
  </si>
  <si>
    <t>META|2025-09-17</t>
  </si>
  <si>
    <t>META|2025-09-18</t>
  </si>
  <si>
    <t>META|2025-09-19</t>
  </si>
  <si>
    <t>META|2025-09-22</t>
  </si>
  <si>
    <t>META|2025-09-23</t>
  </si>
  <si>
    <t>META|2025-09-24</t>
  </si>
  <si>
    <t>META|2025-09-25</t>
  </si>
  <si>
    <t>META|2025-09-26</t>
  </si>
  <si>
    <t>META|2025-09-29</t>
  </si>
  <si>
    <t>META|2025-10-01</t>
  </si>
  <si>
    <t>META|2025-10-02</t>
  </si>
  <si>
    <t>META|2025-10-03</t>
  </si>
  <si>
    <t>META|2025-10-06</t>
  </si>
  <si>
    <t>META|2025-10-07</t>
  </si>
  <si>
    <t>META|2025-10-08</t>
  </si>
  <si>
    <t>META|2025-10-09</t>
  </si>
  <si>
    <t>META|2025-10-10</t>
  </si>
  <si>
    <t>META|2025-10-13</t>
  </si>
  <si>
    <t>META|2025-10-14</t>
  </si>
  <si>
    <t>META|2025-10-15</t>
  </si>
  <si>
    <t>META|2025-10-16</t>
  </si>
  <si>
    <t>META|2025-10-17</t>
  </si>
  <si>
    <t>META|2025-10-20</t>
  </si>
  <si>
    <t>META|2025-10-21</t>
  </si>
  <si>
    <t>META|2025-10-22</t>
  </si>
  <si>
    <t>META|2025-10-23</t>
  </si>
  <si>
    <t>META|2025-10-24</t>
  </si>
  <si>
    <t>META|2025-10-27</t>
  </si>
  <si>
    <t>META|2025-10-28</t>
  </si>
  <si>
    <t>META|2025-10-29</t>
  </si>
  <si>
    <t>META|2025-10-30</t>
  </si>
  <si>
    <t>META|2025-10-31</t>
  </si>
  <si>
    <t>META|2025-11-03</t>
  </si>
  <si>
    <t>META|2025-11-04</t>
  </si>
  <si>
    <t>META|2025-11-05</t>
  </si>
  <si>
    <t>META|2025-11-06</t>
  </si>
  <si>
    <t>META|2025-11-07</t>
  </si>
  <si>
    <t>META|2025-11-10</t>
  </si>
  <si>
    <t>META|2025-11-11</t>
  </si>
  <si>
    <t>META|2025-11-12</t>
  </si>
  <si>
    <t>META|2025-11-13</t>
  </si>
  <si>
    <t>META|2025-11-14</t>
  </si>
  <si>
    <t>META|2025-11-17</t>
  </si>
  <si>
    <t>META|2025-11-18</t>
  </si>
  <si>
    <t>META|2025-11-19</t>
  </si>
  <si>
    <t>META|2025-11-20</t>
  </si>
  <si>
    <t>META|2025-11-21</t>
  </si>
  <si>
    <t>META|2025-11-24</t>
  </si>
  <si>
    <t>META|2025-11-25</t>
  </si>
  <si>
    <t>META|2025-11-26</t>
  </si>
  <si>
    <t>META|2025-11-28</t>
  </si>
  <si>
    <t>META|2025-12-01</t>
  </si>
  <si>
    <t>META|2025-12-02</t>
  </si>
  <si>
    <t>META|2025-12-03</t>
  </si>
  <si>
    <t>META|2025-12-04</t>
  </si>
  <si>
    <t>META|2025-12-05</t>
  </si>
  <si>
    <t>META|2025-12-08</t>
  </si>
  <si>
    <t>META|2025-12-09</t>
  </si>
  <si>
    <t>META|2025-12-10</t>
  </si>
  <si>
    <t>META|2025-12-11</t>
  </si>
  <si>
    <t>META|2025-12-12</t>
  </si>
  <si>
    <t>META|2025-12-15</t>
  </si>
  <si>
    <t>META|2025-12-16</t>
  </si>
  <si>
    <t>META|2025-12-17</t>
  </si>
  <si>
    <t>META|2025-12-18</t>
  </si>
  <si>
    <t>META|2025-12-19</t>
  </si>
  <si>
    <t>META|2025-12-22</t>
  </si>
  <si>
    <t>META|2025-12-23</t>
  </si>
  <si>
    <t>META|2025-12-24</t>
  </si>
  <si>
    <t>META|2025-12-26</t>
  </si>
  <si>
    <t>META|2025-12-29</t>
  </si>
  <si>
    <t>META|2025-12-30</t>
  </si>
  <si>
    <t>META|2026-01-02</t>
  </si>
  <si>
    <t>META|2026-01-05</t>
  </si>
  <si>
    <t>META|2026-01-06</t>
  </si>
  <si>
    <t>META|2026-01-07</t>
  </si>
  <si>
    <t>META|2026-01-08</t>
  </si>
  <si>
    <t>META|2026-01-09</t>
  </si>
  <si>
    <t>META|2026-01-12</t>
  </si>
  <si>
    <t>META|2026-01-13</t>
  </si>
  <si>
    <t>META|2026-01-14</t>
  </si>
  <si>
    <t>META|2026-01-15</t>
  </si>
  <si>
    <t>META|2026-01-16</t>
  </si>
  <si>
    <t>META|2026-01-20</t>
  </si>
  <si>
    <t>META|2026-01-21</t>
  </si>
  <si>
    <t>META|2026-01-22</t>
  </si>
  <si>
    <t>META|2026-01-23</t>
  </si>
  <si>
    <t>META|2026-01-26</t>
  </si>
  <si>
    <t>META|2026-01-27</t>
  </si>
  <si>
    <t>META|2026-01-28</t>
  </si>
  <si>
    <t>META|2026-01-29</t>
  </si>
  <si>
    <t>META|2026-01-30</t>
  </si>
  <si>
    <t>META|2026-02-02</t>
  </si>
  <si>
    <t>META|2026-02-03</t>
  </si>
  <si>
    <t>META|2026-02-04</t>
  </si>
  <si>
    <t>META|2026-02-05</t>
  </si>
  <si>
    <t>META|2026-02-06</t>
  </si>
  <si>
    <t>META|2026-02-09</t>
  </si>
  <si>
    <t>META|2026-02-10</t>
  </si>
  <si>
    <t>META|2026-02-11</t>
  </si>
  <si>
    <t>META|2026-02-12</t>
  </si>
  <si>
    <t>META|2026-02-13</t>
  </si>
  <si>
    <t>META|2026-02-17</t>
  </si>
  <si>
    <t>META|2026-02-18</t>
  </si>
  <si>
    <t>META|2026-02-19</t>
  </si>
  <si>
    <t>META|2026-02-20</t>
  </si>
  <si>
    <t>META|2026-02-23</t>
  </si>
  <si>
    <t>META|2026-02-24</t>
  </si>
  <si>
    <t>MSFT|2024-12-24</t>
  </si>
  <si>
    <t>MSFT|2024-12-26</t>
  </si>
  <si>
    <t>MSFT|2024-12-27</t>
  </si>
  <si>
    <t>MSFT|2024-12-30</t>
  </si>
  <si>
    <t>MSFT|2024-12-31</t>
  </si>
  <si>
    <t>MSFT|2025-01-02</t>
  </si>
  <si>
    <t>MSFT|2025-01-03</t>
  </si>
  <si>
    <t>MSFT|2025-01-06</t>
  </si>
  <si>
    <t>MSFT|2025-01-07</t>
  </si>
  <si>
    <t>MSFT|2025-01-08</t>
  </si>
  <si>
    <t>MSFT|2025-01-10</t>
  </si>
  <si>
    <t>MSFT|2025-01-13</t>
  </si>
  <si>
    <t>MSFT|2025-01-14</t>
  </si>
  <si>
    <t>MSFT|2025-01-15</t>
  </si>
  <si>
    <t>MSFT|2025-01-16</t>
  </si>
  <si>
    <t>MSFT|2025-01-17</t>
  </si>
  <si>
    <t>MSFT|2025-01-21</t>
  </si>
  <si>
    <t>MSFT|2025-01-22</t>
  </si>
  <si>
    <t>MSFT|2025-01-23</t>
  </si>
  <si>
    <t>MSFT|2025-01-24</t>
  </si>
  <si>
    <t>MSFT|2025-01-27</t>
  </si>
  <si>
    <t>MSFT|2025-01-28</t>
  </si>
  <si>
    <t>MSFT|2025-01-29</t>
  </si>
  <si>
    <t>MSFT|2025-01-30</t>
  </si>
  <si>
    <t>MSFT|2025-01-31</t>
  </si>
  <si>
    <t>MSFT|2025-02-03</t>
  </si>
  <si>
    <t>MSFT|2025-02-04</t>
  </si>
  <si>
    <t>MSFT|2025-02-05</t>
  </si>
  <si>
    <t>MSFT|2025-02-06</t>
  </si>
  <si>
    <t>MSFT|2025-02-07</t>
  </si>
  <si>
    <t>MSFT|2025-02-10</t>
  </si>
  <si>
    <t>MSFT|2025-02-11</t>
  </si>
  <si>
    <t>MSFT|2025-02-12</t>
  </si>
  <si>
    <t>MSFT|2025-02-13</t>
  </si>
  <si>
    <t>MSFT|2025-02-14</t>
  </si>
  <si>
    <t>MSFT|2025-02-18</t>
  </si>
  <si>
    <t>MSFT|2025-02-19</t>
  </si>
  <si>
    <t>MSFT|2025-02-20</t>
  </si>
  <si>
    <t>MSFT|2025-02-21</t>
  </si>
  <si>
    <t>MSFT|2025-02-24</t>
  </si>
  <si>
    <t>MSFT|2025-02-25</t>
  </si>
  <si>
    <t>MSFT|2025-02-26</t>
  </si>
  <si>
    <t>MSFT|2025-02-27</t>
  </si>
  <si>
    <t>MSFT|2025-02-28</t>
  </si>
  <si>
    <t>MSFT|2025-03-03</t>
  </si>
  <si>
    <t>MSFT|2025-03-04</t>
  </si>
  <si>
    <t>MSFT|2025-03-05</t>
  </si>
  <si>
    <t>MSFT|2025-03-06</t>
  </si>
  <si>
    <t>MSFT|2025-03-07</t>
  </si>
  <si>
    <t>MSFT|2025-03-10</t>
  </si>
  <si>
    <t>MSFT|2025-03-11</t>
  </si>
  <si>
    <t>MSFT|2025-03-12</t>
  </si>
  <si>
    <t>MSFT|2025-03-13</t>
  </si>
  <si>
    <t>MSFT|2025-03-14</t>
  </si>
  <si>
    <t>MSFT|2025-03-17</t>
  </si>
  <si>
    <t>MSFT|2025-03-18</t>
  </si>
  <si>
    <t>MSFT|2025-03-19</t>
  </si>
  <si>
    <t>MSFT|2025-03-20</t>
  </si>
  <si>
    <t>MSFT|2025-03-21</t>
  </si>
  <si>
    <t>MSFT|2025-03-24</t>
  </si>
  <si>
    <t>MSFT|2025-03-25</t>
  </si>
  <si>
    <t>MSFT|2025-03-26</t>
  </si>
  <si>
    <t>MSFT|2025-03-27</t>
  </si>
  <si>
    <t>MSFT|2025-03-28</t>
  </si>
  <si>
    <t>MSFT|2025-04-01</t>
  </si>
  <si>
    <t>MSFT|2025-04-02</t>
  </si>
  <si>
    <t>MSFT|2025-04-03</t>
  </si>
  <si>
    <t>MSFT|2025-04-04</t>
  </si>
  <si>
    <t>MSFT|2025-04-07</t>
  </si>
  <si>
    <t>MSFT|2025-04-08</t>
  </si>
  <si>
    <t>MSFT|2025-04-09</t>
  </si>
  <si>
    <t>MSFT|2025-04-10</t>
  </si>
  <si>
    <t>MSFT|2025-04-11</t>
  </si>
  <si>
    <t>MSFT|2025-04-14</t>
  </si>
  <si>
    <t>MSFT|2025-04-15</t>
  </si>
  <si>
    <t>MSFT|2025-04-16</t>
  </si>
  <si>
    <t>MSFT|2025-04-17</t>
  </si>
  <si>
    <t>MSFT|2025-04-21</t>
  </si>
  <si>
    <t>MSFT|2025-04-22</t>
  </si>
  <si>
    <t>MSFT|2025-04-23</t>
  </si>
  <si>
    <t>MSFT|2025-04-24</t>
  </si>
  <si>
    <t>MSFT|2025-04-25</t>
  </si>
  <si>
    <t>MSFT|2025-04-28</t>
  </si>
  <si>
    <t>MSFT|2025-04-29</t>
  </si>
  <si>
    <t>MSFT|2025-04-30</t>
  </si>
  <si>
    <t>MSFT|2025-05-01</t>
  </si>
  <si>
    <t>MSFT|2025-05-02</t>
  </si>
  <si>
    <t>MSFT|2025-05-05</t>
  </si>
  <si>
    <t>MSFT|2025-05-06</t>
  </si>
  <si>
    <t>MSFT|2025-05-07</t>
  </si>
  <si>
    <t>MSFT|2025-05-08</t>
  </si>
  <si>
    <t>MSFT|2025-05-09</t>
  </si>
  <si>
    <t>MSFT|2025-05-12</t>
  </si>
  <si>
    <t>MSFT|2025-05-13</t>
  </si>
  <si>
    <t>MSFT|2025-05-14</t>
  </si>
  <si>
    <t>MSFT|2025-05-15</t>
  </si>
  <si>
    <t>MSFT|2025-05-16</t>
  </si>
  <si>
    <t>MSFT|2025-05-19</t>
  </si>
  <si>
    <t>MSFT|2025-05-20</t>
  </si>
  <si>
    <t>MSFT|2025-05-21</t>
  </si>
  <si>
    <t>MSFT|2025-05-22</t>
  </si>
  <si>
    <t>MSFT|2025-05-23</t>
  </si>
  <si>
    <t>MSFT|2025-05-27</t>
  </si>
  <si>
    <t>MSFT|2025-05-28</t>
  </si>
  <si>
    <t>MSFT|2025-05-29</t>
  </si>
  <si>
    <t>MSFT|2025-05-30</t>
  </si>
  <si>
    <t>MSFT|2025-06-02</t>
  </si>
  <si>
    <t>MSFT|2025-06-03</t>
  </si>
  <si>
    <t>MSFT|2025-06-04</t>
  </si>
  <si>
    <t>MSFT|2025-06-05</t>
  </si>
  <si>
    <t>MSFT|2025-06-06</t>
  </si>
  <si>
    <t>MSFT|2025-06-09</t>
  </si>
  <si>
    <t>MSFT|2025-06-10</t>
  </si>
  <si>
    <t>MSFT|2025-06-11</t>
  </si>
  <si>
    <t>MSFT|2025-06-12</t>
  </si>
  <si>
    <t>MSFT|2025-06-13</t>
  </si>
  <si>
    <t>MSFT|2025-06-16</t>
  </si>
  <si>
    <t>MSFT|2025-06-17</t>
  </si>
  <si>
    <t>MSFT|2025-06-18</t>
  </si>
  <si>
    <t>MSFT|2025-06-20</t>
  </si>
  <si>
    <t>MSFT|2025-06-23</t>
  </si>
  <si>
    <t>MSFT|2025-06-24</t>
  </si>
  <si>
    <t>MSFT|2025-06-25</t>
  </si>
  <si>
    <t>MSFT|2025-06-26</t>
  </si>
  <si>
    <t>MSFT|2025-06-27</t>
  </si>
  <si>
    <t>MSFT|2025-07-01</t>
  </si>
  <si>
    <t>MSFT|2025-07-02</t>
  </si>
  <si>
    <t>MSFT|2025-07-03</t>
  </si>
  <si>
    <t>MSFT|2025-07-07</t>
  </si>
  <si>
    <t>MSFT|2025-07-08</t>
  </si>
  <si>
    <t>MSFT|2025-07-09</t>
  </si>
  <si>
    <t>MSFT|2025-07-10</t>
  </si>
  <si>
    <t>MSFT|2025-07-11</t>
  </si>
  <si>
    <t>MSFT|2025-07-14</t>
  </si>
  <si>
    <t>MSFT|2025-07-15</t>
  </si>
  <si>
    <t>MSFT|2025-07-16</t>
  </si>
  <si>
    <t>MSFT|2025-07-17</t>
  </si>
  <si>
    <t>MSFT|2025-07-18</t>
  </si>
  <si>
    <t>MSFT|2025-07-21</t>
  </si>
  <si>
    <t>MSFT|2025-07-22</t>
  </si>
  <si>
    <t>MSFT|2025-07-23</t>
  </si>
  <si>
    <t>MSFT|2025-07-24</t>
  </si>
  <si>
    <t>MSFT|2025-07-25</t>
  </si>
  <si>
    <t>MSFT|2025-07-28</t>
  </si>
  <si>
    <t>MSFT|2025-07-29</t>
  </si>
  <si>
    <t>MSFT|2025-07-30</t>
  </si>
  <si>
    <t>MSFT|2025-07-31</t>
  </si>
  <si>
    <t>MSFT|2025-08-01</t>
  </si>
  <si>
    <t>MSFT|2025-08-04</t>
  </si>
  <si>
    <t>MSFT|2025-08-05</t>
  </si>
  <si>
    <t>MSFT|2025-08-06</t>
  </si>
  <si>
    <t>MSFT|2025-08-07</t>
  </si>
  <si>
    <t>MSFT|2025-08-08</t>
  </si>
  <si>
    <t>MSFT|2025-08-11</t>
  </si>
  <si>
    <t>MSFT|2025-08-12</t>
  </si>
  <si>
    <t>MSFT|2025-08-13</t>
  </si>
  <si>
    <t>MSFT|2025-08-14</t>
  </si>
  <si>
    <t>MSFT|2025-08-15</t>
  </si>
  <si>
    <t>MSFT|2025-08-18</t>
  </si>
  <si>
    <t>MSFT|2025-08-19</t>
  </si>
  <si>
    <t>MSFT|2025-08-20</t>
  </si>
  <si>
    <t>MSFT|2025-08-21</t>
  </si>
  <si>
    <t>MSFT|2025-08-22</t>
  </si>
  <si>
    <t>MSFT|2025-08-25</t>
  </si>
  <si>
    <t>MSFT|2025-08-26</t>
  </si>
  <si>
    <t>MSFT|2025-08-27</t>
  </si>
  <si>
    <t>MSFT|2025-08-28</t>
  </si>
  <si>
    <t>MSFT|2025-08-29</t>
  </si>
  <si>
    <t>MSFT|2025-09-02</t>
  </si>
  <si>
    <t>MSFT|2025-09-03</t>
  </si>
  <si>
    <t>MSFT|2025-09-04</t>
  </si>
  <si>
    <t>MSFT|2025-09-05</t>
  </si>
  <si>
    <t>MSFT|2025-09-08</t>
  </si>
  <si>
    <t>MSFT|2025-09-09</t>
  </si>
  <si>
    <t>MSFT|2025-09-10</t>
  </si>
  <si>
    <t>MSFT|2025-09-11</t>
  </si>
  <si>
    <t>MSFT|2025-09-12</t>
  </si>
  <si>
    <t>MSFT|2025-09-15</t>
  </si>
  <si>
    <t>MSFT|2025-09-16</t>
  </si>
  <si>
    <t>MSFT|2025-09-17</t>
  </si>
  <si>
    <t>MSFT|2025-09-18</t>
  </si>
  <si>
    <t>MSFT|2025-09-19</t>
  </si>
  <si>
    <t>MSFT|2025-09-22</t>
  </si>
  <si>
    <t>MSFT|2025-09-23</t>
  </si>
  <si>
    <t>MSFT|2025-09-24</t>
  </si>
  <si>
    <t>MSFT|2025-09-25</t>
  </si>
  <si>
    <t>MSFT|2025-09-26</t>
  </si>
  <si>
    <t>MSFT|2025-09-29</t>
  </si>
  <si>
    <t>MSFT|2025-10-01</t>
  </si>
  <si>
    <t>MSFT|2025-10-02</t>
  </si>
  <si>
    <t>MSFT|2025-10-03</t>
  </si>
  <si>
    <t>MSFT|2025-10-06</t>
  </si>
  <si>
    <t>MSFT|2025-10-07</t>
  </si>
  <si>
    <t>MSFT|2025-10-08</t>
  </si>
  <si>
    <t>MSFT|2025-10-09</t>
  </si>
  <si>
    <t>MSFT|2025-10-10</t>
  </si>
  <si>
    <t>MSFT|2025-10-13</t>
  </si>
  <si>
    <t>MSFT|2025-10-14</t>
  </si>
  <si>
    <t>MSFT|2025-10-15</t>
  </si>
  <si>
    <t>MSFT|2025-10-16</t>
  </si>
  <si>
    <t>MSFT|2025-10-17</t>
  </si>
  <si>
    <t>MSFT|2025-10-20</t>
  </si>
  <si>
    <t>MSFT|2025-10-21</t>
  </si>
  <si>
    <t>MSFT|2025-10-22</t>
  </si>
  <si>
    <t>MSFT|2025-10-23</t>
  </si>
  <si>
    <t>MSFT|2025-10-24</t>
  </si>
  <si>
    <t>MSFT|2025-10-27</t>
  </si>
  <si>
    <t>MSFT|2025-10-28</t>
  </si>
  <si>
    <t>MSFT|2025-10-29</t>
  </si>
  <si>
    <t>MSFT|2025-10-30</t>
  </si>
  <si>
    <t>MSFT|2025-10-31</t>
  </si>
  <si>
    <t>MSFT|2025-11-03</t>
  </si>
  <si>
    <t>MSFT|2025-11-04</t>
  </si>
  <si>
    <t>MSFT|2025-11-05</t>
  </si>
  <si>
    <t>MSFT|2025-11-06</t>
  </si>
  <si>
    <t>MSFT|2025-11-07</t>
  </si>
  <si>
    <t>MSFT|2025-11-10</t>
  </si>
  <si>
    <t>MSFT|2025-11-11</t>
  </si>
  <si>
    <t>MSFT|2025-11-12</t>
  </si>
  <si>
    <t>MSFT|2025-11-13</t>
  </si>
  <si>
    <t>MSFT|2025-11-14</t>
  </si>
  <si>
    <t>MSFT|2025-11-17</t>
  </si>
  <si>
    <t>MSFT|2025-11-18</t>
  </si>
  <si>
    <t>MSFT|2025-11-19</t>
  </si>
  <si>
    <t>MSFT|2025-11-20</t>
  </si>
  <si>
    <t>MSFT|2025-11-21</t>
  </si>
  <si>
    <t>MSFT|2025-11-24</t>
  </si>
  <si>
    <t>MSFT|2025-11-25</t>
  </si>
  <si>
    <t>MSFT|2025-11-26</t>
  </si>
  <si>
    <t>MSFT|2025-11-28</t>
  </si>
  <si>
    <t>MSFT|2025-12-01</t>
  </si>
  <si>
    <t>MSFT|2025-12-02</t>
  </si>
  <si>
    <t>MSFT|2025-12-03</t>
  </si>
  <si>
    <t>MSFT|2025-12-04</t>
  </si>
  <si>
    <t>MSFT|2025-12-05</t>
  </si>
  <si>
    <t>MSFT|2025-12-08</t>
  </si>
  <si>
    <t>MSFT|2025-12-09</t>
  </si>
  <si>
    <t>MSFT|2025-12-10</t>
  </si>
  <si>
    <t>MSFT|2025-12-11</t>
  </si>
  <si>
    <t>MSFT|2025-12-12</t>
  </si>
  <si>
    <t>MSFT|2025-12-15</t>
  </si>
  <si>
    <t>MSFT|2025-12-16</t>
  </si>
  <si>
    <t>MSFT|2025-12-17</t>
  </si>
  <si>
    <t>MSFT|2025-12-18</t>
  </si>
  <si>
    <t>MSFT|2025-12-19</t>
  </si>
  <si>
    <t>MSFT|2025-12-22</t>
  </si>
  <si>
    <t>MSFT|2025-12-23</t>
  </si>
  <si>
    <t>MSFT|2025-12-24</t>
  </si>
  <si>
    <t>MSFT|2025-12-26</t>
  </si>
  <si>
    <t>MSFT|2025-12-29</t>
  </si>
  <si>
    <t>MSFT|2025-12-30</t>
  </si>
  <si>
    <t>MSFT|2026-01-02</t>
  </si>
  <si>
    <t>MSFT|2026-01-05</t>
  </si>
  <si>
    <t>MSFT|2026-01-06</t>
  </si>
  <si>
    <t>MSFT|2026-01-07</t>
  </si>
  <si>
    <t>MSFT|2026-01-08</t>
  </si>
  <si>
    <t>MSFT|2026-01-09</t>
  </si>
  <si>
    <t>MSFT|2026-01-12</t>
  </si>
  <si>
    <t>MSFT|2026-01-13</t>
  </si>
  <si>
    <t>MSFT|2026-01-14</t>
  </si>
  <si>
    <t>MSFT|2026-01-15</t>
  </si>
  <si>
    <t>MSFT|2026-01-16</t>
  </si>
  <si>
    <t>MSFT|2026-01-20</t>
  </si>
  <si>
    <t>MSFT|2026-01-21</t>
  </si>
  <si>
    <t>MSFT|2026-01-22</t>
  </si>
  <si>
    <t>MSFT|2026-01-23</t>
  </si>
  <si>
    <t>MSFT|2026-01-26</t>
  </si>
  <si>
    <t>MSFT|2026-01-27</t>
  </si>
  <si>
    <t>MSFT|2026-01-28</t>
  </si>
  <si>
    <t>MSFT|2026-01-29</t>
  </si>
  <si>
    <t>MSFT|2026-01-30</t>
  </si>
  <si>
    <t>MSFT|2026-02-02</t>
  </si>
  <si>
    <t>MSFT|2026-02-03</t>
  </si>
  <si>
    <t>MSFT|2026-02-04</t>
  </si>
  <si>
    <t>MSFT|2026-02-05</t>
  </si>
  <si>
    <t>MSFT|2026-02-06</t>
  </si>
  <si>
    <t>MSFT|2026-02-09</t>
  </si>
  <si>
    <t>MSFT|2026-02-10</t>
  </si>
  <si>
    <t>MSFT|2026-02-11</t>
  </si>
  <si>
    <t>MSFT|2026-02-12</t>
  </si>
  <si>
    <t>MSFT|2026-02-13</t>
  </si>
  <si>
    <t>MSFT|2026-02-17</t>
  </si>
  <si>
    <t>MSFT|2026-02-18</t>
  </si>
  <si>
    <t>MSFT|2026-02-19</t>
  </si>
  <si>
    <t>MSFT|2026-02-20</t>
  </si>
  <si>
    <t>MSFT|2026-02-23</t>
  </si>
  <si>
    <t>MSFT|2026-02-24</t>
  </si>
  <si>
    <t>NVDA|2024-12-24</t>
  </si>
  <si>
    <t>NVDA|2024-12-26</t>
  </si>
  <si>
    <t>NVDA|2024-12-27</t>
  </si>
  <si>
    <t>NVDA|2024-12-30</t>
  </si>
  <si>
    <t>NVDA|2024-12-31</t>
  </si>
  <si>
    <t>NVDA|2025-01-02</t>
  </si>
  <si>
    <t>NVDA|2025-01-03</t>
  </si>
  <si>
    <t>NVDA|2025-01-06</t>
  </si>
  <si>
    <t>NVDA|2025-01-07</t>
  </si>
  <si>
    <t>NVDA|2025-01-08</t>
  </si>
  <si>
    <t>NVDA|2025-01-10</t>
  </si>
  <si>
    <t>NVDA|2025-01-13</t>
  </si>
  <si>
    <t>NVDA|2025-01-14</t>
  </si>
  <si>
    <t>NVDA|2025-01-15</t>
  </si>
  <si>
    <t>NVDA|2025-01-16</t>
  </si>
  <si>
    <t>NVDA|2025-01-17</t>
  </si>
  <si>
    <t>NVDA|2025-01-21</t>
  </si>
  <si>
    <t>NVDA|2025-01-22</t>
  </si>
  <si>
    <t>NVDA|2025-01-23</t>
  </si>
  <si>
    <t>NVDA|2025-01-24</t>
  </si>
  <si>
    <t>NVDA|2025-01-27</t>
  </si>
  <si>
    <t>NVDA|2025-01-28</t>
  </si>
  <si>
    <t>NVDA|2025-01-29</t>
  </si>
  <si>
    <t>NVDA|2025-01-30</t>
  </si>
  <si>
    <t>NVDA|2025-01-31</t>
  </si>
  <si>
    <t>NVDA|2025-02-03</t>
  </si>
  <si>
    <t>NVDA|2025-02-04</t>
  </si>
  <si>
    <t>NVDA|2025-02-05</t>
  </si>
  <si>
    <t>NVDA|2025-02-06</t>
  </si>
  <si>
    <t>NVDA|2025-02-07</t>
  </si>
  <si>
    <t>NVDA|2025-02-10</t>
  </si>
  <si>
    <t>NVDA|2025-02-11</t>
  </si>
  <si>
    <t>NVDA|2025-02-12</t>
  </si>
  <si>
    <t>NVDA|2025-02-13</t>
  </si>
  <si>
    <t>NVDA|2025-02-14</t>
  </si>
  <si>
    <t>NVDA|2025-02-18</t>
  </si>
  <si>
    <t>NVDA|2025-02-19</t>
  </si>
  <si>
    <t>NVDA|2025-02-20</t>
  </si>
  <si>
    <t>NVDA|2025-02-21</t>
  </si>
  <si>
    <t>NVDA|2025-02-24</t>
  </si>
  <si>
    <t>NVDA|2025-02-25</t>
  </si>
  <si>
    <t>NVDA|2025-02-26</t>
  </si>
  <si>
    <t>NVDA|2025-02-27</t>
  </si>
  <si>
    <t>NVDA|2025-02-28</t>
  </si>
  <si>
    <t>NVDA|2025-03-03</t>
  </si>
  <si>
    <t>NVDA|2025-03-04</t>
  </si>
  <si>
    <t>NVDA|2025-03-05</t>
  </si>
  <si>
    <t>NVDA|2025-03-06</t>
  </si>
  <si>
    <t>NVDA|2025-03-07</t>
  </si>
  <si>
    <t>NVDA|2025-03-10</t>
  </si>
  <si>
    <t>NVDA|2025-03-11</t>
  </si>
  <si>
    <t>NVDA|2025-03-12</t>
  </si>
  <si>
    <t>NVDA|2025-03-13</t>
  </si>
  <si>
    <t>NVDA|2025-03-14</t>
  </si>
  <si>
    <t>NVDA|2025-03-17</t>
  </si>
  <si>
    <t>NVDA|2025-03-18</t>
  </si>
  <si>
    <t>NVDA|2025-03-19</t>
  </si>
  <si>
    <t>NVDA|2025-03-20</t>
  </si>
  <si>
    <t>NVDA|2025-03-21</t>
  </si>
  <si>
    <t>NVDA|2025-03-24</t>
  </si>
  <si>
    <t>NVDA|2025-03-25</t>
  </si>
  <si>
    <t>NVDA|2025-03-26</t>
  </si>
  <si>
    <t>NVDA|2025-03-27</t>
  </si>
  <si>
    <t>NVDA|2025-03-28</t>
  </si>
  <si>
    <t>NVDA|2025-04-01</t>
  </si>
  <si>
    <t>NVDA|2025-04-02</t>
  </si>
  <si>
    <t>NVDA|2025-04-03</t>
  </si>
  <si>
    <t>NVDA|2025-04-04</t>
  </si>
  <si>
    <t>NVDA|2025-04-07</t>
  </si>
  <si>
    <t>NVDA|2025-04-08</t>
  </si>
  <si>
    <t>NVDA|2025-04-09</t>
  </si>
  <si>
    <t>NVDA|2025-04-10</t>
  </si>
  <si>
    <t>NVDA|2025-04-11</t>
  </si>
  <si>
    <t>NVDA|2025-04-14</t>
  </si>
  <si>
    <t>NVDA|2025-04-15</t>
  </si>
  <si>
    <t>NVDA|2025-04-16</t>
  </si>
  <si>
    <t>NVDA|2025-04-17</t>
  </si>
  <si>
    <t>NVDA|2025-04-21</t>
  </si>
  <si>
    <t>NVDA|2025-04-22</t>
  </si>
  <si>
    <t>NVDA|2025-04-23</t>
  </si>
  <si>
    <t>NVDA|2025-04-24</t>
  </si>
  <si>
    <t>NVDA|2025-04-25</t>
  </si>
  <si>
    <t>NVDA|2025-04-28</t>
  </si>
  <si>
    <t>NVDA|2025-04-29</t>
  </si>
  <si>
    <t>NVDA|2025-04-30</t>
  </si>
  <si>
    <t>NVDA|2025-05-01</t>
  </si>
  <si>
    <t>NVDA|2025-05-02</t>
  </si>
  <si>
    <t>NVDA|2025-05-05</t>
  </si>
  <si>
    <t>NVDA|2025-05-06</t>
  </si>
  <si>
    <t>NVDA|2025-05-07</t>
  </si>
  <si>
    <t>NVDA|2025-05-08</t>
  </si>
  <si>
    <t>NVDA|2025-05-09</t>
  </si>
  <si>
    <t>NVDA|2025-05-12</t>
  </si>
  <si>
    <t>NVDA|2025-05-13</t>
  </si>
  <si>
    <t>NVDA|2025-05-14</t>
  </si>
  <si>
    <t>NVDA|2025-05-15</t>
  </si>
  <si>
    <t>NVDA|2025-05-16</t>
  </si>
  <si>
    <t>NVDA|2025-05-19</t>
  </si>
  <si>
    <t>NVDA|2025-05-20</t>
  </si>
  <si>
    <t>NVDA|2025-05-21</t>
  </si>
  <si>
    <t>NVDA|2025-05-22</t>
  </si>
  <si>
    <t>NVDA|2025-05-23</t>
  </si>
  <si>
    <t>NVDA|2025-05-27</t>
  </si>
  <si>
    <t>NVDA|2025-05-28</t>
  </si>
  <si>
    <t>NVDA|2025-05-29</t>
  </si>
  <si>
    <t>NVDA|2025-05-30</t>
  </si>
  <si>
    <t>NVDA|2025-06-02</t>
  </si>
  <si>
    <t>NVDA|2025-06-03</t>
  </si>
  <si>
    <t>NVDA|2025-06-04</t>
  </si>
  <si>
    <t>NVDA|2025-06-05</t>
  </si>
  <si>
    <t>NVDA|2025-06-06</t>
  </si>
  <si>
    <t>NVDA|2025-06-09</t>
  </si>
  <si>
    <t>NVDA|2025-06-10</t>
  </si>
  <si>
    <t>NVDA|2025-06-11</t>
  </si>
  <si>
    <t>NVDA|2025-06-12</t>
  </si>
  <si>
    <t>NVDA|2025-06-13</t>
  </si>
  <si>
    <t>NVDA|2025-06-16</t>
  </si>
  <si>
    <t>NVDA|2025-06-17</t>
  </si>
  <si>
    <t>NVDA|2025-06-18</t>
  </si>
  <si>
    <t>NVDA|2025-06-20</t>
  </si>
  <si>
    <t>NVDA|2025-06-23</t>
  </si>
  <si>
    <t>NVDA|2025-06-24</t>
  </si>
  <si>
    <t>NVDA|2025-06-25</t>
  </si>
  <si>
    <t>NVDA|2025-06-26</t>
  </si>
  <si>
    <t>NVDA|2025-06-27</t>
  </si>
  <si>
    <t>NVDA|2025-07-01</t>
  </si>
  <si>
    <t>NVDA|2025-07-02</t>
  </si>
  <si>
    <t>NVDA|2025-07-03</t>
  </si>
  <si>
    <t>NVDA|2025-07-07</t>
  </si>
  <si>
    <t>NVDA|2025-07-08</t>
  </si>
  <si>
    <t>NVDA|2025-07-09</t>
  </si>
  <si>
    <t>NVDA|2025-07-10</t>
  </si>
  <si>
    <t>NVDA|2025-07-11</t>
  </si>
  <si>
    <t>NVDA|2025-07-14</t>
  </si>
  <si>
    <t>NVDA|2025-07-15</t>
  </si>
  <si>
    <t>NVDA|2025-07-16</t>
  </si>
  <si>
    <t>NVDA|2025-07-17</t>
  </si>
  <si>
    <t>NVDA|2025-07-18</t>
  </si>
  <si>
    <t>NVDA|2025-07-21</t>
  </si>
  <si>
    <t>NVDA|2025-07-22</t>
  </si>
  <si>
    <t>NVDA|2025-07-23</t>
  </si>
  <si>
    <t>NVDA|2025-07-24</t>
  </si>
  <si>
    <t>NVDA|2025-07-25</t>
  </si>
  <si>
    <t>NVDA|2025-07-28</t>
  </si>
  <si>
    <t>NVDA|2025-07-29</t>
  </si>
  <si>
    <t>NVDA|2025-07-30</t>
  </si>
  <si>
    <t>NVDA|2025-07-31</t>
  </si>
  <si>
    <t>NVDA|2025-08-01</t>
  </si>
  <si>
    <t>NVDA|2025-08-04</t>
  </si>
  <si>
    <t>NVDA|2025-08-05</t>
  </si>
  <si>
    <t>NVDA|2025-08-06</t>
  </si>
  <si>
    <t>NVDA|2025-08-07</t>
  </si>
  <si>
    <t>NVDA|2025-08-08</t>
  </si>
  <si>
    <t>NVDA|2025-08-11</t>
  </si>
  <si>
    <t>NVDA|2025-08-12</t>
  </si>
  <si>
    <t>NVDA|2025-08-13</t>
  </si>
  <si>
    <t>NVDA|2025-08-14</t>
  </si>
  <si>
    <t>NVDA|2025-08-15</t>
  </si>
  <si>
    <t>NVDA|2025-08-18</t>
  </si>
  <si>
    <t>NVDA|2025-08-19</t>
  </si>
  <si>
    <t>NVDA|2025-08-20</t>
  </si>
  <si>
    <t>NVDA|2025-08-21</t>
  </si>
  <si>
    <t>NVDA|2025-08-22</t>
  </si>
  <si>
    <t>NVDA|2025-08-25</t>
  </si>
  <si>
    <t>NVDA|2025-08-26</t>
  </si>
  <si>
    <t>NVDA|2025-08-27</t>
  </si>
  <si>
    <t>NVDA|2025-08-28</t>
  </si>
  <si>
    <t>NVDA|2025-08-29</t>
  </si>
  <si>
    <t>NVDA|2025-09-02</t>
  </si>
  <si>
    <t>NVDA|2025-09-03</t>
  </si>
  <si>
    <t>NVDA|2025-09-04</t>
  </si>
  <si>
    <t>NVDA|2025-09-05</t>
  </si>
  <si>
    <t>NVDA|2025-09-08</t>
  </si>
  <si>
    <t>NVDA|2025-09-09</t>
  </si>
  <si>
    <t>NVDA|2025-09-10</t>
  </si>
  <si>
    <t>NVDA|2025-09-11</t>
  </si>
  <si>
    <t>NVDA|2025-09-12</t>
  </si>
  <si>
    <t>NVDA|2025-09-15</t>
  </si>
  <si>
    <t>NVDA|2025-09-16</t>
  </si>
  <si>
    <t>NVDA|2025-09-17</t>
  </si>
  <si>
    <t>NVDA|2025-09-18</t>
  </si>
  <si>
    <t>NVDA|2025-09-19</t>
  </si>
  <si>
    <t>NVDA|2025-09-22</t>
  </si>
  <si>
    <t>NVDA|2025-09-23</t>
  </si>
  <si>
    <t>NVDA|2025-09-24</t>
  </si>
  <si>
    <t>NVDA|2025-09-25</t>
  </si>
  <si>
    <t>NVDA|2025-09-26</t>
  </si>
  <si>
    <t>NVDA|2025-09-29</t>
  </si>
  <si>
    <t>NVDA|2025-10-01</t>
  </si>
  <si>
    <t>NVDA|2025-10-02</t>
  </si>
  <si>
    <t>NVDA|2025-10-03</t>
  </si>
  <si>
    <t>NVDA|2025-10-06</t>
  </si>
  <si>
    <t>NVDA|2025-10-07</t>
  </si>
  <si>
    <t>NVDA|2025-10-08</t>
  </si>
  <si>
    <t>NVDA|2025-10-09</t>
  </si>
  <si>
    <t>NVDA|2025-10-10</t>
  </si>
  <si>
    <t>NVDA|2025-10-13</t>
  </si>
  <si>
    <t>NVDA|2025-10-14</t>
  </si>
  <si>
    <t>NVDA|2025-10-15</t>
  </si>
  <si>
    <t>NVDA|2025-10-16</t>
  </si>
  <si>
    <t>NVDA|2025-10-17</t>
  </si>
  <si>
    <t>NVDA|2025-10-20</t>
  </si>
  <si>
    <t>NVDA|2025-10-21</t>
  </si>
  <si>
    <t>NVDA|2025-10-22</t>
  </si>
  <si>
    <t>NVDA|2025-10-23</t>
  </si>
  <si>
    <t>NVDA|2025-10-24</t>
  </si>
  <si>
    <t>NVDA|2025-10-27</t>
  </si>
  <si>
    <t>NVDA|2025-10-28</t>
  </si>
  <si>
    <t>NVDA|2025-10-29</t>
  </si>
  <si>
    <t>NVDA|2025-10-30</t>
  </si>
  <si>
    <t>NVDA|2025-10-31</t>
  </si>
  <si>
    <t>NVDA|2025-11-03</t>
  </si>
  <si>
    <t>NVDA|2025-11-04</t>
  </si>
  <si>
    <t>NVDA|2025-11-05</t>
  </si>
  <si>
    <t>NVDA|2025-11-06</t>
  </si>
  <si>
    <t>NVDA|2025-11-07</t>
  </si>
  <si>
    <t>NVDA|2025-11-10</t>
  </si>
  <si>
    <t>NVDA|2025-11-11</t>
  </si>
  <si>
    <t>NVDA|2025-11-12</t>
  </si>
  <si>
    <t>NVDA|2025-11-13</t>
  </si>
  <si>
    <t>NVDA|2025-11-14</t>
  </si>
  <si>
    <t>NVDA|2025-11-17</t>
  </si>
  <si>
    <t>NVDA|2025-11-18</t>
  </si>
  <si>
    <t>NVDA|2025-11-19</t>
  </si>
  <si>
    <t>NVDA|2025-11-20</t>
  </si>
  <si>
    <t>NVDA|2025-11-21</t>
  </si>
  <si>
    <t>NVDA|2025-11-24</t>
  </si>
  <si>
    <t>NVDA|2025-11-25</t>
  </si>
  <si>
    <t>NVDA|2025-11-26</t>
  </si>
  <si>
    <t>NVDA|2025-11-28</t>
  </si>
  <si>
    <t>NVDA|2025-12-01</t>
  </si>
  <si>
    <t>NVDA|2025-12-02</t>
  </si>
  <si>
    <t>NVDA|2025-12-03</t>
  </si>
  <si>
    <t>NVDA|2025-12-04</t>
  </si>
  <si>
    <t>NVDA|2025-12-05</t>
  </si>
  <si>
    <t>NVDA|2025-12-08</t>
  </si>
  <si>
    <t>NVDA|2025-12-09</t>
  </si>
  <si>
    <t>NVDA|2025-12-10</t>
  </si>
  <si>
    <t>NVDA|2025-12-11</t>
  </si>
  <si>
    <t>NVDA|2025-12-12</t>
  </si>
  <si>
    <t>NVDA|2025-12-15</t>
  </si>
  <si>
    <t>NVDA|2025-12-16</t>
  </si>
  <si>
    <t>NVDA|2025-12-17</t>
  </si>
  <si>
    <t>NVDA|2025-12-18</t>
  </si>
  <si>
    <t>NVDA|2025-12-19</t>
  </si>
  <si>
    <t>NVDA|2025-12-22</t>
  </si>
  <si>
    <t>NVDA|2025-12-23</t>
  </si>
  <si>
    <t>NVDA|2025-12-24</t>
  </si>
  <si>
    <t>NVDA|2025-12-26</t>
  </si>
  <si>
    <t>NVDA|2025-12-29</t>
  </si>
  <si>
    <t>NVDA|2025-12-30</t>
  </si>
  <si>
    <t>NVDA|2026-01-02</t>
  </si>
  <si>
    <t>NVDA|2026-01-05</t>
  </si>
  <si>
    <t>NVDA|2026-01-06</t>
  </si>
  <si>
    <t>NVDA|2026-01-07</t>
  </si>
  <si>
    <t>NVDA|2026-01-08</t>
  </si>
  <si>
    <t>NVDA|2026-01-09</t>
  </si>
  <si>
    <t>NVDA|2026-01-12</t>
  </si>
  <si>
    <t>NVDA|2026-01-13</t>
  </si>
  <si>
    <t>NVDA|2026-01-14</t>
  </si>
  <si>
    <t>NVDA|2026-01-15</t>
  </si>
  <si>
    <t>NVDA|2026-01-16</t>
  </si>
  <si>
    <t>NVDA|2026-01-20</t>
  </si>
  <si>
    <t>NVDA|2026-01-21</t>
  </si>
  <si>
    <t>NVDA|2026-01-22</t>
  </si>
  <si>
    <t>NVDA|2026-01-23</t>
  </si>
  <si>
    <t>NVDA|2026-01-26</t>
  </si>
  <si>
    <t>NVDA|2026-01-27</t>
  </si>
  <si>
    <t>NVDA|2026-01-28</t>
  </si>
  <si>
    <t>NVDA|2026-01-29</t>
  </si>
  <si>
    <t>NVDA|2026-01-30</t>
  </si>
  <si>
    <t>NVDA|2026-02-02</t>
  </si>
  <si>
    <t>NVDA|2026-02-03</t>
  </si>
  <si>
    <t>NVDA|2026-02-04</t>
  </si>
  <si>
    <t>NVDA|2026-02-05</t>
  </si>
  <si>
    <t>NVDA|2026-02-06</t>
  </si>
  <si>
    <t>NVDA|2026-02-09</t>
  </si>
  <si>
    <t>NVDA|2026-02-10</t>
  </si>
  <si>
    <t>NVDA|2026-02-11</t>
  </si>
  <si>
    <t>NVDA|2026-02-12</t>
  </si>
  <si>
    <t>NVDA|2026-02-13</t>
  </si>
  <si>
    <t>NVDA|2026-02-17</t>
  </si>
  <si>
    <t>NVDA|2026-02-18</t>
  </si>
  <si>
    <t>NVDA|2026-02-19</t>
  </si>
  <si>
    <t>NVDA|2026-02-20</t>
  </si>
  <si>
    <t>NVDA|2026-02-23</t>
  </si>
  <si>
    <t>NVDA|2026-02-24</t>
  </si>
  <si>
    <t>TSLA|2024-12-24</t>
  </si>
  <si>
    <t>TSLA|2024-12-26</t>
  </si>
  <si>
    <t>TSLA|2024-12-27</t>
  </si>
  <si>
    <t>TSLA|2024-12-30</t>
  </si>
  <si>
    <t>TSLA|2024-12-31</t>
  </si>
  <si>
    <t>TSLA|2025-01-02</t>
  </si>
  <si>
    <t>TSLA|2025-01-03</t>
  </si>
  <si>
    <t>TSLA|2025-01-06</t>
  </si>
  <si>
    <t>TSLA|2025-01-07</t>
  </si>
  <si>
    <t>TSLA|2025-01-08</t>
  </si>
  <si>
    <t>TSLA|2025-01-10</t>
  </si>
  <si>
    <t>TSLA|2025-01-13</t>
  </si>
  <si>
    <t>TSLA|2025-01-14</t>
  </si>
  <si>
    <t>TSLA|2025-01-15</t>
  </si>
  <si>
    <t>TSLA|2025-01-16</t>
  </si>
  <si>
    <t>TSLA|2025-01-17</t>
  </si>
  <si>
    <t>TSLA|2025-01-21</t>
  </si>
  <si>
    <t>TSLA|2025-01-22</t>
  </si>
  <si>
    <t>TSLA|2025-01-23</t>
  </si>
  <si>
    <t>TSLA|2025-01-24</t>
  </si>
  <si>
    <t>TSLA|2025-01-27</t>
  </si>
  <si>
    <t>TSLA|2025-01-28</t>
  </si>
  <si>
    <t>TSLA|2025-01-29</t>
  </si>
  <si>
    <t>TSLA|2025-01-30</t>
  </si>
  <si>
    <t>TSLA|2025-01-31</t>
  </si>
  <si>
    <t>TSLA|2025-02-03</t>
  </si>
  <si>
    <t>TSLA|2025-02-04</t>
  </si>
  <si>
    <t>TSLA|2025-02-05</t>
  </si>
  <si>
    <t>TSLA|2025-02-06</t>
  </si>
  <si>
    <t>TSLA|2025-02-07</t>
  </si>
  <si>
    <t>TSLA|2025-02-10</t>
  </si>
  <si>
    <t>TSLA|2025-02-11</t>
  </si>
  <si>
    <t>TSLA|2025-02-12</t>
  </si>
  <si>
    <t>TSLA|2025-02-13</t>
  </si>
  <si>
    <t>TSLA|2025-02-14</t>
  </si>
  <si>
    <t>TSLA|2025-02-18</t>
  </si>
  <si>
    <t>TSLA|2025-02-19</t>
  </si>
  <si>
    <t>TSLA|2025-02-20</t>
  </si>
  <si>
    <t>TSLA|2025-02-21</t>
  </si>
  <si>
    <t>TSLA|2025-02-24</t>
  </si>
  <si>
    <t>TSLA|2025-02-25</t>
  </si>
  <si>
    <t>TSLA|2025-02-26</t>
  </si>
  <si>
    <t>TSLA|2025-02-27</t>
  </si>
  <si>
    <t>TSLA|2025-02-28</t>
  </si>
  <si>
    <t>TSLA|2025-03-03</t>
  </si>
  <si>
    <t>TSLA|2025-03-04</t>
  </si>
  <si>
    <t>TSLA|2025-03-05</t>
  </si>
  <si>
    <t>TSLA|2025-03-06</t>
  </si>
  <si>
    <t>TSLA|2025-03-07</t>
  </si>
  <si>
    <t>TSLA|2025-03-10</t>
  </si>
  <si>
    <t>TSLA|2025-03-11</t>
  </si>
  <si>
    <t>TSLA|2025-03-12</t>
  </si>
  <si>
    <t>TSLA|2025-03-13</t>
  </si>
  <si>
    <t>TSLA|2025-03-14</t>
  </si>
  <si>
    <t>TSLA|2025-03-17</t>
  </si>
  <si>
    <t>TSLA|2025-03-18</t>
  </si>
  <si>
    <t>TSLA|2025-03-19</t>
  </si>
  <si>
    <t>TSLA|2025-03-20</t>
  </si>
  <si>
    <t>TSLA|2025-03-21</t>
  </si>
  <si>
    <t>TSLA|2025-03-24</t>
  </si>
  <si>
    <t>TSLA|2025-03-25</t>
  </si>
  <si>
    <t>TSLA|2025-03-26</t>
  </si>
  <si>
    <t>TSLA|2025-03-27</t>
  </si>
  <si>
    <t>TSLA|2025-03-28</t>
  </si>
  <si>
    <t>TSLA|2025-04-01</t>
  </si>
  <si>
    <t>TSLA|2025-04-02</t>
  </si>
  <si>
    <t>TSLA|2025-04-03</t>
  </si>
  <si>
    <t>TSLA|2025-04-04</t>
  </si>
  <si>
    <t>TSLA|2025-04-07</t>
  </si>
  <si>
    <t>TSLA|2025-04-08</t>
  </si>
  <si>
    <t>TSLA|2025-04-09</t>
  </si>
  <si>
    <t>TSLA|2025-04-10</t>
  </si>
  <si>
    <t>TSLA|2025-04-11</t>
  </si>
  <si>
    <t>TSLA|2025-04-14</t>
  </si>
  <si>
    <t>TSLA|2025-04-15</t>
  </si>
  <si>
    <t>TSLA|2025-04-16</t>
  </si>
  <si>
    <t>TSLA|2025-04-17</t>
  </si>
  <si>
    <t>TSLA|2025-04-21</t>
  </si>
  <si>
    <t>TSLA|2025-04-22</t>
  </si>
  <si>
    <t>TSLA|2025-04-23</t>
  </si>
  <si>
    <t>TSLA|2025-04-24</t>
  </si>
  <si>
    <t>TSLA|2025-04-25</t>
  </si>
  <si>
    <t>TSLA|2025-04-28</t>
  </si>
  <si>
    <t>TSLA|2025-04-29</t>
  </si>
  <si>
    <t>TSLA|2025-04-30</t>
  </si>
  <si>
    <t>TSLA|2025-05-01</t>
  </si>
  <si>
    <t>TSLA|2025-05-02</t>
  </si>
  <si>
    <t>TSLA|2025-05-05</t>
  </si>
  <si>
    <t>TSLA|2025-05-06</t>
  </si>
  <si>
    <t>TSLA|2025-05-07</t>
  </si>
  <si>
    <t>TSLA|2025-05-08</t>
  </si>
  <si>
    <t>TSLA|2025-05-09</t>
  </si>
  <si>
    <t>TSLA|2025-05-12</t>
  </si>
  <si>
    <t>TSLA|2025-05-13</t>
  </si>
  <si>
    <t>TSLA|2025-05-14</t>
  </si>
  <si>
    <t>TSLA|2025-05-15</t>
  </si>
  <si>
    <t>TSLA|2025-05-16</t>
  </si>
  <si>
    <t>TSLA|2025-05-19</t>
  </si>
  <si>
    <t>TSLA|2025-05-20</t>
  </si>
  <si>
    <t>TSLA|2025-05-21</t>
  </si>
  <si>
    <t>TSLA|2025-05-22</t>
  </si>
  <si>
    <t>TSLA|2025-05-23</t>
  </si>
  <si>
    <t>TSLA|2025-05-27</t>
  </si>
  <si>
    <t>TSLA|2025-05-28</t>
  </si>
  <si>
    <t>TSLA|2025-05-29</t>
  </si>
  <si>
    <t>TSLA|2025-05-30</t>
  </si>
  <si>
    <t>TSLA|2025-06-02</t>
  </si>
  <si>
    <t>TSLA|2025-06-03</t>
  </si>
  <si>
    <t>TSLA|2025-06-04</t>
  </si>
  <si>
    <t>TSLA|2025-06-05</t>
  </si>
  <si>
    <t>TSLA|2025-06-06</t>
  </si>
  <si>
    <t>TSLA|2025-06-09</t>
  </si>
  <si>
    <t>TSLA|2025-06-10</t>
  </si>
  <si>
    <t>TSLA|2025-06-11</t>
  </si>
  <si>
    <t>TSLA|2025-06-12</t>
  </si>
  <si>
    <t>TSLA|2025-06-13</t>
  </si>
  <si>
    <t>TSLA|2025-06-16</t>
  </si>
  <si>
    <t>TSLA|2025-06-17</t>
  </si>
  <si>
    <t>TSLA|2025-06-18</t>
  </si>
  <si>
    <t>TSLA|2025-06-20</t>
  </si>
  <si>
    <t>TSLA|2025-06-23</t>
  </si>
  <si>
    <t>TSLA|2025-06-24</t>
  </si>
  <si>
    <t>TSLA|2025-06-25</t>
  </si>
  <si>
    <t>TSLA|2025-06-26</t>
  </si>
  <si>
    <t>TSLA|2025-06-27</t>
  </si>
  <si>
    <t>TSLA|2025-07-01</t>
  </si>
  <si>
    <t>TSLA|2025-07-02</t>
  </si>
  <si>
    <t>TSLA|2025-07-03</t>
  </si>
  <si>
    <t>TSLA|2025-07-07</t>
  </si>
  <si>
    <t>TSLA|2025-07-08</t>
  </si>
  <si>
    <t>TSLA|2025-07-09</t>
  </si>
  <si>
    <t>TSLA|2025-07-10</t>
  </si>
  <si>
    <t>TSLA|2025-07-11</t>
  </si>
  <si>
    <t>TSLA|2025-07-14</t>
  </si>
  <si>
    <t>TSLA|2025-07-15</t>
  </si>
  <si>
    <t>TSLA|2025-07-16</t>
  </si>
  <si>
    <t>TSLA|2025-07-17</t>
  </si>
  <si>
    <t>TSLA|2025-07-18</t>
  </si>
  <si>
    <t>TSLA|2025-07-21</t>
  </si>
  <si>
    <t>TSLA|2025-07-22</t>
  </si>
  <si>
    <t>TSLA|2025-07-23</t>
  </si>
  <si>
    <t>TSLA|2025-07-24</t>
  </si>
  <si>
    <t>TSLA|2025-07-25</t>
  </si>
  <si>
    <t>TSLA|2025-07-28</t>
  </si>
  <si>
    <t>TSLA|2025-07-29</t>
  </si>
  <si>
    <t>TSLA|2025-07-30</t>
  </si>
  <si>
    <t>TSLA|2025-07-31</t>
  </si>
  <si>
    <t>TSLA|2025-08-01</t>
  </si>
  <si>
    <t>TSLA|2025-08-04</t>
  </si>
  <si>
    <t>TSLA|2025-08-05</t>
  </si>
  <si>
    <t>TSLA|2025-08-06</t>
  </si>
  <si>
    <t>TSLA|2025-08-07</t>
  </si>
  <si>
    <t>TSLA|2025-08-08</t>
  </si>
  <si>
    <t>TSLA|2025-08-11</t>
  </si>
  <si>
    <t>TSLA|2025-08-12</t>
  </si>
  <si>
    <t>TSLA|2025-08-13</t>
  </si>
  <si>
    <t>TSLA|2025-08-14</t>
  </si>
  <si>
    <t>TSLA|2025-08-15</t>
  </si>
  <si>
    <t>TSLA|2025-08-18</t>
  </si>
  <si>
    <t>TSLA|2025-08-19</t>
  </si>
  <si>
    <t>TSLA|2025-08-20</t>
  </si>
  <si>
    <t>TSLA|2025-08-21</t>
  </si>
  <si>
    <t>TSLA|2025-08-22</t>
  </si>
  <si>
    <t>TSLA|2025-08-25</t>
  </si>
  <si>
    <t>TSLA|2025-08-26</t>
  </si>
  <si>
    <t>TSLA|2025-08-27</t>
  </si>
  <si>
    <t>TSLA|2025-08-28</t>
  </si>
  <si>
    <t>TSLA|2025-08-29</t>
  </si>
  <si>
    <t>TSLA|2025-09-02</t>
  </si>
  <si>
    <t>TSLA|2025-09-03</t>
  </si>
  <si>
    <t>TSLA|2025-09-04</t>
  </si>
  <si>
    <t>TSLA|2025-09-05</t>
  </si>
  <si>
    <t>TSLA|2025-09-08</t>
  </si>
  <si>
    <t>TSLA|2025-09-09</t>
  </si>
  <si>
    <t>TSLA|2025-09-10</t>
  </si>
  <si>
    <t>TSLA|2025-09-11</t>
  </si>
  <si>
    <t>TSLA|2025-09-12</t>
  </si>
  <si>
    <t>TSLA|2025-09-15</t>
  </si>
  <si>
    <t>TSLA|2025-09-16</t>
  </si>
  <si>
    <t>TSLA|2025-09-17</t>
  </si>
  <si>
    <t>TSLA|2025-09-18</t>
  </si>
  <si>
    <t>TSLA|2025-09-19</t>
  </si>
  <si>
    <t>TSLA|2025-09-22</t>
  </si>
  <si>
    <t>TSLA|2025-09-23</t>
  </si>
  <si>
    <t>TSLA|2025-09-24</t>
  </si>
  <si>
    <t>TSLA|2025-09-25</t>
  </si>
  <si>
    <t>TSLA|2025-09-26</t>
  </si>
  <si>
    <t>TSLA|2025-09-29</t>
  </si>
  <si>
    <t>TSLA|2025-10-01</t>
  </si>
  <si>
    <t>TSLA|2025-10-02</t>
  </si>
  <si>
    <t>TSLA|2025-10-03</t>
  </si>
  <si>
    <t>TSLA|2025-10-06</t>
  </si>
  <si>
    <t>TSLA|2025-10-07</t>
  </si>
  <si>
    <t>TSLA|2025-10-08</t>
  </si>
  <si>
    <t>TSLA|2025-10-09</t>
  </si>
  <si>
    <t>TSLA|2025-10-10</t>
  </si>
  <si>
    <t>TSLA|2025-10-13</t>
  </si>
  <si>
    <t>TSLA|2025-10-14</t>
  </si>
  <si>
    <t>TSLA|2025-10-15</t>
  </si>
  <si>
    <t>TSLA|2025-10-16</t>
  </si>
  <si>
    <t>TSLA|2025-10-17</t>
  </si>
  <si>
    <t>TSLA|2025-10-20</t>
  </si>
  <si>
    <t>TSLA|2025-10-21</t>
  </si>
  <si>
    <t>TSLA|2025-10-22</t>
  </si>
  <si>
    <t>TSLA|2025-10-23</t>
  </si>
  <si>
    <t>TSLA|2025-10-24</t>
  </si>
  <si>
    <t>TSLA|2025-10-27</t>
  </si>
  <si>
    <t>TSLA|2025-10-28</t>
  </si>
  <si>
    <t>TSLA|2025-10-29</t>
  </si>
  <si>
    <t>TSLA|2025-10-30</t>
  </si>
  <si>
    <t>TSLA|2025-10-31</t>
  </si>
  <si>
    <t>TSLA|2025-11-03</t>
  </si>
  <si>
    <t>TSLA|2025-11-04</t>
  </si>
  <si>
    <t>TSLA|2025-11-05</t>
  </si>
  <si>
    <t>TSLA|2025-11-06</t>
  </si>
  <si>
    <t>TSLA|2025-11-07</t>
  </si>
  <si>
    <t>TSLA|2025-11-10</t>
  </si>
  <si>
    <t>TSLA|2025-11-11</t>
  </si>
  <si>
    <t>TSLA|2025-11-12</t>
  </si>
  <si>
    <t>TSLA|2025-11-13</t>
  </si>
  <si>
    <t>TSLA|2025-11-14</t>
  </si>
  <si>
    <t>TSLA|2025-11-17</t>
  </si>
  <si>
    <t>TSLA|2025-11-18</t>
  </si>
  <si>
    <t>TSLA|2025-11-19</t>
  </si>
  <si>
    <t>TSLA|2025-11-20</t>
  </si>
  <si>
    <t>TSLA|2025-11-21</t>
  </si>
  <si>
    <t>TSLA|2025-11-24</t>
  </si>
  <si>
    <t>TSLA|2025-11-25</t>
  </si>
  <si>
    <t>TSLA|2025-11-26</t>
  </si>
  <si>
    <t>TSLA|2025-11-28</t>
  </si>
  <si>
    <t>TSLA|2025-12-01</t>
  </si>
  <si>
    <t>TSLA|2025-12-02</t>
  </si>
  <si>
    <t>TSLA|2025-12-03</t>
  </si>
  <si>
    <t>TSLA|2025-12-04</t>
  </si>
  <si>
    <t>TSLA|2025-12-05</t>
  </si>
  <si>
    <t>TSLA|2025-12-08</t>
  </si>
  <si>
    <t>TSLA|2025-12-09</t>
  </si>
  <si>
    <t>TSLA|2025-12-10</t>
  </si>
  <si>
    <t>TSLA|2025-12-11</t>
  </si>
  <si>
    <t>TSLA|2025-12-12</t>
  </si>
  <si>
    <t>TSLA|2025-12-15</t>
  </si>
  <si>
    <t>TSLA|2025-12-16</t>
  </si>
  <si>
    <t>TSLA|2025-12-17</t>
  </si>
  <si>
    <t>TSLA|2025-12-18</t>
  </si>
  <si>
    <t>TSLA|2025-12-19</t>
  </si>
  <si>
    <t>TSLA|2025-12-22</t>
  </si>
  <si>
    <t>TSLA|2025-12-23</t>
  </si>
  <si>
    <t>TSLA|2025-12-24</t>
  </si>
  <si>
    <t>TSLA|2025-12-26</t>
  </si>
  <si>
    <t>TSLA|2025-12-29</t>
  </si>
  <si>
    <t>TSLA|2025-12-30</t>
  </si>
  <si>
    <t>TSLA|2026-01-02</t>
  </si>
  <si>
    <t>TSLA|2026-01-05</t>
  </si>
  <si>
    <t>TSLA|2026-01-06</t>
  </si>
  <si>
    <t>TSLA|2026-01-07</t>
  </si>
  <si>
    <t>TSLA|2026-01-08</t>
  </si>
  <si>
    <t>TSLA|2026-01-09</t>
  </si>
  <si>
    <t>TSLA|2026-01-12</t>
  </si>
  <si>
    <t>TSLA|2026-01-13</t>
  </si>
  <si>
    <t>TSLA|2026-01-14</t>
  </si>
  <si>
    <t>TSLA|2026-01-15</t>
  </si>
  <si>
    <t>TSLA|2026-01-16</t>
  </si>
  <si>
    <t>TSLA|2026-01-20</t>
  </si>
  <si>
    <t>TSLA|2026-01-21</t>
  </si>
  <si>
    <t>TSLA|2026-01-22</t>
  </si>
  <si>
    <t>TSLA|2026-01-23</t>
  </si>
  <si>
    <t>TSLA|2026-01-26</t>
  </si>
  <si>
    <t>TSLA|2026-01-27</t>
  </si>
  <si>
    <t>TSLA|2026-01-28</t>
  </si>
  <si>
    <t>TSLA|2026-01-29</t>
  </si>
  <si>
    <t>TSLA|2026-01-30</t>
  </si>
  <si>
    <t>TSLA|2026-02-02</t>
  </si>
  <si>
    <t>TSLA|2026-02-03</t>
  </si>
  <si>
    <t>TSLA|2026-02-04</t>
  </si>
  <si>
    <t>TSLA|2026-02-05</t>
  </si>
  <si>
    <t>TSLA|2026-02-06</t>
  </si>
  <si>
    <t>TSLA|2026-02-09</t>
  </si>
  <si>
    <t>TSLA|2026-02-10</t>
  </si>
  <si>
    <t>TSLA|2026-02-11</t>
  </si>
  <si>
    <t>TSLA|2026-02-12</t>
  </si>
  <si>
    <t>TSLA|2026-02-13</t>
  </si>
  <si>
    <t>TSLA|2026-02-17</t>
  </si>
  <si>
    <t>TSLA|2026-02-18</t>
  </si>
  <si>
    <t>TSLA|2026-02-19</t>
  </si>
  <si>
    <t>TSLA|2026-02-20</t>
  </si>
  <si>
    <t>TSLA|2026-02-23</t>
  </si>
  <si>
    <t>TSLA|2026-02-24</t>
  </si>
  <si>
    <t>Run "Mag7Tracker_AkShare.py"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</si>
</sst>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404040"/>
      <name val="Calibri"/>
    </font>
    <font>
      <b/>
      <sz val="11"/>
      <name val="Calibri"/>
    </font>
    <font>
      <sz val="11"/>
      <color rgb="FF0000FF"/>
      <name val="Calibri"/>
    </font>
    <font>
      <b/>
      <sz val="12"/>
      <color rgb="FFFFFFFF"/>
      <name val="Calibri"/>
    </font>
    <font>
      <sz val="11"/>
      <color rgb="FF008000"/>
      <name val="Calibri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0" fillId="5" borderId="1" xfId="1" applyFont="1" applyFill="1" applyBorder="1" applyAlignment="1">
      <alignment horizontal="left" vertical="center" wrapText="1"/>
    </xf>
    <xf numFmtId="176" fontId="4" fillId="4" borderId="1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  <xf numFmtId="177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3" fillId="0" borderId="0" xfId="1" applyFont="1"/>
    <xf numFmtId="0" fontId="0" fillId="0" borderId="0" xfId="1" applyFont="1" applyAlignment="1">
      <alignment horizontal="left" vertical="top" wrapText="1"/>
    </xf>
    <xf numFmtId="14" fontId="0" fillId="0" borderId="0" xfId="0" applyNumberFormat="1"/>
    <xf numFmtId="0" fontId="9" fillId="0" borderId="0" xfId="0" applyFont="1"/>
    <xf numFmtId="14" fontId="4" fillId="4" borderId="1" xfId="1" applyNumberFormat="1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10" fillId="4" borderId="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7"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E07855-3BFE-4184-BE3A-50538F689F42}" autoFormatId="16" applyNumberFormats="0" applyBorderFormats="0" applyFontFormats="0" applyPatternFormats="0" applyAlignmentFormats="0" applyWidthHeightFormats="0">
  <queryTableRefresh nextId="9">
    <queryTableFields count="8">
      <queryTableField id="1" name="Key" tableColumnId="1"/>
      <queryTableField id="2" name="Ticker" tableColumnId="2"/>
      <queryTableField id="3" name="ReportDate" tableColumnId="3"/>
      <queryTableField id="4" name="EPS_Actual" tableColumnId="4"/>
      <queryTableField id="5" name="EPS_Estimate" tableColumnId="5"/>
      <queryTableField id="6" name="Revenue_Actual" tableColumnId="6"/>
      <queryTableField id="7" name="Revenue_Estimate" tableColumnId="7"/>
      <queryTableField id="8" name="SurprisePct" tableColumnId="8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4:C9">
  <autoFilter ref="A4:C9" xr:uid="{00000000-0009-0000-0100-000001000000}"/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说明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ickers" displayName="tblTickers" ref="A3:C10">
  <autoFilter ref="A3:C10" xr:uid="{00000000-0009-0000-0100-000002000000}"/>
  <tableColumns count="3">
    <tableColumn id="1" xr3:uid="{00000000-0010-0000-0100-000001000000}" name="Ticker"/>
    <tableColumn id="2" xr3:uid="{00000000-0010-0000-0100-000002000000}" name="Company"/>
    <tableColumn id="3" xr3:uid="{00000000-0010-0000-0100-000003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arningsRaw" displayName="tblEarningsRaw" ref="A3:H2000">
  <autoFilter ref="A3:H2000" xr:uid="{00000000-0009-0000-0100-000003000000}"/>
  <tableColumns count="8">
    <tableColumn id="1" xr3:uid="{00000000-0010-0000-0200-000001000000}" name="Key"/>
    <tableColumn id="2" xr3:uid="{00000000-0010-0000-0200-000002000000}" name="Ticker"/>
    <tableColumn id="3" xr3:uid="{00000000-0010-0000-0200-000003000000}" name="ReportDate"/>
    <tableColumn id="4" xr3:uid="{00000000-0010-0000-0200-000004000000}" name="EPS_Actual"/>
    <tableColumn id="5" xr3:uid="{00000000-0010-0000-0200-000005000000}" name="EPS_Estimate"/>
    <tableColumn id="6" xr3:uid="{00000000-0010-0000-0200-000006000000}" name="Revenue_Actual"/>
    <tableColumn id="7" xr3:uid="{00000000-0010-0000-0200-000007000000}" name="Revenue_Estimate"/>
    <tableColumn id="8" xr3:uid="{00000000-0010-0000-0200-000008000000}" name="SurprisePc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icesRaw" displayName="tblPricesRaw" ref="A3:H50000">
  <autoFilter ref="A3:H50000" xr:uid="{00000000-0009-0000-0100-000004000000}"/>
  <tableColumns count="8">
    <tableColumn id="1" xr3:uid="{00000000-0010-0000-0300-000001000000}" name="Key"/>
    <tableColumn id="2" xr3:uid="{00000000-0010-0000-0300-000002000000}" name="Ticker"/>
    <tableColumn id="3" xr3:uid="{00000000-0010-0000-0300-000003000000}" name="Date"/>
    <tableColumn id="4" xr3:uid="{00000000-0010-0000-0300-000004000000}" name="Open"/>
    <tableColumn id="5" xr3:uid="{00000000-0010-0000-0300-000005000000}" name="High"/>
    <tableColumn id="6" xr3:uid="{00000000-0010-0000-0300-000006000000}" name="Low"/>
    <tableColumn id="7" xr3:uid="{00000000-0010-0000-0300-000007000000}" name="Close"/>
    <tableColumn id="8" xr3:uid="{00000000-0010-0000-0300-000008000000}" name="PrevClos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racker" displayName="tblTracker" ref="A4:S204">
  <autoFilter ref="A4:S204" xr:uid="{00000000-0009-0000-0100-000005000000}"/>
  <tableColumns count="19">
    <tableColumn id="1" xr3:uid="{00000000-0010-0000-0400-000001000000}" name="日期"/>
    <tableColumn id="2" xr3:uid="{00000000-0010-0000-0400-000002000000}" name="Ticker"/>
    <tableColumn id="3" xr3:uid="{00000000-0010-0000-0400-000003000000}" name="EPS实际"/>
    <tableColumn id="4" xr3:uid="{00000000-0010-0000-0400-000004000000}" name="EPS预期"/>
    <tableColumn id="5" xr3:uid="{00000000-0010-0000-0400-000005000000}" name="Surprise%"/>
    <tableColumn id="6" xr3:uid="{00000000-0010-0000-0400-000006000000}" name="指引方向(-1/0/1)"/>
    <tableColumn id="7" xr3:uid="{00000000-0010-0000-0400-000007000000}" name="开盘Gap%"/>
    <tableColumn id="8" xr3:uid="{00000000-0010-0000-0400-000008000000}" name="收盘反应%"/>
    <tableColumn id="9" xr3:uid="{00000000-0010-0000-0400-000009000000}" name="盘中振幅%"/>
    <tableColumn id="10" xr3:uid="{00000000-0010-0000-0400-00000A000000}" name="类型（公式）"/>
    <tableColumn id="11" xr3:uid="{00000000-0010-0000-0400-00000B000000}" name="板块联动(0-1)"/>
    <tableColumn id="12" xr3:uid="{00000000-0010-0000-0400-00000C000000}" name="行为评分"/>
    <tableColumn id="13" xr3:uid="{00000000-0010-0000-0400-00000D000000}" name="备注"/>
    <tableColumn id="14" xr3:uid="{00000000-0010-0000-0400-00000E000000}" name="Key"/>
    <tableColumn id="15" xr3:uid="{00000000-0010-0000-0400-00000F000000}" name="Open"/>
    <tableColumn id="16" xr3:uid="{00000000-0010-0000-0400-000010000000}" name="High"/>
    <tableColumn id="17" xr3:uid="{00000000-0010-0000-0400-000011000000}" name="Low"/>
    <tableColumn id="18" xr3:uid="{00000000-0010-0000-0400-000012000000}" name="Close"/>
    <tableColumn id="19" xr3:uid="{00000000-0010-0000-0400-000013000000}" name="PrevClos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F7DCD5-A38C-40D8-A1E5-FC983C0588FB}" name="qEarningsRaw" displayName="qEarningsRaw" ref="A1:H29" tableType="queryTable" totalsRowShown="0">
  <autoFilter ref="A1:H29" xr:uid="{B6F7DCD5-A38C-40D8-A1E5-FC983C0588FB}"/>
  <tableColumns count="8">
    <tableColumn id="1" xr3:uid="{ADBE17CE-6111-4F99-AEF8-AD8A960B7EC8}" uniqueName="1" name="Key" queryTableFieldId="1" dataDxfId="6"/>
    <tableColumn id="2" xr3:uid="{80A2BCC1-5002-4F54-9F22-96EFE49AE336}" uniqueName="2" name="Ticker" queryTableFieldId="2" dataDxfId="5"/>
    <tableColumn id="3" xr3:uid="{0C1E8C06-01CF-4CFC-8AF2-064131D0968A}" uniqueName="3" name="ReportDate" queryTableFieldId="3" dataDxfId="4"/>
    <tableColumn id="4" xr3:uid="{F67426A7-D809-4332-BDD8-8FC15220EC34}" uniqueName="4" name="EPS_Actual" queryTableFieldId="4"/>
    <tableColumn id="5" xr3:uid="{CD99B1BF-7236-4E5D-8F79-5D9F07997B51}" uniqueName="5" name="EPS_Estimate" queryTableFieldId="5"/>
    <tableColumn id="6" xr3:uid="{FAC35DA0-C357-4896-9F08-0627C9BFF4DF}" uniqueName="6" name="Revenue_Actual" queryTableFieldId="6"/>
    <tableColumn id="7" xr3:uid="{D24F74B1-3430-435B-85B3-F46FCF3BD4CE}" uniqueName="7" name="Revenue_Estimate" queryTableFieldId="7"/>
    <tableColumn id="8" xr3:uid="{FD853803-D8C4-4C3B-B9FF-0601F88D7589}" uniqueName="8" name="SurprisePc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2" sqref="C12"/>
    </sheetView>
  </sheetViews>
  <sheetFormatPr defaultRowHeight="14.4" x14ac:dyDescent="0.3"/>
  <cols>
    <col min="1" max="1" width="18" customWidth="1"/>
    <col min="2" max="2" width="28" customWidth="1"/>
    <col min="3" max="3" width="52" customWidth="1"/>
    <col min="4" max="4" width="10" customWidth="1"/>
  </cols>
  <sheetData>
    <row r="1" spans="1:4" ht="22.35" customHeight="1" x14ac:dyDescent="0.3">
      <c r="A1" s="19" t="s">
        <v>0</v>
      </c>
      <c r="B1" s="20"/>
      <c r="C1" s="20"/>
      <c r="D1" s="20"/>
    </row>
    <row r="2" spans="1:4" x14ac:dyDescent="0.3">
      <c r="A2" s="21" t="s">
        <v>1</v>
      </c>
      <c r="B2" s="20"/>
      <c r="C2" s="20"/>
      <c r="D2" s="20"/>
    </row>
    <row r="4" spans="1:4" x14ac:dyDescent="0.3">
      <c r="A4" s="1" t="s">
        <v>2</v>
      </c>
      <c r="B4" s="1" t="s">
        <v>3</v>
      </c>
      <c r="C4" s="1" t="s">
        <v>4</v>
      </c>
    </row>
    <row r="5" spans="1:4" ht="28.8" x14ac:dyDescent="0.3">
      <c r="A5" s="2" t="s">
        <v>5</v>
      </c>
      <c r="B5" s="23" t="s">
        <v>120</v>
      </c>
      <c r="C5" s="2" t="s">
        <v>7</v>
      </c>
    </row>
    <row r="6" spans="1:4" x14ac:dyDescent="0.3">
      <c r="A6" s="2" t="s">
        <v>8</v>
      </c>
      <c r="B6" s="18">
        <v>45660</v>
      </c>
      <c r="C6" s="2" t="s">
        <v>9</v>
      </c>
    </row>
    <row r="7" spans="1:4" x14ac:dyDescent="0.3">
      <c r="A7" s="2" t="s">
        <v>10</v>
      </c>
      <c r="B7" s="18">
        <v>46076</v>
      </c>
      <c r="C7" s="2" t="s">
        <v>11</v>
      </c>
    </row>
    <row r="8" spans="1:4" ht="28.8" x14ac:dyDescent="0.3">
      <c r="A8" s="2" t="s">
        <v>12</v>
      </c>
      <c r="B8" s="3">
        <v>8</v>
      </c>
      <c r="C8" s="2" t="s">
        <v>13</v>
      </c>
    </row>
    <row r="9" spans="1:4" x14ac:dyDescent="0.3">
      <c r="A9" s="2" t="s">
        <v>14</v>
      </c>
      <c r="B9" s="3" t="s">
        <v>15</v>
      </c>
      <c r="C9" s="2" t="s">
        <v>16</v>
      </c>
    </row>
  </sheetData>
  <mergeCells count="2">
    <mergeCell ref="A1:D1"/>
    <mergeCell ref="A2:D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16" sqref="C16"/>
    </sheetView>
  </sheetViews>
  <sheetFormatPr defaultRowHeight="14.4" x14ac:dyDescent="0.3"/>
  <cols>
    <col min="1" max="1" width="12" customWidth="1"/>
    <col min="2" max="2" width="26" customWidth="1"/>
    <col min="3" max="3" width="36" customWidth="1"/>
  </cols>
  <sheetData>
    <row r="1" spans="1:3" ht="19.2" customHeight="1" x14ac:dyDescent="0.3">
      <c r="A1" s="22" t="s">
        <v>17</v>
      </c>
      <c r="B1" s="20"/>
      <c r="C1" s="20"/>
    </row>
    <row r="3" spans="1:3" x14ac:dyDescent="0.3">
      <c r="A3" s="1" t="s">
        <v>18</v>
      </c>
      <c r="B3" s="1" t="s">
        <v>19</v>
      </c>
      <c r="C3" s="1" t="s">
        <v>20</v>
      </c>
    </row>
    <row r="4" spans="1:3" x14ac:dyDescent="0.3">
      <c r="A4" s="4" t="s">
        <v>21</v>
      </c>
      <c r="B4" s="2" t="s">
        <v>22</v>
      </c>
      <c r="C4" s="2" t="s">
        <v>6</v>
      </c>
    </row>
    <row r="5" spans="1:3" x14ac:dyDescent="0.3">
      <c r="A5" s="4" t="s">
        <v>23</v>
      </c>
      <c r="B5" s="2" t="s">
        <v>24</v>
      </c>
      <c r="C5" s="2" t="s">
        <v>6</v>
      </c>
    </row>
    <row r="6" spans="1:3" x14ac:dyDescent="0.3">
      <c r="A6" s="4" t="s">
        <v>25</v>
      </c>
      <c r="B6" s="2" t="s">
        <v>26</v>
      </c>
      <c r="C6" s="2" t="s">
        <v>6</v>
      </c>
    </row>
    <row r="7" spans="1:3" x14ac:dyDescent="0.3">
      <c r="A7" s="4" t="s">
        <v>27</v>
      </c>
      <c r="B7" s="2" t="s">
        <v>28</v>
      </c>
      <c r="C7" s="2" t="s">
        <v>6</v>
      </c>
    </row>
    <row r="8" spans="1:3" x14ac:dyDescent="0.3">
      <c r="A8" s="4" t="s">
        <v>29</v>
      </c>
      <c r="B8" s="2" t="s">
        <v>30</v>
      </c>
      <c r="C8" s="2" t="s">
        <v>6</v>
      </c>
    </row>
    <row r="9" spans="1:3" x14ac:dyDescent="0.3">
      <c r="A9" s="4" t="s">
        <v>31</v>
      </c>
      <c r="B9" s="2" t="s">
        <v>32</v>
      </c>
      <c r="C9" s="2" t="s">
        <v>6</v>
      </c>
    </row>
    <row r="10" spans="1:3" x14ac:dyDescent="0.3">
      <c r="A10" s="4" t="s">
        <v>33</v>
      </c>
      <c r="B10" s="2" t="s">
        <v>34</v>
      </c>
      <c r="C10" s="2" t="s">
        <v>6</v>
      </c>
    </row>
  </sheetData>
  <mergeCells count="1">
    <mergeCell ref="A1:C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B4" sqref="B4"/>
    </sheetView>
  </sheetViews>
  <sheetFormatPr defaultRowHeight="14.4" x14ac:dyDescent="0.3"/>
  <cols>
    <col min="1" max="1" width="18" customWidth="1"/>
    <col min="2" max="2" width="10" customWidth="1"/>
    <col min="3" max="4" width="12" customWidth="1"/>
    <col min="5" max="5" width="14" customWidth="1"/>
    <col min="6" max="6" width="15" customWidth="1"/>
    <col min="7" max="7" width="16" customWidth="1"/>
    <col min="8" max="8" width="12" customWidth="1"/>
  </cols>
  <sheetData>
    <row r="1" spans="1:8" ht="19.2" customHeight="1" x14ac:dyDescent="0.3">
      <c r="A1" s="22" t="s">
        <v>35</v>
      </c>
      <c r="B1" s="20"/>
      <c r="C1" s="20"/>
      <c r="D1" s="20"/>
      <c r="E1" s="20"/>
      <c r="F1" s="20"/>
      <c r="G1" s="20"/>
      <c r="H1" s="20"/>
    </row>
    <row r="3" spans="1:8" ht="28.8" x14ac:dyDescent="0.3">
      <c r="A3" s="1" t="s">
        <v>36</v>
      </c>
      <c r="B3" s="1" t="s">
        <v>18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</row>
    <row r="4" spans="1:8" x14ac:dyDescent="0.3">
      <c r="A4" s="5" t="s">
        <v>43</v>
      </c>
      <c r="B4" s="5" t="s">
        <v>21</v>
      </c>
      <c r="C4" s="6" t="s">
        <v>44</v>
      </c>
      <c r="D4" s="6">
        <v>2.1</v>
      </c>
      <c r="E4" s="6">
        <v>2</v>
      </c>
      <c r="F4" s="6">
        <v>0</v>
      </c>
      <c r="G4" s="6">
        <v>0</v>
      </c>
      <c r="H4" s="6">
        <v>0.05</v>
      </c>
    </row>
  </sheetData>
  <mergeCells count="1">
    <mergeCell ref="A1:H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40"/>
  <sheetViews>
    <sheetView topLeftCell="A115" workbookViewId="0">
      <selection activeCell="A4" sqref="A4:H2040"/>
    </sheetView>
  </sheetViews>
  <sheetFormatPr defaultRowHeight="14.4" x14ac:dyDescent="0.3"/>
  <cols>
    <col min="1" max="1" width="18" customWidth="1"/>
    <col min="2" max="2" width="10" customWidth="1"/>
    <col min="3" max="3" width="12" customWidth="1"/>
    <col min="4" max="7" width="10" customWidth="1"/>
    <col min="8" max="8" width="12" customWidth="1"/>
  </cols>
  <sheetData>
    <row r="1" spans="1:8" ht="19.2" customHeight="1" x14ac:dyDescent="0.3">
      <c r="A1" s="22" t="s">
        <v>45</v>
      </c>
      <c r="B1" s="20"/>
      <c r="C1" s="20"/>
      <c r="D1" s="20"/>
      <c r="E1" s="20"/>
      <c r="F1" s="20"/>
      <c r="G1" s="20"/>
      <c r="H1" s="20"/>
    </row>
    <row r="3" spans="1:8" x14ac:dyDescent="0.3">
      <c r="A3" s="1" t="s">
        <v>36</v>
      </c>
      <c r="B3" s="1" t="s">
        <v>18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</row>
    <row r="4" spans="1:8" x14ac:dyDescent="0.3">
      <c r="A4" s="5" t="s">
        <v>121</v>
      </c>
      <c r="B4" s="5" t="s">
        <v>21</v>
      </c>
      <c r="C4" s="6">
        <v>45650</v>
      </c>
      <c r="D4" s="6">
        <v>255.49</v>
      </c>
      <c r="E4" s="6">
        <v>258.20999999999998</v>
      </c>
      <c r="F4" s="6">
        <v>255.29</v>
      </c>
      <c r="G4" s="6">
        <v>258.2</v>
      </c>
      <c r="H4" s="6">
        <v>255.27</v>
      </c>
    </row>
    <row r="5" spans="1:8" x14ac:dyDescent="0.3">
      <c r="A5" s="5" t="s">
        <v>122</v>
      </c>
      <c r="B5" s="5" t="s">
        <v>21</v>
      </c>
      <c r="C5" s="6">
        <v>45652</v>
      </c>
      <c r="D5" s="6">
        <v>258.19</v>
      </c>
      <c r="E5" s="6">
        <v>260.10000000000002</v>
      </c>
      <c r="F5" s="6">
        <v>257.63</v>
      </c>
      <c r="G5" s="6">
        <v>259.02</v>
      </c>
      <c r="H5" s="6">
        <v>258.2</v>
      </c>
    </row>
    <row r="6" spans="1:8" x14ac:dyDescent="0.3">
      <c r="A6" t="s">
        <v>123</v>
      </c>
      <c r="B6" t="s">
        <v>21</v>
      </c>
      <c r="C6">
        <v>45653</v>
      </c>
      <c r="D6">
        <v>257.83</v>
      </c>
      <c r="E6">
        <v>258.7</v>
      </c>
      <c r="F6">
        <v>253.06</v>
      </c>
      <c r="G6">
        <v>255.59</v>
      </c>
      <c r="H6">
        <v>259.02</v>
      </c>
    </row>
    <row r="7" spans="1:8" x14ac:dyDescent="0.3">
      <c r="A7" t="s">
        <v>124</v>
      </c>
      <c r="B7" t="s">
        <v>21</v>
      </c>
      <c r="C7">
        <v>45656</v>
      </c>
      <c r="D7">
        <v>252.23</v>
      </c>
      <c r="E7">
        <v>253.5</v>
      </c>
      <c r="F7">
        <v>250.75</v>
      </c>
      <c r="G7">
        <v>252.2</v>
      </c>
      <c r="H7">
        <v>255.59</v>
      </c>
    </row>
    <row r="8" spans="1:8" x14ac:dyDescent="0.3">
      <c r="A8" t="s">
        <v>125</v>
      </c>
      <c r="B8" t="s">
        <v>21</v>
      </c>
      <c r="C8">
        <v>45657</v>
      </c>
      <c r="D8">
        <v>252.44</v>
      </c>
      <c r="E8">
        <v>253.28</v>
      </c>
      <c r="F8">
        <v>249.43</v>
      </c>
      <c r="G8">
        <v>250.42</v>
      </c>
      <c r="H8">
        <v>252.2</v>
      </c>
    </row>
    <row r="9" spans="1:8" x14ac:dyDescent="0.3">
      <c r="A9" t="s">
        <v>126</v>
      </c>
      <c r="B9" t="s">
        <v>21</v>
      </c>
      <c r="C9">
        <v>45659</v>
      </c>
      <c r="D9">
        <v>248.93</v>
      </c>
      <c r="E9">
        <v>249.1</v>
      </c>
      <c r="F9">
        <v>241.8201</v>
      </c>
      <c r="G9">
        <v>243.85</v>
      </c>
      <c r="H9">
        <v>250.42</v>
      </c>
    </row>
    <row r="10" spans="1:8" x14ac:dyDescent="0.3">
      <c r="A10" t="s">
        <v>127</v>
      </c>
      <c r="B10" t="s">
        <v>21</v>
      </c>
      <c r="C10">
        <v>45660</v>
      </c>
      <c r="D10">
        <v>243.36</v>
      </c>
      <c r="E10">
        <v>244.18</v>
      </c>
      <c r="F10">
        <v>241.89</v>
      </c>
      <c r="G10">
        <v>243.36</v>
      </c>
      <c r="H10">
        <v>243.85</v>
      </c>
    </row>
    <row r="11" spans="1:8" x14ac:dyDescent="0.3">
      <c r="A11" t="s">
        <v>128</v>
      </c>
      <c r="B11" t="s">
        <v>21</v>
      </c>
      <c r="C11">
        <v>45663</v>
      </c>
      <c r="D11">
        <v>244.31</v>
      </c>
      <c r="E11">
        <v>247.33</v>
      </c>
      <c r="F11">
        <v>243.2</v>
      </c>
      <c r="G11">
        <v>245</v>
      </c>
      <c r="H11">
        <v>243.36</v>
      </c>
    </row>
    <row r="12" spans="1:8" x14ac:dyDescent="0.3">
      <c r="A12" t="s">
        <v>129</v>
      </c>
      <c r="B12" t="s">
        <v>21</v>
      </c>
      <c r="C12">
        <v>45664</v>
      </c>
      <c r="D12">
        <v>242.98</v>
      </c>
      <c r="E12">
        <v>245.55</v>
      </c>
      <c r="F12">
        <v>241.35</v>
      </c>
      <c r="G12">
        <v>242.21</v>
      </c>
      <c r="H12">
        <v>245</v>
      </c>
    </row>
    <row r="13" spans="1:8" x14ac:dyDescent="0.3">
      <c r="A13" t="s">
        <v>130</v>
      </c>
      <c r="B13" t="s">
        <v>21</v>
      </c>
      <c r="C13">
        <v>45665</v>
      </c>
      <c r="D13">
        <v>241.92</v>
      </c>
      <c r="E13">
        <v>243.7123</v>
      </c>
      <c r="F13">
        <v>240.05</v>
      </c>
      <c r="G13">
        <v>242.7</v>
      </c>
      <c r="H13">
        <v>242.21</v>
      </c>
    </row>
    <row r="14" spans="1:8" x14ac:dyDescent="0.3">
      <c r="A14" t="s">
        <v>131</v>
      </c>
      <c r="B14" t="s">
        <v>21</v>
      </c>
      <c r="C14">
        <v>45667</v>
      </c>
      <c r="D14">
        <v>240.01</v>
      </c>
      <c r="E14">
        <v>240.16</v>
      </c>
      <c r="F14">
        <v>233</v>
      </c>
      <c r="G14">
        <v>236.85</v>
      </c>
      <c r="H14">
        <v>242.7</v>
      </c>
    </row>
    <row r="15" spans="1:8" x14ac:dyDescent="0.3">
      <c r="A15" t="s">
        <v>132</v>
      </c>
      <c r="B15" t="s">
        <v>21</v>
      </c>
      <c r="C15">
        <v>45670</v>
      </c>
      <c r="D15">
        <v>233.53</v>
      </c>
      <c r="E15">
        <v>234.67</v>
      </c>
      <c r="F15">
        <v>229.72</v>
      </c>
      <c r="G15">
        <v>234.4</v>
      </c>
      <c r="H15">
        <v>236.85</v>
      </c>
    </row>
    <row r="16" spans="1:8" x14ac:dyDescent="0.3">
      <c r="A16" t="s">
        <v>133</v>
      </c>
      <c r="B16" t="s">
        <v>21</v>
      </c>
      <c r="C16">
        <v>45671</v>
      </c>
      <c r="D16">
        <v>234.75</v>
      </c>
      <c r="E16">
        <v>236.12</v>
      </c>
      <c r="F16">
        <v>232.47200000000001</v>
      </c>
      <c r="G16">
        <v>233.28</v>
      </c>
      <c r="H16">
        <v>234.4</v>
      </c>
    </row>
    <row r="17" spans="1:8" x14ac:dyDescent="0.3">
      <c r="A17" t="s">
        <v>134</v>
      </c>
      <c r="B17" t="s">
        <v>21</v>
      </c>
      <c r="C17">
        <v>45672</v>
      </c>
      <c r="D17">
        <v>234.63499999999999</v>
      </c>
      <c r="E17">
        <v>238.96</v>
      </c>
      <c r="F17">
        <v>234.43</v>
      </c>
      <c r="G17">
        <v>237.87</v>
      </c>
      <c r="H17">
        <v>233.28</v>
      </c>
    </row>
    <row r="18" spans="1:8" x14ac:dyDescent="0.3">
      <c r="A18" t="s">
        <v>135</v>
      </c>
      <c r="B18" t="s">
        <v>21</v>
      </c>
      <c r="C18">
        <v>45673</v>
      </c>
      <c r="D18">
        <v>237.35</v>
      </c>
      <c r="E18">
        <v>238.01</v>
      </c>
      <c r="F18">
        <v>228.03</v>
      </c>
      <c r="G18">
        <v>228.26</v>
      </c>
      <c r="H18">
        <v>237.87</v>
      </c>
    </row>
    <row r="19" spans="1:8" x14ac:dyDescent="0.3">
      <c r="A19" t="s">
        <v>136</v>
      </c>
      <c r="B19" t="s">
        <v>21</v>
      </c>
      <c r="C19">
        <v>45674</v>
      </c>
      <c r="D19">
        <v>232.11500000000001</v>
      </c>
      <c r="E19">
        <v>232.29</v>
      </c>
      <c r="F19">
        <v>228.48</v>
      </c>
      <c r="G19">
        <v>229.98</v>
      </c>
      <c r="H19">
        <v>228.26</v>
      </c>
    </row>
    <row r="20" spans="1:8" x14ac:dyDescent="0.3">
      <c r="A20" t="s">
        <v>137</v>
      </c>
      <c r="B20" t="s">
        <v>21</v>
      </c>
      <c r="C20">
        <v>45678</v>
      </c>
      <c r="D20">
        <v>224</v>
      </c>
      <c r="E20">
        <v>224.42</v>
      </c>
      <c r="F20">
        <v>219.38</v>
      </c>
      <c r="G20">
        <v>222.64</v>
      </c>
      <c r="H20">
        <v>229.98</v>
      </c>
    </row>
    <row r="21" spans="1:8" x14ac:dyDescent="0.3">
      <c r="A21" t="s">
        <v>138</v>
      </c>
      <c r="B21" t="s">
        <v>21</v>
      </c>
      <c r="C21">
        <v>45679</v>
      </c>
      <c r="D21">
        <v>219.79</v>
      </c>
      <c r="E21">
        <v>224.12</v>
      </c>
      <c r="F21">
        <v>219.79</v>
      </c>
      <c r="G21">
        <v>223.83</v>
      </c>
      <c r="H21">
        <v>222.64</v>
      </c>
    </row>
    <row r="22" spans="1:8" x14ac:dyDescent="0.3">
      <c r="A22" t="s">
        <v>139</v>
      </c>
      <c r="B22" t="s">
        <v>21</v>
      </c>
      <c r="C22">
        <v>45680</v>
      </c>
      <c r="D22">
        <v>224.74</v>
      </c>
      <c r="E22">
        <v>227.03</v>
      </c>
      <c r="F22">
        <v>222.3</v>
      </c>
      <c r="G22">
        <v>223.66</v>
      </c>
      <c r="H22">
        <v>223.83</v>
      </c>
    </row>
    <row r="23" spans="1:8" x14ac:dyDescent="0.3">
      <c r="A23" t="s">
        <v>140</v>
      </c>
      <c r="B23" t="s">
        <v>21</v>
      </c>
      <c r="C23">
        <v>45681</v>
      </c>
      <c r="D23">
        <v>224.78</v>
      </c>
      <c r="E23">
        <v>225.63</v>
      </c>
      <c r="F23">
        <v>221.41</v>
      </c>
      <c r="G23">
        <v>222.78</v>
      </c>
      <c r="H23">
        <v>223.66</v>
      </c>
    </row>
    <row r="24" spans="1:8" x14ac:dyDescent="0.3">
      <c r="A24" t="s">
        <v>141</v>
      </c>
      <c r="B24" t="s">
        <v>21</v>
      </c>
      <c r="C24">
        <v>45684</v>
      </c>
      <c r="D24">
        <v>224.02</v>
      </c>
      <c r="E24">
        <v>232.15</v>
      </c>
      <c r="F24">
        <v>223.98</v>
      </c>
      <c r="G24">
        <v>229.86</v>
      </c>
      <c r="H24">
        <v>222.78</v>
      </c>
    </row>
    <row r="25" spans="1:8" x14ac:dyDescent="0.3">
      <c r="A25" t="s">
        <v>142</v>
      </c>
      <c r="B25" t="s">
        <v>21</v>
      </c>
      <c r="C25">
        <v>45685</v>
      </c>
      <c r="D25">
        <v>230.85</v>
      </c>
      <c r="E25">
        <v>240.19</v>
      </c>
      <c r="F25">
        <v>230.81</v>
      </c>
      <c r="G25">
        <v>238.26</v>
      </c>
      <c r="H25">
        <v>229.86</v>
      </c>
    </row>
    <row r="26" spans="1:8" x14ac:dyDescent="0.3">
      <c r="A26" t="s">
        <v>52</v>
      </c>
      <c r="B26" t="s">
        <v>21</v>
      </c>
      <c r="C26">
        <v>45686</v>
      </c>
      <c r="D26">
        <v>234.12</v>
      </c>
      <c r="E26">
        <v>239.85499999999999</v>
      </c>
      <c r="F26">
        <v>234.01</v>
      </c>
      <c r="G26">
        <v>239.36</v>
      </c>
      <c r="H26">
        <v>238.26</v>
      </c>
    </row>
    <row r="27" spans="1:8" x14ac:dyDescent="0.3">
      <c r="A27" t="s">
        <v>43</v>
      </c>
      <c r="B27" t="s">
        <v>21</v>
      </c>
      <c r="C27">
        <v>45687</v>
      </c>
      <c r="D27">
        <v>238.66499999999999</v>
      </c>
      <c r="E27">
        <v>240.79</v>
      </c>
      <c r="F27">
        <v>237.21</v>
      </c>
      <c r="G27">
        <v>237.59</v>
      </c>
      <c r="H27">
        <v>239.36</v>
      </c>
    </row>
    <row r="28" spans="1:8" x14ac:dyDescent="0.3">
      <c r="A28" t="s">
        <v>143</v>
      </c>
      <c r="B28" t="s">
        <v>21</v>
      </c>
      <c r="C28">
        <v>45688</v>
      </c>
      <c r="D28">
        <v>247.19</v>
      </c>
      <c r="E28">
        <v>247.19</v>
      </c>
      <c r="F28">
        <v>233.44</v>
      </c>
      <c r="G28">
        <v>236</v>
      </c>
      <c r="H28">
        <v>237.59</v>
      </c>
    </row>
    <row r="29" spans="1:8" x14ac:dyDescent="0.3">
      <c r="A29" t="s">
        <v>144</v>
      </c>
      <c r="B29" t="s">
        <v>21</v>
      </c>
      <c r="C29">
        <v>45691</v>
      </c>
      <c r="D29">
        <v>229.99</v>
      </c>
      <c r="E29">
        <v>231.83</v>
      </c>
      <c r="F29">
        <v>225.7</v>
      </c>
      <c r="G29">
        <v>228.01</v>
      </c>
      <c r="H29">
        <v>236</v>
      </c>
    </row>
    <row r="30" spans="1:8" x14ac:dyDescent="0.3">
      <c r="A30" t="s">
        <v>145</v>
      </c>
      <c r="B30" t="s">
        <v>21</v>
      </c>
      <c r="C30">
        <v>45692</v>
      </c>
      <c r="D30">
        <v>227.25</v>
      </c>
      <c r="E30">
        <v>233.13</v>
      </c>
      <c r="F30">
        <v>226.65</v>
      </c>
      <c r="G30">
        <v>232.8</v>
      </c>
      <c r="H30">
        <v>228.01</v>
      </c>
    </row>
    <row r="31" spans="1:8" x14ac:dyDescent="0.3">
      <c r="A31" t="s">
        <v>146</v>
      </c>
      <c r="B31" t="s">
        <v>21</v>
      </c>
      <c r="C31">
        <v>45693</v>
      </c>
      <c r="D31">
        <v>228.53</v>
      </c>
      <c r="E31">
        <v>232.67</v>
      </c>
      <c r="F31">
        <v>228.27</v>
      </c>
      <c r="G31">
        <v>232.47</v>
      </c>
      <c r="H31">
        <v>232.8</v>
      </c>
    </row>
    <row r="32" spans="1:8" x14ac:dyDescent="0.3">
      <c r="A32" t="s">
        <v>147</v>
      </c>
      <c r="B32" t="s">
        <v>21</v>
      </c>
      <c r="C32">
        <v>45694</v>
      </c>
      <c r="D32">
        <v>231.285</v>
      </c>
      <c r="E32">
        <v>233.8</v>
      </c>
      <c r="F32">
        <v>230.42500000000001</v>
      </c>
      <c r="G32">
        <v>233.22</v>
      </c>
      <c r="H32">
        <v>232.47</v>
      </c>
    </row>
    <row r="33" spans="1:8" x14ac:dyDescent="0.3">
      <c r="A33" t="s">
        <v>148</v>
      </c>
      <c r="B33" t="s">
        <v>21</v>
      </c>
      <c r="C33">
        <v>45695</v>
      </c>
      <c r="D33">
        <v>232.6</v>
      </c>
      <c r="E33">
        <v>234</v>
      </c>
      <c r="F33">
        <v>227.26</v>
      </c>
      <c r="G33">
        <v>227.63</v>
      </c>
      <c r="H33">
        <v>233.22</v>
      </c>
    </row>
    <row r="34" spans="1:8" x14ac:dyDescent="0.3">
      <c r="A34" t="s">
        <v>149</v>
      </c>
      <c r="B34" t="s">
        <v>21</v>
      </c>
      <c r="C34">
        <v>45698</v>
      </c>
      <c r="D34">
        <v>229.57</v>
      </c>
      <c r="E34">
        <v>230.58500000000001</v>
      </c>
      <c r="F34">
        <v>227.2</v>
      </c>
      <c r="G34">
        <v>227.65</v>
      </c>
      <c r="H34">
        <v>227.63</v>
      </c>
    </row>
    <row r="35" spans="1:8" x14ac:dyDescent="0.3">
      <c r="A35" t="s">
        <v>150</v>
      </c>
      <c r="B35" t="s">
        <v>21</v>
      </c>
      <c r="C35">
        <v>45699</v>
      </c>
      <c r="D35">
        <v>228.2</v>
      </c>
      <c r="E35">
        <v>235.23</v>
      </c>
      <c r="F35">
        <v>228.13</v>
      </c>
      <c r="G35">
        <v>232.62</v>
      </c>
      <c r="H35">
        <v>227.65</v>
      </c>
    </row>
    <row r="36" spans="1:8" x14ac:dyDescent="0.3">
      <c r="A36" t="s">
        <v>151</v>
      </c>
      <c r="B36" t="s">
        <v>21</v>
      </c>
      <c r="C36">
        <v>45700</v>
      </c>
      <c r="D36">
        <v>231.2</v>
      </c>
      <c r="E36">
        <v>236.96</v>
      </c>
      <c r="F36">
        <v>230.68</v>
      </c>
      <c r="G36">
        <v>236.87</v>
      </c>
      <c r="H36">
        <v>232.62</v>
      </c>
    </row>
    <row r="37" spans="1:8" x14ac:dyDescent="0.3">
      <c r="A37" t="s">
        <v>152</v>
      </c>
      <c r="B37" t="s">
        <v>21</v>
      </c>
      <c r="C37">
        <v>45701</v>
      </c>
      <c r="D37">
        <v>236.91</v>
      </c>
      <c r="E37">
        <v>242.3399</v>
      </c>
      <c r="F37">
        <v>235.57</v>
      </c>
      <c r="G37">
        <v>241.53</v>
      </c>
      <c r="H37">
        <v>236.87</v>
      </c>
    </row>
    <row r="38" spans="1:8" x14ac:dyDescent="0.3">
      <c r="A38" t="s">
        <v>153</v>
      </c>
      <c r="B38" t="s">
        <v>21</v>
      </c>
      <c r="C38">
        <v>45702</v>
      </c>
      <c r="D38">
        <v>241.25</v>
      </c>
      <c r="E38">
        <v>245.55</v>
      </c>
      <c r="F38">
        <v>240.99</v>
      </c>
      <c r="G38">
        <v>244.6</v>
      </c>
      <c r="H38">
        <v>241.53</v>
      </c>
    </row>
    <row r="39" spans="1:8" x14ac:dyDescent="0.3">
      <c r="A39" t="s">
        <v>154</v>
      </c>
      <c r="B39" t="s">
        <v>21</v>
      </c>
      <c r="C39">
        <v>45706</v>
      </c>
      <c r="D39">
        <v>244.15</v>
      </c>
      <c r="E39">
        <v>245.18</v>
      </c>
      <c r="F39">
        <v>241.84</v>
      </c>
      <c r="G39">
        <v>244.47</v>
      </c>
      <c r="H39">
        <v>244.6</v>
      </c>
    </row>
    <row r="40" spans="1:8" x14ac:dyDescent="0.3">
      <c r="A40" t="s">
        <v>155</v>
      </c>
      <c r="B40" t="s">
        <v>21</v>
      </c>
      <c r="C40">
        <v>45707</v>
      </c>
      <c r="D40">
        <v>244.66</v>
      </c>
      <c r="E40">
        <v>246.01</v>
      </c>
      <c r="F40">
        <v>243.16040000000001</v>
      </c>
      <c r="G40">
        <v>244.87</v>
      </c>
      <c r="H40">
        <v>244.47</v>
      </c>
    </row>
    <row r="41" spans="1:8" x14ac:dyDescent="0.3">
      <c r="A41" t="s">
        <v>156</v>
      </c>
      <c r="B41" t="s">
        <v>21</v>
      </c>
      <c r="C41">
        <v>45708</v>
      </c>
      <c r="D41">
        <v>244.94</v>
      </c>
      <c r="E41">
        <v>246.78</v>
      </c>
      <c r="F41">
        <v>244.29</v>
      </c>
      <c r="G41">
        <v>245.83</v>
      </c>
      <c r="H41">
        <v>244.87</v>
      </c>
    </row>
    <row r="42" spans="1:8" x14ac:dyDescent="0.3">
      <c r="A42" t="s">
        <v>157</v>
      </c>
      <c r="B42" t="s">
        <v>21</v>
      </c>
      <c r="C42">
        <v>45709</v>
      </c>
      <c r="D42">
        <v>245.95</v>
      </c>
      <c r="E42">
        <v>248.69</v>
      </c>
      <c r="F42">
        <v>245.22</v>
      </c>
      <c r="G42">
        <v>245.55</v>
      </c>
      <c r="H42">
        <v>245.83</v>
      </c>
    </row>
    <row r="43" spans="1:8" x14ac:dyDescent="0.3">
      <c r="A43" t="s">
        <v>158</v>
      </c>
      <c r="B43" t="s">
        <v>21</v>
      </c>
      <c r="C43">
        <v>45712</v>
      </c>
      <c r="D43">
        <v>244.92500000000001</v>
      </c>
      <c r="E43">
        <v>248.86</v>
      </c>
      <c r="F43">
        <v>244.42</v>
      </c>
      <c r="G43">
        <v>247.1</v>
      </c>
      <c r="H43">
        <v>245.55</v>
      </c>
    </row>
    <row r="44" spans="1:8" x14ac:dyDescent="0.3">
      <c r="A44" t="s">
        <v>159</v>
      </c>
      <c r="B44" t="s">
        <v>21</v>
      </c>
      <c r="C44">
        <v>45713</v>
      </c>
      <c r="D44">
        <v>248</v>
      </c>
      <c r="E44">
        <v>250</v>
      </c>
      <c r="F44">
        <v>244.91</v>
      </c>
      <c r="G44">
        <v>247.04</v>
      </c>
      <c r="H44">
        <v>247.1</v>
      </c>
    </row>
    <row r="45" spans="1:8" x14ac:dyDescent="0.3">
      <c r="A45" t="s">
        <v>160</v>
      </c>
      <c r="B45" t="s">
        <v>21</v>
      </c>
      <c r="C45">
        <v>45714</v>
      </c>
      <c r="D45">
        <v>244.33</v>
      </c>
      <c r="E45">
        <v>244.98</v>
      </c>
      <c r="F45">
        <v>239.13</v>
      </c>
      <c r="G45">
        <v>240.36</v>
      </c>
      <c r="H45">
        <v>247.04</v>
      </c>
    </row>
    <row r="46" spans="1:8" x14ac:dyDescent="0.3">
      <c r="A46" t="s">
        <v>161</v>
      </c>
      <c r="B46" t="s">
        <v>21</v>
      </c>
      <c r="C46">
        <v>45715</v>
      </c>
      <c r="D46">
        <v>239.41</v>
      </c>
      <c r="E46">
        <v>242.46</v>
      </c>
      <c r="F46">
        <v>237.06</v>
      </c>
      <c r="G46">
        <v>237.3</v>
      </c>
      <c r="H46">
        <v>240.36</v>
      </c>
    </row>
    <row r="47" spans="1:8" x14ac:dyDescent="0.3">
      <c r="A47" t="s">
        <v>162</v>
      </c>
      <c r="B47" t="s">
        <v>21</v>
      </c>
      <c r="C47">
        <v>45716</v>
      </c>
      <c r="D47">
        <v>236.95</v>
      </c>
      <c r="E47">
        <v>242.09</v>
      </c>
      <c r="F47">
        <v>230.2</v>
      </c>
      <c r="G47">
        <v>241.84</v>
      </c>
      <c r="H47">
        <v>237.3</v>
      </c>
    </row>
    <row r="48" spans="1:8" x14ac:dyDescent="0.3">
      <c r="A48" t="s">
        <v>163</v>
      </c>
      <c r="B48" t="s">
        <v>21</v>
      </c>
      <c r="C48">
        <v>45719</v>
      </c>
      <c r="D48">
        <v>241.79</v>
      </c>
      <c r="E48">
        <v>244.02719999999999</v>
      </c>
      <c r="F48">
        <v>236.11199999999999</v>
      </c>
      <c r="G48">
        <v>238.03</v>
      </c>
      <c r="H48">
        <v>241.84</v>
      </c>
    </row>
    <row r="49" spans="1:8" x14ac:dyDescent="0.3">
      <c r="A49" t="s">
        <v>164</v>
      </c>
      <c r="B49" t="s">
        <v>21</v>
      </c>
      <c r="C49">
        <v>45720</v>
      </c>
      <c r="D49">
        <v>237.70500000000001</v>
      </c>
      <c r="E49">
        <v>240.07</v>
      </c>
      <c r="F49">
        <v>234.68</v>
      </c>
      <c r="G49">
        <v>235.93</v>
      </c>
      <c r="H49">
        <v>238.03</v>
      </c>
    </row>
    <row r="50" spans="1:8" x14ac:dyDescent="0.3">
      <c r="A50" t="s">
        <v>165</v>
      </c>
      <c r="B50" t="s">
        <v>21</v>
      </c>
      <c r="C50">
        <v>45721</v>
      </c>
      <c r="D50">
        <v>235.42</v>
      </c>
      <c r="E50">
        <v>236.55</v>
      </c>
      <c r="F50">
        <v>229.23</v>
      </c>
      <c r="G50">
        <v>235.74</v>
      </c>
      <c r="H50">
        <v>235.93</v>
      </c>
    </row>
    <row r="51" spans="1:8" x14ac:dyDescent="0.3">
      <c r="A51" t="s">
        <v>166</v>
      </c>
      <c r="B51" t="s">
        <v>21</v>
      </c>
      <c r="C51">
        <v>45722</v>
      </c>
      <c r="D51">
        <v>234.435</v>
      </c>
      <c r="E51">
        <v>237.86</v>
      </c>
      <c r="F51">
        <v>233.15809999999999</v>
      </c>
      <c r="G51">
        <v>235.33</v>
      </c>
      <c r="H51">
        <v>235.74</v>
      </c>
    </row>
    <row r="52" spans="1:8" x14ac:dyDescent="0.3">
      <c r="A52" t="s">
        <v>167</v>
      </c>
      <c r="B52" t="s">
        <v>21</v>
      </c>
      <c r="C52">
        <v>45723</v>
      </c>
      <c r="D52">
        <v>235.10499999999999</v>
      </c>
      <c r="E52">
        <v>241.37</v>
      </c>
      <c r="F52">
        <v>234.76</v>
      </c>
      <c r="G52">
        <v>239.07</v>
      </c>
      <c r="H52">
        <v>235.33</v>
      </c>
    </row>
    <row r="53" spans="1:8" x14ac:dyDescent="0.3">
      <c r="A53" t="s">
        <v>168</v>
      </c>
      <c r="B53" t="s">
        <v>21</v>
      </c>
      <c r="C53">
        <v>45726</v>
      </c>
      <c r="D53">
        <v>235.54</v>
      </c>
      <c r="E53">
        <v>236.16</v>
      </c>
      <c r="F53">
        <v>224.22</v>
      </c>
      <c r="G53">
        <v>227.48</v>
      </c>
      <c r="H53">
        <v>239.07</v>
      </c>
    </row>
    <row r="54" spans="1:8" x14ac:dyDescent="0.3">
      <c r="A54" t="s">
        <v>169</v>
      </c>
      <c r="B54" t="s">
        <v>21</v>
      </c>
      <c r="C54">
        <v>45727</v>
      </c>
      <c r="D54">
        <v>223.80500000000001</v>
      </c>
      <c r="E54">
        <v>225.8399</v>
      </c>
      <c r="F54">
        <v>217.45</v>
      </c>
      <c r="G54">
        <v>220.84</v>
      </c>
      <c r="H54">
        <v>227.48</v>
      </c>
    </row>
    <row r="55" spans="1:8" x14ac:dyDescent="0.3">
      <c r="A55" t="s">
        <v>170</v>
      </c>
      <c r="B55" t="s">
        <v>21</v>
      </c>
      <c r="C55">
        <v>45728</v>
      </c>
      <c r="D55">
        <v>220.14</v>
      </c>
      <c r="E55">
        <v>221.75</v>
      </c>
      <c r="F55">
        <v>214.91</v>
      </c>
      <c r="G55">
        <v>216.98</v>
      </c>
      <c r="H55">
        <v>220.84</v>
      </c>
    </row>
    <row r="56" spans="1:8" x14ac:dyDescent="0.3">
      <c r="A56" t="s">
        <v>171</v>
      </c>
      <c r="B56" t="s">
        <v>21</v>
      </c>
      <c r="C56">
        <v>45729</v>
      </c>
      <c r="D56">
        <v>215.95</v>
      </c>
      <c r="E56">
        <v>216.83940000000001</v>
      </c>
      <c r="F56">
        <v>208.42</v>
      </c>
      <c r="G56">
        <v>209.68</v>
      </c>
      <c r="H56">
        <v>216.98</v>
      </c>
    </row>
    <row r="57" spans="1:8" x14ac:dyDescent="0.3">
      <c r="A57" t="s">
        <v>172</v>
      </c>
      <c r="B57" t="s">
        <v>21</v>
      </c>
      <c r="C57">
        <v>45730</v>
      </c>
      <c r="D57">
        <v>211.25</v>
      </c>
      <c r="E57">
        <v>213.95</v>
      </c>
      <c r="F57">
        <v>209.58</v>
      </c>
      <c r="G57">
        <v>213.49</v>
      </c>
      <c r="H57">
        <v>209.68</v>
      </c>
    </row>
    <row r="58" spans="1:8" x14ac:dyDescent="0.3">
      <c r="A58" t="s">
        <v>173</v>
      </c>
      <c r="B58" t="s">
        <v>21</v>
      </c>
      <c r="C58">
        <v>45733</v>
      </c>
      <c r="D58">
        <v>213.31</v>
      </c>
      <c r="E58">
        <v>215.22</v>
      </c>
      <c r="F58">
        <v>209.97</v>
      </c>
      <c r="G58">
        <v>214</v>
      </c>
      <c r="H58">
        <v>213.49</v>
      </c>
    </row>
    <row r="59" spans="1:8" x14ac:dyDescent="0.3">
      <c r="A59" t="s">
        <v>174</v>
      </c>
      <c r="B59" t="s">
        <v>21</v>
      </c>
      <c r="C59">
        <v>45734</v>
      </c>
      <c r="D59">
        <v>214.16</v>
      </c>
      <c r="E59">
        <v>215.15</v>
      </c>
      <c r="F59">
        <v>211.49</v>
      </c>
      <c r="G59">
        <v>212.69</v>
      </c>
      <c r="H59">
        <v>214</v>
      </c>
    </row>
    <row r="60" spans="1:8" x14ac:dyDescent="0.3">
      <c r="A60" t="s">
        <v>175</v>
      </c>
      <c r="B60" t="s">
        <v>21</v>
      </c>
      <c r="C60">
        <v>45735</v>
      </c>
      <c r="D60">
        <v>214.22</v>
      </c>
      <c r="E60">
        <v>218.76</v>
      </c>
      <c r="F60">
        <v>213.75</v>
      </c>
      <c r="G60">
        <v>215.24</v>
      </c>
      <c r="H60">
        <v>212.69</v>
      </c>
    </row>
    <row r="61" spans="1:8" x14ac:dyDescent="0.3">
      <c r="A61" t="s">
        <v>176</v>
      </c>
      <c r="B61" t="s">
        <v>21</v>
      </c>
      <c r="C61">
        <v>45736</v>
      </c>
      <c r="D61">
        <v>213.99</v>
      </c>
      <c r="E61">
        <v>217.48990000000001</v>
      </c>
      <c r="F61">
        <v>212.22</v>
      </c>
      <c r="G61">
        <v>214.1</v>
      </c>
      <c r="H61">
        <v>215.24</v>
      </c>
    </row>
    <row r="62" spans="1:8" x14ac:dyDescent="0.3">
      <c r="A62" t="s">
        <v>177</v>
      </c>
      <c r="B62" t="s">
        <v>21</v>
      </c>
      <c r="C62">
        <v>45737</v>
      </c>
      <c r="D62">
        <v>211.56</v>
      </c>
      <c r="E62">
        <v>218.84</v>
      </c>
      <c r="F62">
        <v>211.28</v>
      </c>
      <c r="G62">
        <v>218.27</v>
      </c>
      <c r="H62">
        <v>214.1</v>
      </c>
    </row>
    <row r="63" spans="1:8" x14ac:dyDescent="0.3">
      <c r="A63" t="s">
        <v>178</v>
      </c>
      <c r="B63" t="s">
        <v>21</v>
      </c>
      <c r="C63">
        <v>45740</v>
      </c>
      <c r="D63">
        <v>221</v>
      </c>
      <c r="E63">
        <v>221.48</v>
      </c>
      <c r="F63">
        <v>218.58</v>
      </c>
      <c r="G63">
        <v>220.73</v>
      </c>
      <c r="H63">
        <v>218.27</v>
      </c>
    </row>
    <row r="64" spans="1:8" x14ac:dyDescent="0.3">
      <c r="A64" t="s">
        <v>179</v>
      </c>
      <c r="B64" t="s">
        <v>21</v>
      </c>
      <c r="C64">
        <v>45741</v>
      </c>
      <c r="D64">
        <v>220.77</v>
      </c>
      <c r="E64">
        <v>224.1</v>
      </c>
      <c r="F64">
        <v>220.08</v>
      </c>
      <c r="G64">
        <v>223.75</v>
      </c>
      <c r="H64">
        <v>220.73</v>
      </c>
    </row>
    <row r="65" spans="1:8" x14ac:dyDescent="0.3">
      <c r="A65" t="s">
        <v>180</v>
      </c>
      <c r="B65" t="s">
        <v>21</v>
      </c>
      <c r="C65">
        <v>45742</v>
      </c>
      <c r="D65">
        <v>223.51</v>
      </c>
      <c r="E65">
        <v>225.02</v>
      </c>
      <c r="F65">
        <v>220.47</v>
      </c>
      <c r="G65">
        <v>221.53</v>
      </c>
      <c r="H65">
        <v>223.75</v>
      </c>
    </row>
    <row r="66" spans="1:8" x14ac:dyDescent="0.3">
      <c r="A66" t="s">
        <v>181</v>
      </c>
      <c r="B66" t="s">
        <v>21</v>
      </c>
      <c r="C66">
        <v>45743</v>
      </c>
      <c r="D66">
        <v>221.39</v>
      </c>
      <c r="E66">
        <v>224.99</v>
      </c>
      <c r="F66">
        <v>220.56010000000001</v>
      </c>
      <c r="G66">
        <v>223.85</v>
      </c>
      <c r="H66">
        <v>221.53</v>
      </c>
    </row>
    <row r="67" spans="1:8" x14ac:dyDescent="0.3">
      <c r="A67" t="s">
        <v>182</v>
      </c>
      <c r="B67" t="s">
        <v>21</v>
      </c>
      <c r="C67">
        <v>45744</v>
      </c>
      <c r="D67">
        <v>221.67</v>
      </c>
      <c r="E67">
        <v>223.81</v>
      </c>
      <c r="F67">
        <v>217.68</v>
      </c>
      <c r="G67">
        <v>217.9</v>
      </c>
      <c r="H67">
        <v>223.85</v>
      </c>
    </row>
    <row r="68" spans="1:8" x14ac:dyDescent="0.3">
      <c r="A68" t="s">
        <v>94</v>
      </c>
      <c r="B68" t="s">
        <v>21</v>
      </c>
      <c r="C68">
        <v>45747</v>
      </c>
      <c r="D68">
        <v>217.005</v>
      </c>
      <c r="E68">
        <v>225.62</v>
      </c>
      <c r="F68">
        <v>216.23</v>
      </c>
      <c r="G68">
        <v>222.13</v>
      </c>
      <c r="H68">
        <v>217.9</v>
      </c>
    </row>
    <row r="69" spans="1:8" x14ac:dyDescent="0.3">
      <c r="A69" t="s">
        <v>183</v>
      </c>
      <c r="B69" t="s">
        <v>21</v>
      </c>
      <c r="C69">
        <v>45748</v>
      </c>
      <c r="D69">
        <v>219.80500000000001</v>
      </c>
      <c r="E69">
        <v>223.68</v>
      </c>
      <c r="F69">
        <v>218.9</v>
      </c>
      <c r="G69">
        <v>223.19</v>
      </c>
      <c r="H69">
        <v>222.13</v>
      </c>
    </row>
    <row r="70" spans="1:8" x14ac:dyDescent="0.3">
      <c r="A70" t="s">
        <v>184</v>
      </c>
      <c r="B70" t="s">
        <v>21</v>
      </c>
      <c r="C70">
        <v>45749</v>
      </c>
      <c r="D70">
        <v>221.315</v>
      </c>
      <c r="E70">
        <v>225.19</v>
      </c>
      <c r="F70">
        <v>221.02</v>
      </c>
      <c r="G70">
        <v>223.89</v>
      </c>
      <c r="H70">
        <v>223.19</v>
      </c>
    </row>
    <row r="71" spans="1:8" x14ac:dyDescent="0.3">
      <c r="A71" t="s">
        <v>185</v>
      </c>
      <c r="B71" t="s">
        <v>21</v>
      </c>
      <c r="C71">
        <v>45750</v>
      </c>
      <c r="D71">
        <v>205.54</v>
      </c>
      <c r="E71">
        <v>207.49</v>
      </c>
      <c r="F71">
        <v>201.25</v>
      </c>
      <c r="G71">
        <v>203.19</v>
      </c>
      <c r="H71">
        <v>223.89</v>
      </c>
    </row>
    <row r="72" spans="1:8" x14ac:dyDescent="0.3">
      <c r="A72" t="s">
        <v>186</v>
      </c>
      <c r="B72" t="s">
        <v>21</v>
      </c>
      <c r="C72">
        <v>45751</v>
      </c>
      <c r="D72">
        <v>193.89</v>
      </c>
      <c r="E72">
        <v>199.88</v>
      </c>
      <c r="F72">
        <v>187.34</v>
      </c>
      <c r="G72">
        <v>188.38</v>
      </c>
      <c r="H72">
        <v>203.19</v>
      </c>
    </row>
    <row r="73" spans="1:8" x14ac:dyDescent="0.3">
      <c r="A73" t="s">
        <v>187</v>
      </c>
      <c r="B73" t="s">
        <v>21</v>
      </c>
      <c r="C73">
        <v>45754</v>
      </c>
      <c r="D73">
        <v>177.2</v>
      </c>
      <c r="E73">
        <v>194.15</v>
      </c>
      <c r="F73">
        <v>174.62</v>
      </c>
      <c r="G73">
        <v>181.46</v>
      </c>
      <c r="H73">
        <v>188.38</v>
      </c>
    </row>
    <row r="74" spans="1:8" x14ac:dyDescent="0.3">
      <c r="A74" t="s">
        <v>188</v>
      </c>
      <c r="B74" t="s">
        <v>21</v>
      </c>
      <c r="C74">
        <v>45755</v>
      </c>
      <c r="D74">
        <v>186.7</v>
      </c>
      <c r="E74">
        <v>190.33500000000001</v>
      </c>
      <c r="F74">
        <v>169.21010000000001</v>
      </c>
      <c r="G74">
        <v>172.42</v>
      </c>
      <c r="H74">
        <v>181.46</v>
      </c>
    </row>
    <row r="75" spans="1:8" x14ac:dyDescent="0.3">
      <c r="A75" t="s">
        <v>189</v>
      </c>
      <c r="B75" t="s">
        <v>21</v>
      </c>
      <c r="C75">
        <v>45756</v>
      </c>
      <c r="D75">
        <v>171.95</v>
      </c>
      <c r="E75">
        <v>200.61</v>
      </c>
      <c r="F75">
        <v>171.89</v>
      </c>
      <c r="G75">
        <v>198.85</v>
      </c>
      <c r="H75">
        <v>172.42</v>
      </c>
    </row>
    <row r="76" spans="1:8" x14ac:dyDescent="0.3">
      <c r="A76" t="s">
        <v>190</v>
      </c>
      <c r="B76" t="s">
        <v>21</v>
      </c>
      <c r="C76">
        <v>45757</v>
      </c>
      <c r="D76">
        <v>189.065</v>
      </c>
      <c r="E76">
        <v>194.7799</v>
      </c>
      <c r="F76">
        <v>183</v>
      </c>
      <c r="G76">
        <v>190.42</v>
      </c>
      <c r="H76">
        <v>198.85</v>
      </c>
    </row>
    <row r="77" spans="1:8" x14ac:dyDescent="0.3">
      <c r="A77" t="s">
        <v>191</v>
      </c>
      <c r="B77" t="s">
        <v>21</v>
      </c>
      <c r="C77">
        <v>45758</v>
      </c>
      <c r="D77">
        <v>186.1</v>
      </c>
      <c r="E77">
        <v>199.54</v>
      </c>
      <c r="F77">
        <v>186.06</v>
      </c>
      <c r="G77">
        <v>198.15</v>
      </c>
      <c r="H77">
        <v>190.42</v>
      </c>
    </row>
    <row r="78" spans="1:8" x14ac:dyDescent="0.3">
      <c r="A78" t="s">
        <v>192</v>
      </c>
      <c r="B78" t="s">
        <v>21</v>
      </c>
      <c r="C78">
        <v>45761</v>
      </c>
      <c r="D78">
        <v>211.44</v>
      </c>
      <c r="E78">
        <v>212.94</v>
      </c>
      <c r="F78">
        <v>201.16210000000001</v>
      </c>
      <c r="G78">
        <v>202.52</v>
      </c>
      <c r="H78">
        <v>198.15</v>
      </c>
    </row>
    <row r="79" spans="1:8" x14ac:dyDescent="0.3">
      <c r="A79" t="s">
        <v>193</v>
      </c>
      <c r="B79" t="s">
        <v>21</v>
      </c>
      <c r="C79">
        <v>45762</v>
      </c>
      <c r="D79">
        <v>201.85499999999999</v>
      </c>
      <c r="E79">
        <v>203.51</v>
      </c>
      <c r="F79">
        <v>199.8</v>
      </c>
      <c r="G79">
        <v>202.14</v>
      </c>
      <c r="H79">
        <v>202.52</v>
      </c>
    </row>
    <row r="80" spans="1:8" x14ac:dyDescent="0.3">
      <c r="A80" t="s">
        <v>194</v>
      </c>
      <c r="B80" t="s">
        <v>21</v>
      </c>
      <c r="C80">
        <v>45763</v>
      </c>
      <c r="D80">
        <v>198.36</v>
      </c>
      <c r="E80">
        <v>200.7</v>
      </c>
      <c r="F80">
        <v>192.37</v>
      </c>
      <c r="G80">
        <v>194.27</v>
      </c>
      <c r="H80">
        <v>202.14</v>
      </c>
    </row>
    <row r="81" spans="1:8" x14ac:dyDescent="0.3">
      <c r="A81" t="s">
        <v>195</v>
      </c>
      <c r="B81" t="s">
        <v>21</v>
      </c>
      <c r="C81">
        <v>45764</v>
      </c>
      <c r="D81">
        <v>197.2</v>
      </c>
      <c r="E81">
        <v>198.83349999999999</v>
      </c>
      <c r="F81">
        <v>194.42</v>
      </c>
      <c r="G81">
        <v>196.98</v>
      </c>
      <c r="H81">
        <v>194.27</v>
      </c>
    </row>
    <row r="82" spans="1:8" x14ac:dyDescent="0.3">
      <c r="A82" t="s">
        <v>196</v>
      </c>
      <c r="B82" t="s">
        <v>21</v>
      </c>
      <c r="C82">
        <v>45768</v>
      </c>
      <c r="D82">
        <v>193.26499999999999</v>
      </c>
      <c r="E82">
        <v>193.8</v>
      </c>
      <c r="F82">
        <v>189.81120000000001</v>
      </c>
      <c r="G82">
        <v>193.16</v>
      </c>
      <c r="H82">
        <v>196.98</v>
      </c>
    </row>
    <row r="83" spans="1:8" x14ac:dyDescent="0.3">
      <c r="A83" t="s">
        <v>197</v>
      </c>
      <c r="B83" t="s">
        <v>21</v>
      </c>
      <c r="C83">
        <v>45769</v>
      </c>
      <c r="D83">
        <v>196.12</v>
      </c>
      <c r="E83">
        <v>201.59</v>
      </c>
      <c r="F83">
        <v>195.97</v>
      </c>
      <c r="G83">
        <v>199.74</v>
      </c>
      <c r="H83">
        <v>193.16</v>
      </c>
    </row>
    <row r="84" spans="1:8" x14ac:dyDescent="0.3">
      <c r="A84" t="s">
        <v>198</v>
      </c>
      <c r="B84" t="s">
        <v>21</v>
      </c>
      <c r="C84">
        <v>45770</v>
      </c>
      <c r="D84">
        <v>206</v>
      </c>
      <c r="E84">
        <v>208</v>
      </c>
      <c r="F84">
        <v>202.79900000000001</v>
      </c>
      <c r="G84">
        <v>204.6</v>
      </c>
      <c r="H84">
        <v>199.74</v>
      </c>
    </row>
    <row r="85" spans="1:8" x14ac:dyDescent="0.3">
      <c r="A85" t="s">
        <v>199</v>
      </c>
      <c r="B85" t="s">
        <v>21</v>
      </c>
      <c r="C85">
        <v>45771</v>
      </c>
      <c r="D85">
        <v>204.89</v>
      </c>
      <c r="E85">
        <v>208.82990000000001</v>
      </c>
      <c r="F85">
        <v>202.94</v>
      </c>
      <c r="G85">
        <v>208.37</v>
      </c>
      <c r="H85">
        <v>204.6</v>
      </c>
    </row>
    <row r="86" spans="1:8" x14ac:dyDescent="0.3">
      <c r="A86" t="s">
        <v>200</v>
      </c>
      <c r="B86" t="s">
        <v>21</v>
      </c>
      <c r="C86">
        <v>45772</v>
      </c>
      <c r="D86">
        <v>206.36500000000001</v>
      </c>
      <c r="E86">
        <v>209.75</v>
      </c>
      <c r="F86">
        <v>206.2</v>
      </c>
      <c r="G86">
        <v>209.28</v>
      </c>
      <c r="H86">
        <v>208.37</v>
      </c>
    </row>
    <row r="87" spans="1:8" x14ac:dyDescent="0.3">
      <c r="A87" t="s">
        <v>201</v>
      </c>
      <c r="B87" t="s">
        <v>21</v>
      </c>
      <c r="C87">
        <v>45775</v>
      </c>
      <c r="D87">
        <v>210</v>
      </c>
      <c r="E87">
        <v>211.5</v>
      </c>
      <c r="F87">
        <v>207.46</v>
      </c>
      <c r="G87">
        <v>210.14</v>
      </c>
      <c r="H87">
        <v>209.28</v>
      </c>
    </row>
    <row r="88" spans="1:8" x14ac:dyDescent="0.3">
      <c r="A88" t="s">
        <v>202</v>
      </c>
      <c r="B88" t="s">
        <v>21</v>
      </c>
      <c r="C88">
        <v>45776</v>
      </c>
      <c r="D88">
        <v>208.69300000000001</v>
      </c>
      <c r="E88">
        <v>212.24</v>
      </c>
      <c r="F88">
        <v>208.37</v>
      </c>
      <c r="G88">
        <v>211.21</v>
      </c>
      <c r="H88">
        <v>210.14</v>
      </c>
    </row>
    <row r="89" spans="1:8" x14ac:dyDescent="0.3">
      <c r="A89" t="s">
        <v>203</v>
      </c>
      <c r="B89" t="s">
        <v>21</v>
      </c>
      <c r="C89">
        <v>45777</v>
      </c>
      <c r="D89">
        <v>209.3</v>
      </c>
      <c r="E89">
        <v>213.58</v>
      </c>
      <c r="F89">
        <v>206.6705</v>
      </c>
      <c r="G89">
        <v>212.5</v>
      </c>
      <c r="H89">
        <v>211.21</v>
      </c>
    </row>
    <row r="90" spans="1:8" x14ac:dyDescent="0.3">
      <c r="A90" t="s">
        <v>204</v>
      </c>
      <c r="B90" t="s">
        <v>21</v>
      </c>
      <c r="C90">
        <v>45778</v>
      </c>
      <c r="D90">
        <v>209.08</v>
      </c>
      <c r="E90">
        <v>214.56</v>
      </c>
      <c r="F90">
        <v>208.9</v>
      </c>
      <c r="G90">
        <v>213.32</v>
      </c>
      <c r="H90">
        <v>212.5</v>
      </c>
    </row>
    <row r="91" spans="1:8" x14ac:dyDescent="0.3">
      <c r="A91" t="s">
        <v>205</v>
      </c>
      <c r="B91" t="s">
        <v>21</v>
      </c>
      <c r="C91">
        <v>45779</v>
      </c>
      <c r="D91">
        <v>206.09</v>
      </c>
      <c r="E91">
        <v>206.99</v>
      </c>
      <c r="F91">
        <v>202.16</v>
      </c>
      <c r="G91">
        <v>205.35</v>
      </c>
      <c r="H91">
        <v>213.32</v>
      </c>
    </row>
    <row r="92" spans="1:8" x14ac:dyDescent="0.3">
      <c r="A92" t="s">
        <v>206</v>
      </c>
      <c r="B92" t="s">
        <v>21</v>
      </c>
      <c r="C92">
        <v>45782</v>
      </c>
      <c r="D92">
        <v>203.1</v>
      </c>
      <c r="E92">
        <v>204.1</v>
      </c>
      <c r="F92">
        <v>198.21</v>
      </c>
      <c r="G92">
        <v>198.89</v>
      </c>
      <c r="H92">
        <v>205.35</v>
      </c>
    </row>
    <row r="93" spans="1:8" x14ac:dyDescent="0.3">
      <c r="A93" t="s">
        <v>207</v>
      </c>
      <c r="B93" t="s">
        <v>21</v>
      </c>
      <c r="C93">
        <v>45783</v>
      </c>
      <c r="D93">
        <v>198.21</v>
      </c>
      <c r="E93">
        <v>200.65</v>
      </c>
      <c r="F93">
        <v>197.02</v>
      </c>
      <c r="G93">
        <v>198.51</v>
      </c>
      <c r="H93">
        <v>198.89</v>
      </c>
    </row>
    <row r="94" spans="1:8" x14ac:dyDescent="0.3">
      <c r="A94" t="s">
        <v>208</v>
      </c>
      <c r="B94" t="s">
        <v>21</v>
      </c>
      <c r="C94">
        <v>45784</v>
      </c>
      <c r="D94">
        <v>199.17</v>
      </c>
      <c r="E94">
        <v>199.44</v>
      </c>
      <c r="F94">
        <v>193.25</v>
      </c>
      <c r="G94">
        <v>196.25</v>
      </c>
      <c r="H94">
        <v>198.51</v>
      </c>
    </row>
    <row r="95" spans="1:8" x14ac:dyDescent="0.3">
      <c r="A95" t="s">
        <v>209</v>
      </c>
      <c r="B95" t="s">
        <v>21</v>
      </c>
      <c r="C95">
        <v>45785</v>
      </c>
      <c r="D95">
        <v>197.72</v>
      </c>
      <c r="E95">
        <v>200.05</v>
      </c>
      <c r="F95">
        <v>194.67959999999999</v>
      </c>
      <c r="G95">
        <v>197.49</v>
      </c>
      <c r="H95">
        <v>196.25</v>
      </c>
    </row>
    <row r="96" spans="1:8" x14ac:dyDescent="0.3">
      <c r="A96" t="s">
        <v>210</v>
      </c>
      <c r="B96" t="s">
        <v>21</v>
      </c>
      <c r="C96">
        <v>45786</v>
      </c>
      <c r="D96">
        <v>199</v>
      </c>
      <c r="E96">
        <v>200.53989999999999</v>
      </c>
      <c r="F96">
        <v>197.535</v>
      </c>
      <c r="G96">
        <v>198.53</v>
      </c>
      <c r="H96">
        <v>197.49</v>
      </c>
    </row>
    <row r="97" spans="1:8" x14ac:dyDescent="0.3">
      <c r="A97" t="s">
        <v>211</v>
      </c>
      <c r="B97" t="s">
        <v>21</v>
      </c>
      <c r="C97">
        <v>45789</v>
      </c>
      <c r="D97">
        <v>210.97</v>
      </c>
      <c r="E97">
        <v>211.2679</v>
      </c>
      <c r="F97">
        <v>206.75</v>
      </c>
      <c r="G97">
        <v>210.79</v>
      </c>
      <c r="H97">
        <v>198.53</v>
      </c>
    </row>
    <row r="98" spans="1:8" x14ac:dyDescent="0.3">
      <c r="A98" t="s">
        <v>212</v>
      </c>
      <c r="B98" t="s">
        <v>21</v>
      </c>
      <c r="C98">
        <v>45790</v>
      </c>
      <c r="D98">
        <v>210.43</v>
      </c>
      <c r="E98">
        <v>213.4</v>
      </c>
      <c r="F98">
        <v>209</v>
      </c>
      <c r="G98">
        <v>212.93</v>
      </c>
      <c r="H98">
        <v>210.79</v>
      </c>
    </row>
    <row r="99" spans="1:8" x14ac:dyDescent="0.3">
      <c r="A99" t="s">
        <v>213</v>
      </c>
      <c r="B99" t="s">
        <v>21</v>
      </c>
      <c r="C99">
        <v>45791</v>
      </c>
      <c r="D99">
        <v>212.43</v>
      </c>
      <c r="E99">
        <v>213.94</v>
      </c>
      <c r="F99">
        <v>210.58009999999999</v>
      </c>
      <c r="G99">
        <v>212.33</v>
      </c>
      <c r="H99">
        <v>212.93</v>
      </c>
    </row>
    <row r="100" spans="1:8" x14ac:dyDescent="0.3">
      <c r="A100" t="s">
        <v>214</v>
      </c>
      <c r="B100" t="s">
        <v>21</v>
      </c>
      <c r="C100">
        <v>45792</v>
      </c>
      <c r="D100">
        <v>210.95</v>
      </c>
      <c r="E100">
        <v>212.96</v>
      </c>
      <c r="F100">
        <v>209.54</v>
      </c>
      <c r="G100">
        <v>211.45</v>
      </c>
      <c r="H100">
        <v>212.33</v>
      </c>
    </row>
    <row r="101" spans="1:8" x14ac:dyDescent="0.3">
      <c r="A101" t="s">
        <v>215</v>
      </c>
      <c r="B101" t="s">
        <v>21</v>
      </c>
      <c r="C101">
        <v>45793</v>
      </c>
      <c r="D101">
        <v>212.36</v>
      </c>
      <c r="E101">
        <v>212.57</v>
      </c>
      <c r="F101">
        <v>209.77</v>
      </c>
      <c r="G101">
        <v>211.26</v>
      </c>
      <c r="H101">
        <v>211.45</v>
      </c>
    </row>
    <row r="102" spans="1:8" x14ac:dyDescent="0.3">
      <c r="A102" t="s">
        <v>216</v>
      </c>
      <c r="B102" t="s">
        <v>21</v>
      </c>
      <c r="C102">
        <v>45796</v>
      </c>
      <c r="D102">
        <v>207.91</v>
      </c>
      <c r="E102">
        <v>209.48</v>
      </c>
      <c r="F102">
        <v>204.26</v>
      </c>
      <c r="G102">
        <v>208.78</v>
      </c>
      <c r="H102">
        <v>211.26</v>
      </c>
    </row>
    <row r="103" spans="1:8" x14ac:dyDescent="0.3">
      <c r="A103" t="s">
        <v>217</v>
      </c>
      <c r="B103" t="s">
        <v>21</v>
      </c>
      <c r="C103">
        <v>45797</v>
      </c>
      <c r="D103">
        <v>207.67</v>
      </c>
      <c r="E103">
        <v>208.47</v>
      </c>
      <c r="F103">
        <v>205.03</v>
      </c>
      <c r="G103">
        <v>206.86</v>
      </c>
      <c r="H103">
        <v>208.78</v>
      </c>
    </row>
    <row r="104" spans="1:8" x14ac:dyDescent="0.3">
      <c r="A104" t="s">
        <v>218</v>
      </c>
      <c r="B104" t="s">
        <v>21</v>
      </c>
      <c r="C104">
        <v>45798</v>
      </c>
      <c r="D104">
        <v>205.17</v>
      </c>
      <c r="E104">
        <v>207.04</v>
      </c>
      <c r="F104">
        <v>200.71</v>
      </c>
      <c r="G104">
        <v>202.09</v>
      </c>
      <c r="H104">
        <v>206.86</v>
      </c>
    </row>
    <row r="105" spans="1:8" x14ac:dyDescent="0.3">
      <c r="A105" t="s">
        <v>219</v>
      </c>
      <c r="B105" t="s">
        <v>21</v>
      </c>
      <c r="C105">
        <v>45799</v>
      </c>
      <c r="D105">
        <v>200.71</v>
      </c>
      <c r="E105">
        <v>202.75</v>
      </c>
      <c r="F105">
        <v>199.7</v>
      </c>
      <c r="G105">
        <v>201.36</v>
      </c>
      <c r="H105">
        <v>202.09</v>
      </c>
    </row>
    <row r="106" spans="1:8" x14ac:dyDescent="0.3">
      <c r="A106" t="s">
        <v>220</v>
      </c>
      <c r="B106" t="s">
        <v>21</v>
      </c>
      <c r="C106">
        <v>45800</v>
      </c>
      <c r="D106">
        <v>193.66499999999999</v>
      </c>
      <c r="E106">
        <v>197.7</v>
      </c>
      <c r="F106">
        <v>193.46</v>
      </c>
      <c r="G106">
        <v>195.27</v>
      </c>
      <c r="H106">
        <v>201.36</v>
      </c>
    </row>
    <row r="107" spans="1:8" x14ac:dyDescent="0.3">
      <c r="A107" t="s">
        <v>221</v>
      </c>
      <c r="B107" t="s">
        <v>21</v>
      </c>
      <c r="C107">
        <v>45804</v>
      </c>
      <c r="D107">
        <v>198.3</v>
      </c>
      <c r="E107">
        <v>200.74</v>
      </c>
      <c r="F107">
        <v>197.43</v>
      </c>
      <c r="G107">
        <v>200.21</v>
      </c>
      <c r="H107">
        <v>195.27</v>
      </c>
    </row>
    <row r="108" spans="1:8" x14ac:dyDescent="0.3">
      <c r="A108" t="s">
        <v>222</v>
      </c>
      <c r="B108" t="s">
        <v>21</v>
      </c>
      <c r="C108">
        <v>45805</v>
      </c>
      <c r="D108">
        <v>200.59</v>
      </c>
      <c r="E108">
        <v>202.73</v>
      </c>
      <c r="F108">
        <v>199.9</v>
      </c>
      <c r="G108">
        <v>200.42</v>
      </c>
      <c r="H108">
        <v>200.21</v>
      </c>
    </row>
    <row r="109" spans="1:8" x14ac:dyDescent="0.3">
      <c r="A109" t="s">
        <v>223</v>
      </c>
      <c r="B109" t="s">
        <v>21</v>
      </c>
      <c r="C109">
        <v>45806</v>
      </c>
      <c r="D109">
        <v>203.57499999999999</v>
      </c>
      <c r="E109">
        <v>203.81</v>
      </c>
      <c r="F109">
        <v>198.51</v>
      </c>
      <c r="G109">
        <v>199.95</v>
      </c>
      <c r="H109">
        <v>200.42</v>
      </c>
    </row>
    <row r="110" spans="1:8" x14ac:dyDescent="0.3">
      <c r="A110" t="s">
        <v>224</v>
      </c>
      <c r="B110" t="s">
        <v>21</v>
      </c>
      <c r="C110">
        <v>45807</v>
      </c>
      <c r="D110">
        <v>199.37</v>
      </c>
      <c r="E110">
        <v>201.96</v>
      </c>
      <c r="F110">
        <v>196.78</v>
      </c>
      <c r="G110">
        <v>200.85</v>
      </c>
      <c r="H110">
        <v>199.95</v>
      </c>
    </row>
    <row r="111" spans="1:8" x14ac:dyDescent="0.3">
      <c r="A111" t="s">
        <v>225</v>
      </c>
      <c r="B111" t="s">
        <v>21</v>
      </c>
      <c r="C111">
        <v>45810</v>
      </c>
      <c r="D111">
        <v>200.28</v>
      </c>
      <c r="E111">
        <v>202.13</v>
      </c>
      <c r="F111">
        <v>200.12</v>
      </c>
      <c r="G111">
        <v>201.7</v>
      </c>
      <c r="H111">
        <v>200.85</v>
      </c>
    </row>
    <row r="112" spans="1:8" x14ac:dyDescent="0.3">
      <c r="A112" t="s">
        <v>226</v>
      </c>
      <c r="B112" t="s">
        <v>21</v>
      </c>
      <c r="C112">
        <v>45811</v>
      </c>
      <c r="D112">
        <v>201.35</v>
      </c>
      <c r="E112">
        <v>203.77</v>
      </c>
      <c r="F112">
        <v>200.95500000000001</v>
      </c>
      <c r="G112">
        <v>203.27</v>
      </c>
      <c r="H112">
        <v>201.7</v>
      </c>
    </row>
    <row r="113" spans="1:8" x14ac:dyDescent="0.3">
      <c r="A113" t="s">
        <v>227</v>
      </c>
      <c r="B113" t="s">
        <v>21</v>
      </c>
      <c r="C113">
        <v>45812</v>
      </c>
      <c r="D113">
        <v>202.91</v>
      </c>
      <c r="E113">
        <v>206.24</v>
      </c>
      <c r="F113">
        <v>202.1</v>
      </c>
      <c r="G113">
        <v>202.82</v>
      </c>
      <c r="H113">
        <v>203.27</v>
      </c>
    </row>
    <row r="114" spans="1:8" x14ac:dyDescent="0.3">
      <c r="A114" t="s">
        <v>228</v>
      </c>
      <c r="B114" t="s">
        <v>21</v>
      </c>
      <c r="C114">
        <v>45813</v>
      </c>
      <c r="D114">
        <v>203.5</v>
      </c>
      <c r="E114">
        <v>204.75</v>
      </c>
      <c r="F114">
        <v>200.15</v>
      </c>
      <c r="G114">
        <v>200.63</v>
      </c>
      <c r="H114">
        <v>202.82</v>
      </c>
    </row>
    <row r="115" spans="1:8" x14ac:dyDescent="0.3">
      <c r="A115" t="s">
        <v>229</v>
      </c>
      <c r="B115" t="s">
        <v>21</v>
      </c>
      <c r="C115">
        <v>45814</v>
      </c>
      <c r="D115">
        <v>203</v>
      </c>
      <c r="E115">
        <v>205.7</v>
      </c>
      <c r="F115">
        <v>202.05</v>
      </c>
      <c r="G115">
        <v>203.92</v>
      </c>
      <c r="H115">
        <v>200.63</v>
      </c>
    </row>
    <row r="116" spans="1:8" x14ac:dyDescent="0.3">
      <c r="A116" t="s">
        <v>230</v>
      </c>
      <c r="B116" t="s">
        <v>21</v>
      </c>
      <c r="C116">
        <v>45817</v>
      </c>
      <c r="D116">
        <v>204.39</v>
      </c>
      <c r="E116">
        <v>206</v>
      </c>
      <c r="F116">
        <v>200.02</v>
      </c>
      <c r="G116">
        <v>201.45</v>
      </c>
      <c r="H116">
        <v>203.92</v>
      </c>
    </row>
    <row r="117" spans="1:8" x14ac:dyDescent="0.3">
      <c r="A117" t="s">
        <v>231</v>
      </c>
      <c r="B117" t="s">
        <v>21</v>
      </c>
      <c r="C117">
        <v>45818</v>
      </c>
      <c r="D117">
        <v>200.6</v>
      </c>
      <c r="E117">
        <v>204.35</v>
      </c>
      <c r="F117">
        <v>200.57</v>
      </c>
      <c r="G117">
        <v>202.67</v>
      </c>
      <c r="H117">
        <v>201.45</v>
      </c>
    </row>
    <row r="118" spans="1:8" x14ac:dyDescent="0.3">
      <c r="A118" t="s">
        <v>232</v>
      </c>
      <c r="B118" t="s">
        <v>21</v>
      </c>
      <c r="C118">
        <v>45819</v>
      </c>
      <c r="D118">
        <v>203.5</v>
      </c>
      <c r="E118">
        <v>204.5</v>
      </c>
      <c r="F118">
        <v>198.41</v>
      </c>
      <c r="G118">
        <v>198.78</v>
      </c>
      <c r="H118">
        <v>202.67</v>
      </c>
    </row>
    <row r="119" spans="1:8" x14ac:dyDescent="0.3">
      <c r="A119" t="s">
        <v>233</v>
      </c>
      <c r="B119" t="s">
        <v>21</v>
      </c>
      <c r="C119">
        <v>45820</v>
      </c>
      <c r="D119">
        <v>199.08</v>
      </c>
      <c r="E119">
        <v>199.68</v>
      </c>
      <c r="F119">
        <v>197.36009999999999</v>
      </c>
      <c r="G119">
        <v>199.2</v>
      </c>
      <c r="H119">
        <v>198.78</v>
      </c>
    </row>
    <row r="120" spans="1:8" x14ac:dyDescent="0.3">
      <c r="A120" t="s">
        <v>234</v>
      </c>
      <c r="B120" t="s">
        <v>21</v>
      </c>
      <c r="C120">
        <v>45821</v>
      </c>
      <c r="D120">
        <v>199.73</v>
      </c>
      <c r="E120">
        <v>200.37</v>
      </c>
      <c r="F120">
        <v>195.7</v>
      </c>
      <c r="G120">
        <v>196.45</v>
      </c>
      <c r="H120">
        <v>199.2</v>
      </c>
    </row>
    <row r="121" spans="1:8" x14ac:dyDescent="0.3">
      <c r="A121" t="s">
        <v>235</v>
      </c>
      <c r="B121" t="s">
        <v>21</v>
      </c>
      <c r="C121">
        <v>45824</v>
      </c>
      <c r="D121">
        <v>197.3</v>
      </c>
      <c r="E121">
        <v>198.685</v>
      </c>
      <c r="F121">
        <v>196.56360000000001</v>
      </c>
      <c r="G121">
        <v>198.42</v>
      </c>
      <c r="H121">
        <v>196.45</v>
      </c>
    </row>
    <row r="122" spans="1:8" x14ac:dyDescent="0.3">
      <c r="A122" t="s">
        <v>236</v>
      </c>
      <c r="B122" t="s">
        <v>21</v>
      </c>
      <c r="C122">
        <v>45825</v>
      </c>
      <c r="D122">
        <v>197.2</v>
      </c>
      <c r="E122">
        <v>198.39</v>
      </c>
      <c r="F122">
        <v>195.21</v>
      </c>
      <c r="G122">
        <v>195.64</v>
      </c>
      <c r="H122">
        <v>198.42</v>
      </c>
    </row>
    <row r="123" spans="1:8" x14ac:dyDescent="0.3">
      <c r="A123" t="s">
        <v>237</v>
      </c>
      <c r="B123" t="s">
        <v>21</v>
      </c>
      <c r="C123">
        <v>45826</v>
      </c>
      <c r="D123">
        <v>195.94</v>
      </c>
      <c r="E123">
        <v>197.57</v>
      </c>
      <c r="F123">
        <v>195.07</v>
      </c>
      <c r="G123">
        <v>196.58</v>
      </c>
      <c r="H123">
        <v>195.64</v>
      </c>
    </row>
    <row r="124" spans="1:8" x14ac:dyDescent="0.3">
      <c r="A124" t="s">
        <v>238</v>
      </c>
      <c r="B124" t="s">
        <v>21</v>
      </c>
      <c r="C124">
        <v>45828</v>
      </c>
      <c r="D124">
        <v>198.23500000000001</v>
      </c>
      <c r="E124">
        <v>201.7</v>
      </c>
      <c r="F124">
        <v>196.85499999999999</v>
      </c>
      <c r="G124">
        <v>201</v>
      </c>
      <c r="H124">
        <v>196.58</v>
      </c>
    </row>
    <row r="125" spans="1:8" x14ac:dyDescent="0.3">
      <c r="A125" t="s">
        <v>239</v>
      </c>
      <c r="B125" t="s">
        <v>21</v>
      </c>
      <c r="C125">
        <v>45831</v>
      </c>
      <c r="D125">
        <v>201.625</v>
      </c>
      <c r="E125">
        <v>202.3</v>
      </c>
      <c r="F125">
        <v>198.96</v>
      </c>
      <c r="G125">
        <v>201.5</v>
      </c>
      <c r="H125">
        <v>201</v>
      </c>
    </row>
    <row r="126" spans="1:8" x14ac:dyDescent="0.3">
      <c r="A126" t="s">
        <v>240</v>
      </c>
      <c r="B126" t="s">
        <v>21</v>
      </c>
      <c r="C126">
        <v>45832</v>
      </c>
      <c r="D126">
        <v>202.59</v>
      </c>
      <c r="E126">
        <v>203.44</v>
      </c>
      <c r="F126">
        <v>200.2</v>
      </c>
      <c r="G126">
        <v>200.3</v>
      </c>
      <c r="H126">
        <v>201.5</v>
      </c>
    </row>
    <row r="127" spans="1:8" x14ac:dyDescent="0.3">
      <c r="A127" t="s">
        <v>241</v>
      </c>
      <c r="B127" t="s">
        <v>21</v>
      </c>
      <c r="C127">
        <v>45833</v>
      </c>
      <c r="D127">
        <v>201.45</v>
      </c>
      <c r="E127">
        <v>203.67</v>
      </c>
      <c r="F127">
        <v>200.62010000000001</v>
      </c>
      <c r="G127">
        <v>201.56</v>
      </c>
      <c r="H127">
        <v>200.3</v>
      </c>
    </row>
    <row r="128" spans="1:8" x14ac:dyDescent="0.3">
      <c r="A128" t="s">
        <v>242</v>
      </c>
      <c r="B128" t="s">
        <v>21</v>
      </c>
      <c r="C128">
        <v>45834</v>
      </c>
      <c r="D128">
        <v>201.43</v>
      </c>
      <c r="E128">
        <v>202.64</v>
      </c>
      <c r="F128">
        <v>199.46</v>
      </c>
      <c r="G128">
        <v>201</v>
      </c>
      <c r="H128">
        <v>201.56</v>
      </c>
    </row>
    <row r="129" spans="1:8" x14ac:dyDescent="0.3">
      <c r="A129" t="s">
        <v>243</v>
      </c>
      <c r="B129" t="s">
        <v>21</v>
      </c>
      <c r="C129">
        <v>45835</v>
      </c>
      <c r="D129">
        <v>201.89</v>
      </c>
      <c r="E129">
        <v>203.22</v>
      </c>
      <c r="F129">
        <v>200</v>
      </c>
      <c r="G129">
        <v>201.08</v>
      </c>
      <c r="H129">
        <v>201</v>
      </c>
    </row>
    <row r="130" spans="1:8" x14ac:dyDescent="0.3">
      <c r="A130" t="s">
        <v>93</v>
      </c>
      <c r="B130" t="s">
        <v>21</v>
      </c>
      <c r="C130">
        <v>45838</v>
      </c>
      <c r="D130">
        <v>202.01</v>
      </c>
      <c r="E130">
        <v>207.39</v>
      </c>
      <c r="F130">
        <v>199.26070000000001</v>
      </c>
      <c r="G130">
        <v>205.17</v>
      </c>
      <c r="H130">
        <v>201.08</v>
      </c>
    </row>
    <row r="131" spans="1:8" x14ac:dyDescent="0.3">
      <c r="A131" t="s">
        <v>244</v>
      </c>
      <c r="B131" t="s">
        <v>21</v>
      </c>
      <c r="C131">
        <v>45839</v>
      </c>
      <c r="D131">
        <v>206.66499999999999</v>
      </c>
      <c r="E131">
        <v>210.1865</v>
      </c>
      <c r="F131">
        <v>206.14009999999999</v>
      </c>
      <c r="G131">
        <v>207.82</v>
      </c>
      <c r="H131">
        <v>205.17</v>
      </c>
    </row>
    <row r="132" spans="1:8" x14ac:dyDescent="0.3">
      <c r="A132" t="s">
        <v>245</v>
      </c>
      <c r="B132" t="s">
        <v>21</v>
      </c>
      <c r="C132">
        <v>45840</v>
      </c>
      <c r="D132">
        <v>208.91</v>
      </c>
      <c r="E132">
        <v>213.34</v>
      </c>
      <c r="F132">
        <v>208.14</v>
      </c>
      <c r="G132">
        <v>212.44</v>
      </c>
      <c r="H132">
        <v>207.82</v>
      </c>
    </row>
    <row r="133" spans="1:8" x14ac:dyDescent="0.3">
      <c r="A133" t="s">
        <v>246</v>
      </c>
      <c r="B133" t="s">
        <v>21</v>
      </c>
      <c r="C133">
        <v>45841</v>
      </c>
      <c r="D133">
        <v>212.14500000000001</v>
      </c>
      <c r="E133">
        <v>214.65</v>
      </c>
      <c r="F133">
        <v>211.81010000000001</v>
      </c>
      <c r="G133">
        <v>213.55</v>
      </c>
      <c r="H133">
        <v>212.44</v>
      </c>
    </row>
    <row r="134" spans="1:8" x14ac:dyDescent="0.3">
      <c r="A134" t="s">
        <v>247</v>
      </c>
      <c r="B134" t="s">
        <v>21</v>
      </c>
      <c r="C134">
        <v>45845</v>
      </c>
      <c r="D134">
        <v>212.68</v>
      </c>
      <c r="E134">
        <v>216.23</v>
      </c>
      <c r="F134">
        <v>208.8</v>
      </c>
      <c r="G134">
        <v>209.95</v>
      </c>
      <c r="H134">
        <v>213.55</v>
      </c>
    </row>
    <row r="135" spans="1:8" x14ac:dyDescent="0.3">
      <c r="A135" t="s">
        <v>248</v>
      </c>
      <c r="B135" t="s">
        <v>21</v>
      </c>
      <c r="C135">
        <v>45846</v>
      </c>
      <c r="D135">
        <v>210.1</v>
      </c>
      <c r="E135">
        <v>211.43</v>
      </c>
      <c r="F135">
        <v>208.45</v>
      </c>
      <c r="G135">
        <v>210.01</v>
      </c>
      <c r="H135">
        <v>209.95</v>
      </c>
    </row>
    <row r="136" spans="1:8" x14ac:dyDescent="0.3">
      <c r="A136" t="s">
        <v>249</v>
      </c>
      <c r="B136" t="s">
        <v>21</v>
      </c>
      <c r="C136">
        <v>45847</v>
      </c>
      <c r="D136">
        <v>209.53</v>
      </c>
      <c r="E136">
        <v>211.33</v>
      </c>
      <c r="F136">
        <v>207.22</v>
      </c>
      <c r="G136">
        <v>211.14</v>
      </c>
      <c r="H136">
        <v>210.01</v>
      </c>
    </row>
    <row r="137" spans="1:8" x14ac:dyDescent="0.3">
      <c r="A137" t="s">
        <v>250</v>
      </c>
      <c r="B137" t="s">
        <v>21</v>
      </c>
      <c r="C137">
        <v>45848</v>
      </c>
      <c r="D137">
        <v>210.505</v>
      </c>
      <c r="E137">
        <v>213.48</v>
      </c>
      <c r="F137">
        <v>210.03</v>
      </c>
      <c r="G137">
        <v>212.41</v>
      </c>
      <c r="H137">
        <v>211.14</v>
      </c>
    </row>
    <row r="138" spans="1:8" x14ac:dyDescent="0.3">
      <c r="A138" t="s">
        <v>251</v>
      </c>
      <c r="B138" t="s">
        <v>21</v>
      </c>
      <c r="C138">
        <v>45849</v>
      </c>
      <c r="D138">
        <v>210.565</v>
      </c>
      <c r="E138">
        <v>212.13</v>
      </c>
      <c r="F138">
        <v>209.86</v>
      </c>
      <c r="G138">
        <v>211.16</v>
      </c>
      <c r="H138">
        <v>212.41</v>
      </c>
    </row>
    <row r="139" spans="1:8" x14ac:dyDescent="0.3">
      <c r="A139" t="s">
        <v>252</v>
      </c>
      <c r="B139" t="s">
        <v>21</v>
      </c>
      <c r="C139">
        <v>45852</v>
      </c>
      <c r="D139">
        <v>209.92500000000001</v>
      </c>
      <c r="E139">
        <v>210.91</v>
      </c>
      <c r="F139">
        <v>207.54</v>
      </c>
      <c r="G139">
        <v>208.62</v>
      </c>
      <c r="H139">
        <v>211.16</v>
      </c>
    </row>
    <row r="140" spans="1:8" x14ac:dyDescent="0.3">
      <c r="A140" t="s">
        <v>253</v>
      </c>
      <c r="B140" t="s">
        <v>21</v>
      </c>
      <c r="C140">
        <v>45853</v>
      </c>
      <c r="D140">
        <v>209.22</v>
      </c>
      <c r="E140">
        <v>211.89</v>
      </c>
      <c r="F140">
        <v>208.92</v>
      </c>
      <c r="G140">
        <v>209.11</v>
      </c>
      <c r="H140">
        <v>208.62</v>
      </c>
    </row>
    <row r="141" spans="1:8" x14ac:dyDescent="0.3">
      <c r="A141" t="s">
        <v>254</v>
      </c>
      <c r="B141" t="s">
        <v>21</v>
      </c>
      <c r="C141">
        <v>45854</v>
      </c>
      <c r="D141">
        <v>210.29499999999999</v>
      </c>
      <c r="E141">
        <v>212.4</v>
      </c>
      <c r="F141">
        <v>208.64</v>
      </c>
      <c r="G141">
        <v>210.16</v>
      </c>
      <c r="H141">
        <v>209.11</v>
      </c>
    </row>
    <row r="142" spans="1:8" x14ac:dyDescent="0.3">
      <c r="A142" t="s">
        <v>255</v>
      </c>
      <c r="B142" t="s">
        <v>21</v>
      </c>
      <c r="C142">
        <v>45855</v>
      </c>
      <c r="D142">
        <v>210.57</v>
      </c>
      <c r="E142">
        <v>211.8</v>
      </c>
      <c r="F142">
        <v>209.59</v>
      </c>
      <c r="G142">
        <v>210.02</v>
      </c>
      <c r="H142">
        <v>210.16</v>
      </c>
    </row>
    <row r="143" spans="1:8" x14ac:dyDescent="0.3">
      <c r="A143" t="s">
        <v>256</v>
      </c>
      <c r="B143" t="s">
        <v>21</v>
      </c>
      <c r="C143">
        <v>45856</v>
      </c>
      <c r="D143">
        <v>210.87</v>
      </c>
      <c r="E143">
        <v>211.79</v>
      </c>
      <c r="F143">
        <v>209.7045</v>
      </c>
      <c r="G143">
        <v>211.18</v>
      </c>
      <c r="H143">
        <v>210.02</v>
      </c>
    </row>
    <row r="144" spans="1:8" x14ac:dyDescent="0.3">
      <c r="A144" t="s">
        <v>257</v>
      </c>
      <c r="B144" t="s">
        <v>21</v>
      </c>
      <c r="C144">
        <v>45859</v>
      </c>
      <c r="D144">
        <v>212.1</v>
      </c>
      <c r="E144">
        <v>215.78</v>
      </c>
      <c r="F144">
        <v>211.63</v>
      </c>
      <c r="G144">
        <v>212.48</v>
      </c>
      <c r="H144">
        <v>211.18</v>
      </c>
    </row>
    <row r="145" spans="1:8" x14ac:dyDescent="0.3">
      <c r="A145" t="s">
        <v>258</v>
      </c>
      <c r="B145" t="s">
        <v>21</v>
      </c>
      <c r="C145">
        <v>45860</v>
      </c>
      <c r="D145">
        <v>213.14</v>
      </c>
      <c r="E145">
        <v>214.95</v>
      </c>
      <c r="F145">
        <v>212.23009999999999</v>
      </c>
      <c r="G145">
        <v>214.4</v>
      </c>
      <c r="H145">
        <v>212.48</v>
      </c>
    </row>
    <row r="146" spans="1:8" x14ac:dyDescent="0.3">
      <c r="A146" t="s">
        <v>259</v>
      </c>
      <c r="B146" t="s">
        <v>21</v>
      </c>
      <c r="C146">
        <v>45861</v>
      </c>
      <c r="D146">
        <v>215</v>
      </c>
      <c r="E146">
        <v>215.15</v>
      </c>
      <c r="F146">
        <v>212.41</v>
      </c>
      <c r="G146">
        <v>214.15</v>
      </c>
      <c r="H146">
        <v>214.4</v>
      </c>
    </row>
    <row r="147" spans="1:8" x14ac:dyDescent="0.3">
      <c r="A147" t="s">
        <v>260</v>
      </c>
      <c r="B147" t="s">
        <v>21</v>
      </c>
      <c r="C147">
        <v>45862</v>
      </c>
      <c r="D147">
        <v>213.9</v>
      </c>
      <c r="E147">
        <v>215.69</v>
      </c>
      <c r="F147">
        <v>213.53</v>
      </c>
      <c r="G147">
        <v>213.76</v>
      </c>
      <c r="H147">
        <v>214.15</v>
      </c>
    </row>
    <row r="148" spans="1:8" x14ac:dyDescent="0.3">
      <c r="A148" t="s">
        <v>261</v>
      </c>
      <c r="B148" t="s">
        <v>21</v>
      </c>
      <c r="C148">
        <v>45863</v>
      </c>
      <c r="D148">
        <v>214.7</v>
      </c>
      <c r="E148">
        <v>215.24</v>
      </c>
      <c r="F148">
        <v>213.4</v>
      </c>
      <c r="G148">
        <v>213.88</v>
      </c>
      <c r="H148">
        <v>213.76</v>
      </c>
    </row>
    <row r="149" spans="1:8" x14ac:dyDescent="0.3">
      <c r="A149" t="s">
        <v>262</v>
      </c>
      <c r="B149" t="s">
        <v>21</v>
      </c>
      <c r="C149">
        <v>45866</v>
      </c>
      <c r="D149">
        <v>214.03</v>
      </c>
      <c r="E149">
        <v>214.845</v>
      </c>
      <c r="F149">
        <v>213.06</v>
      </c>
      <c r="G149">
        <v>214.05</v>
      </c>
      <c r="H149">
        <v>213.88</v>
      </c>
    </row>
    <row r="150" spans="1:8" x14ac:dyDescent="0.3">
      <c r="A150" t="s">
        <v>263</v>
      </c>
      <c r="B150" t="s">
        <v>21</v>
      </c>
      <c r="C150">
        <v>45867</v>
      </c>
      <c r="D150">
        <v>214.17500000000001</v>
      </c>
      <c r="E150">
        <v>214.81</v>
      </c>
      <c r="F150">
        <v>210.82</v>
      </c>
      <c r="G150">
        <v>211.27</v>
      </c>
      <c r="H150">
        <v>214.05</v>
      </c>
    </row>
    <row r="151" spans="1:8" x14ac:dyDescent="0.3">
      <c r="A151" t="s">
        <v>264</v>
      </c>
      <c r="B151" t="s">
        <v>21</v>
      </c>
      <c r="C151">
        <v>45868</v>
      </c>
      <c r="D151">
        <v>211.89500000000001</v>
      </c>
      <c r="E151">
        <v>212.39</v>
      </c>
      <c r="F151">
        <v>207.72</v>
      </c>
      <c r="G151">
        <v>209.05</v>
      </c>
      <c r="H151">
        <v>211.27</v>
      </c>
    </row>
    <row r="152" spans="1:8" x14ac:dyDescent="0.3">
      <c r="A152" t="s">
        <v>265</v>
      </c>
      <c r="B152" t="s">
        <v>21</v>
      </c>
      <c r="C152">
        <v>45869</v>
      </c>
      <c r="D152">
        <v>208.49</v>
      </c>
      <c r="E152">
        <v>209.84</v>
      </c>
      <c r="F152">
        <v>207.16</v>
      </c>
      <c r="G152">
        <v>207.57</v>
      </c>
      <c r="H152">
        <v>209.05</v>
      </c>
    </row>
    <row r="153" spans="1:8" x14ac:dyDescent="0.3">
      <c r="A153" t="s">
        <v>266</v>
      </c>
      <c r="B153" t="s">
        <v>21</v>
      </c>
      <c r="C153">
        <v>45870</v>
      </c>
      <c r="D153">
        <v>210.86500000000001</v>
      </c>
      <c r="E153">
        <v>213.58</v>
      </c>
      <c r="F153">
        <v>201.5</v>
      </c>
      <c r="G153">
        <v>202.38</v>
      </c>
      <c r="H153">
        <v>207.57</v>
      </c>
    </row>
    <row r="154" spans="1:8" x14ac:dyDescent="0.3">
      <c r="A154" t="s">
        <v>267</v>
      </c>
      <c r="B154" t="s">
        <v>21</v>
      </c>
      <c r="C154">
        <v>45873</v>
      </c>
      <c r="D154">
        <v>204.505</v>
      </c>
      <c r="E154">
        <v>207.88</v>
      </c>
      <c r="F154">
        <v>201.67500000000001</v>
      </c>
      <c r="G154">
        <v>203.35</v>
      </c>
      <c r="H154">
        <v>202.38</v>
      </c>
    </row>
    <row r="155" spans="1:8" x14ac:dyDescent="0.3">
      <c r="A155" t="s">
        <v>268</v>
      </c>
      <c r="B155" t="s">
        <v>21</v>
      </c>
      <c r="C155">
        <v>45874</v>
      </c>
      <c r="D155">
        <v>203.4</v>
      </c>
      <c r="E155">
        <v>205.34</v>
      </c>
      <c r="F155">
        <v>202.16</v>
      </c>
      <c r="G155">
        <v>202.92</v>
      </c>
      <c r="H155">
        <v>203.35</v>
      </c>
    </row>
    <row r="156" spans="1:8" x14ac:dyDescent="0.3">
      <c r="A156" t="s">
        <v>269</v>
      </c>
      <c r="B156" t="s">
        <v>21</v>
      </c>
      <c r="C156">
        <v>45875</v>
      </c>
      <c r="D156">
        <v>205.63</v>
      </c>
      <c r="E156">
        <v>215.38</v>
      </c>
      <c r="F156">
        <v>205.59</v>
      </c>
      <c r="G156">
        <v>213.25</v>
      </c>
      <c r="H156">
        <v>202.92</v>
      </c>
    </row>
    <row r="157" spans="1:8" x14ac:dyDescent="0.3">
      <c r="A157" t="s">
        <v>270</v>
      </c>
      <c r="B157" t="s">
        <v>21</v>
      </c>
      <c r="C157">
        <v>45876</v>
      </c>
      <c r="D157">
        <v>218.875</v>
      </c>
      <c r="E157">
        <v>220.85</v>
      </c>
      <c r="F157">
        <v>216.58</v>
      </c>
      <c r="G157">
        <v>220.03</v>
      </c>
      <c r="H157">
        <v>213.25</v>
      </c>
    </row>
    <row r="158" spans="1:8" x14ac:dyDescent="0.3">
      <c r="A158" t="s">
        <v>271</v>
      </c>
      <c r="B158" t="s">
        <v>21</v>
      </c>
      <c r="C158">
        <v>45877</v>
      </c>
      <c r="D158">
        <v>220.83</v>
      </c>
      <c r="E158">
        <v>231</v>
      </c>
      <c r="F158">
        <v>219.25</v>
      </c>
      <c r="G158">
        <v>229.35</v>
      </c>
      <c r="H158">
        <v>220.03</v>
      </c>
    </row>
    <row r="159" spans="1:8" x14ac:dyDescent="0.3">
      <c r="A159" t="s">
        <v>272</v>
      </c>
      <c r="B159" t="s">
        <v>21</v>
      </c>
      <c r="C159">
        <v>45880</v>
      </c>
      <c r="D159">
        <v>227.92</v>
      </c>
      <c r="E159">
        <v>229.56</v>
      </c>
      <c r="F159">
        <v>224.76</v>
      </c>
      <c r="G159">
        <v>227.18</v>
      </c>
      <c r="H159">
        <v>229.35</v>
      </c>
    </row>
    <row r="160" spans="1:8" x14ac:dyDescent="0.3">
      <c r="A160" t="s">
        <v>273</v>
      </c>
      <c r="B160" t="s">
        <v>21</v>
      </c>
      <c r="C160">
        <v>45881</v>
      </c>
      <c r="D160">
        <v>228.005</v>
      </c>
      <c r="E160">
        <v>230.8</v>
      </c>
      <c r="F160">
        <v>227.07</v>
      </c>
      <c r="G160">
        <v>229.65</v>
      </c>
      <c r="H160">
        <v>227.18</v>
      </c>
    </row>
    <row r="161" spans="1:8" x14ac:dyDescent="0.3">
      <c r="A161" t="s">
        <v>274</v>
      </c>
      <c r="B161" t="s">
        <v>21</v>
      </c>
      <c r="C161">
        <v>45882</v>
      </c>
      <c r="D161">
        <v>231.07</v>
      </c>
      <c r="E161">
        <v>235</v>
      </c>
      <c r="F161">
        <v>230.43</v>
      </c>
      <c r="G161">
        <v>233.33</v>
      </c>
      <c r="H161">
        <v>229.65</v>
      </c>
    </row>
    <row r="162" spans="1:8" x14ac:dyDescent="0.3">
      <c r="A162" t="s">
        <v>275</v>
      </c>
      <c r="B162" t="s">
        <v>21</v>
      </c>
      <c r="C162">
        <v>45883</v>
      </c>
      <c r="D162">
        <v>234.05500000000001</v>
      </c>
      <c r="E162">
        <v>235.12</v>
      </c>
      <c r="F162">
        <v>230.85</v>
      </c>
      <c r="G162">
        <v>232.78</v>
      </c>
      <c r="H162">
        <v>233.33</v>
      </c>
    </row>
    <row r="163" spans="1:8" x14ac:dyDescent="0.3">
      <c r="A163" t="s">
        <v>276</v>
      </c>
      <c r="B163" t="s">
        <v>21</v>
      </c>
      <c r="C163">
        <v>45884</v>
      </c>
      <c r="D163">
        <v>234</v>
      </c>
      <c r="E163">
        <v>234.28</v>
      </c>
      <c r="F163">
        <v>229.33500000000001</v>
      </c>
      <c r="G163">
        <v>231.59</v>
      </c>
      <c r="H163">
        <v>232.78</v>
      </c>
    </row>
    <row r="164" spans="1:8" x14ac:dyDescent="0.3">
      <c r="A164" t="s">
        <v>277</v>
      </c>
      <c r="B164" t="s">
        <v>21</v>
      </c>
      <c r="C164">
        <v>45887</v>
      </c>
      <c r="D164">
        <v>231.7</v>
      </c>
      <c r="E164">
        <v>233.12</v>
      </c>
      <c r="F164">
        <v>230.11</v>
      </c>
      <c r="G164">
        <v>230.89</v>
      </c>
      <c r="H164">
        <v>231.59</v>
      </c>
    </row>
    <row r="165" spans="1:8" x14ac:dyDescent="0.3">
      <c r="A165" t="s">
        <v>278</v>
      </c>
      <c r="B165" t="s">
        <v>21</v>
      </c>
      <c r="C165">
        <v>45888</v>
      </c>
      <c r="D165">
        <v>231.27500000000001</v>
      </c>
      <c r="E165">
        <v>232.87</v>
      </c>
      <c r="F165">
        <v>229.35</v>
      </c>
      <c r="G165">
        <v>230.56</v>
      </c>
      <c r="H165">
        <v>230.89</v>
      </c>
    </row>
    <row r="166" spans="1:8" x14ac:dyDescent="0.3">
      <c r="A166" t="s">
        <v>279</v>
      </c>
      <c r="B166" t="s">
        <v>21</v>
      </c>
      <c r="C166">
        <v>45889</v>
      </c>
      <c r="D166">
        <v>229.98</v>
      </c>
      <c r="E166">
        <v>230.47</v>
      </c>
      <c r="F166">
        <v>225.77</v>
      </c>
      <c r="G166">
        <v>226.01</v>
      </c>
      <c r="H166">
        <v>230.56</v>
      </c>
    </row>
    <row r="167" spans="1:8" x14ac:dyDescent="0.3">
      <c r="A167" t="s">
        <v>280</v>
      </c>
      <c r="B167" t="s">
        <v>21</v>
      </c>
      <c r="C167">
        <v>45890</v>
      </c>
      <c r="D167">
        <v>226.27</v>
      </c>
      <c r="E167">
        <v>226.52</v>
      </c>
      <c r="F167">
        <v>223.78039999999999</v>
      </c>
      <c r="G167">
        <v>224.9</v>
      </c>
      <c r="H167">
        <v>226.01</v>
      </c>
    </row>
    <row r="168" spans="1:8" x14ac:dyDescent="0.3">
      <c r="A168" t="s">
        <v>281</v>
      </c>
      <c r="B168" t="s">
        <v>21</v>
      </c>
      <c r="C168">
        <v>45891</v>
      </c>
      <c r="D168">
        <v>226.17</v>
      </c>
      <c r="E168">
        <v>229.09</v>
      </c>
      <c r="F168">
        <v>225.41</v>
      </c>
      <c r="G168">
        <v>227.76</v>
      </c>
      <c r="H168">
        <v>224.9</v>
      </c>
    </row>
    <row r="169" spans="1:8" x14ac:dyDescent="0.3">
      <c r="A169" t="s">
        <v>282</v>
      </c>
      <c r="B169" t="s">
        <v>21</v>
      </c>
      <c r="C169">
        <v>45894</v>
      </c>
      <c r="D169">
        <v>226.48</v>
      </c>
      <c r="E169">
        <v>229.3</v>
      </c>
      <c r="F169">
        <v>226.23</v>
      </c>
      <c r="G169">
        <v>227.16</v>
      </c>
      <c r="H169">
        <v>227.76</v>
      </c>
    </row>
    <row r="170" spans="1:8" x14ac:dyDescent="0.3">
      <c r="A170" t="s">
        <v>283</v>
      </c>
      <c r="B170" t="s">
        <v>21</v>
      </c>
      <c r="C170">
        <v>45895</v>
      </c>
      <c r="D170">
        <v>226.87</v>
      </c>
      <c r="E170">
        <v>229.49</v>
      </c>
      <c r="F170">
        <v>224.69</v>
      </c>
      <c r="G170">
        <v>229.31</v>
      </c>
      <c r="H170">
        <v>227.16</v>
      </c>
    </row>
    <row r="171" spans="1:8" x14ac:dyDescent="0.3">
      <c r="A171" t="s">
        <v>284</v>
      </c>
      <c r="B171" t="s">
        <v>21</v>
      </c>
      <c r="C171">
        <v>45896</v>
      </c>
      <c r="D171">
        <v>228.61</v>
      </c>
      <c r="E171">
        <v>230.9</v>
      </c>
      <c r="F171">
        <v>228.26</v>
      </c>
      <c r="G171">
        <v>230.49</v>
      </c>
      <c r="H171">
        <v>229.31</v>
      </c>
    </row>
    <row r="172" spans="1:8" x14ac:dyDescent="0.3">
      <c r="A172" t="s">
        <v>285</v>
      </c>
      <c r="B172" t="s">
        <v>21</v>
      </c>
      <c r="C172">
        <v>45897</v>
      </c>
      <c r="D172">
        <v>230.82</v>
      </c>
      <c r="E172">
        <v>233.41</v>
      </c>
      <c r="F172">
        <v>229.33500000000001</v>
      </c>
      <c r="G172">
        <v>232.56</v>
      </c>
      <c r="H172">
        <v>230.49</v>
      </c>
    </row>
    <row r="173" spans="1:8" x14ac:dyDescent="0.3">
      <c r="A173" t="s">
        <v>286</v>
      </c>
      <c r="B173" t="s">
        <v>21</v>
      </c>
      <c r="C173">
        <v>45898</v>
      </c>
      <c r="D173">
        <v>232.51</v>
      </c>
      <c r="E173">
        <v>233.38</v>
      </c>
      <c r="F173">
        <v>231.37</v>
      </c>
      <c r="G173">
        <v>232.14</v>
      </c>
      <c r="H173">
        <v>232.56</v>
      </c>
    </row>
    <row r="174" spans="1:8" x14ac:dyDescent="0.3">
      <c r="A174" t="s">
        <v>287</v>
      </c>
      <c r="B174" t="s">
        <v>21</v>
      </c>
      <c r="C174">
        <v>45902</v>
      </c>
      <c r="D174">
        <v>229.25</v>
      </c>
      <c r="E174">
        <v>230.85</v>
      </c>
      <c r="F174">
        <v>226.97</v>
      </c>
      <c r="G174">
        <v>229.72</v>
      </c>
      <c r="H174">
        <v>232.14</v>
      </c>
    </row>
    <row r="175" spans="1:8" x14ac:dyDescent="0.3">
      <c r="A175" t="s">
        <v>288</v>
      </c>
      <c r="B175" t="s">
        <v>21</v>
      </c>
      <c r="C175">
        <v>45903</v>
      </c>
      <c r="D175">
        <v>237.21</v>
      </c>
      <c r="E175">
        <v>238.85</v>
      </c>
      <c r="F175">
        <v>234.36</v>
      </c>
      <c r="G175">
        <v>238.47</v>
      </c>
      <c r="H175">
        <v>229.72</v>
      </c>
    </row>
    <row r="176" spans="1:8" x14ac:dyDescent="0.3">
      <c r="A176" t="s">
        <v>289</v>
      </c>
      <c r="B176" t="s">
        <v>21</v>
      </c>
      <c r="C176">
        <v>45904</v>
      </c>
      <c r="D176">
        <v>238.45</v>
      </c>
      <c r="E176">
        <v>239.8999</v>
      </c>
      <c r="F176">
        <v>236.74</v>
      </c>
      <c r="G176">
        <v>239.78</v>
      </c>
      <c r="H176">
        <v>238.47</v>
      </c>
    </row>
    <row r="177" spans="1:8" x14ac:dyDescent="0.3">
      <c r="A177" t="s">
        <v>290</v>
      </c>
      <c r="B177" t="s">
        <v>21</v>
      </c>
      <c r="C177">
        <v>45905</v>
      </c>
      <c r="D177">
        <v>239.995</v>
      </c>
      <c r="E177">
        <v>241.32</v>
      </c>
      <c r="F177">
        <v>238.49010000000001</v>
      </c>
      <c r="G177">
        <v>239.69</v>
      </c>
      <c r="H177">
        <v>239.78</v>
      </c>
    </row>
    <row r="178" spans="1:8" x14ac:dyDescent="0.3">
      <c r="A178" t="s">
        <v>291</v>
      </c>
      <c r="B178" t="s">
        <v>21</v>
      </c>
      <c r="C178">
        <v>45908</v>
      </c>
      <c r="D178">
        <v>239.3</v>
      </c>
      <c r="E178">
        <v>240.15</v>
      </c>
      <c r="F178">
        <v>236.34</v>
      </c>
      <c r="G178">
        <v>237.88</v>
      </c>
      <c r="H178">
        <v>239.69</v>
      </c>
    </row>
    <row r="179" spans="1:8" x14ac:dyDescent="0.3">
      <c r="A179" t="s">
        <v>292</v>
      </c>
      <c r="B179" t="s">
        <v>21</v>
      </c>
      <c r="C179">
        <v>45909</v>
      </c>
      <c r="D179">
        <v>237</v>
      </c>
      <c r="E179">
        <v>238.78049999999999</v>
      </c>
      <c r="F179">
        <v>233.36</v>
      </c>
      <c r="G179">
        <v>234.35</v>
      </c>
      <c r="H179">
        <v>237.88</v>
      </c>
    </row>
    <row r="180" spans="1:8" x14ac:dyDescent="0.3">
      <c r="A180" t="s">
        <v>293</v>
      </c>
      <c r="B180" t="s">
        <v>21</v>
      </c>
      <c r="C180">
        <v>45910</v>
      </c>
      <c r="D180">
        <v>232.185</v>
      </c>
      <c r="E180">
        <v>232.42</v>
      </c>
      <c r="F180">
        <v>225.95</v>
      </c>
      <c r="G180">
        <v>226.79</v>
      </c>
      <c r="H180">
        <v>234.35</v>
      </c>
    </row>
    <row r="181" spans="1:8" x14ac:dyDescent="0.3">
      <c r="A181" t="s">
        <v>294</v>
      </c>
      <c r="B181" t="s">
        <v>21</v>
      </c>
      <c r="C181">
        <v>45911</v>
      </c>
      <c r="D181">
        <v>226.875</v>
      </c>
      <c r="E181">
        <v>230.45</v>
      </c>
      <c r="F181">
        <v>226.65</v>
      </c>
      <c r="G181">
        <v>230.03</v>
      </c>
      <c r="H181">
        <v>226.79</v>
      </c>
    </row>
    <row r="182" spans="1:8" x14ac:dyDescent="0.3">
      <c r="A182" t="s">
        <v>295</v>
      </c>
      <c r="B182" t="s">
        <v>21</v>
      </c>
      <c r="C182">
        <v>45912</v>
      </c>
      <c r="D182">
        <v>229.22</v>
      </c>
      <c r="E182">
        <v>234.51</v>
      </c>
      <c r="F182">
        <v>229.02</v>
      </c>
      <c r="G182">
        <v>234.07</v>
      </c>
      <c r="H182">
        <v>230.03</v>
      </c>
    </row>
    <row r="183" spans="1:8" x14ac:dyDescent="0.3">
      <c r="A183" t="s">
        <v>296</v>
      </c>
      <c r="B183" t="s">
        <v>21</v>
      </c>
      <c r="C183">
        <v>45915</v>
      </c>
      <c r="D183">
        <v>237</v>
      </c>
      <c r="E183">
        <v>238.19</v>
      </c>
      <c r="F183">
        <v>235.03</v>
      </c>
      <c r="G183">
        <v>236.7</v>
      </c>
      <c r="H183">
        <v>234.07</v>
      </c>
    </row>
    <row r="184" spans="1:8" x14ac:dyDescent="0.3">
      <c r="A184" t="s">
        <v>297</v>
      </c>
      <c r="B184" t="s">
        <v>21</v>
      </c>
      <c r="C184">
        <v>45916</v>
      </c>
      <c r="D184">
        <v>237.17500000000001</v>
      </c>
      <c r="E184">
        <v>241.22</v>
      </c>
      <c r="F184">
        <v>236.3235</v>
      </c>
      <c r="G184">
        <v>238.15</v>
      </c>
      <c r="H184">
        <v>236.7</v>
      </c>
    </row>
    <row r="185" spans="1:8" x14ac:dyDescent="0.3">
      <c r="A185" t="s">
        <v>298</v>
      </c>
      <c r="B185" t="s">
        <v>21</v>
      </c>
      <c r="C185">
        <v>45917</v>
      </c>
      <c r="D185">
        <v>238.97</v>
      </c>
      <c r="E185">
        <v>240.1</v>
      </c>
      <c r="F185">
        <v>237.73009999999999</v>
      </c>
      <c r="G185">
        <v>238.99</v>
      </c>
      <c r="H185">
        <v>238.15</v>
      </c>
    </row>
    <row r="186" spans="1:8" x14ac:dyDescent="0.3">
      <c r="A186" t="s">
        <v>299</v>
      </c>
      <c r="B186" t="s">
        <v>21</v>
      </c>
      <c r="C186">
        <v>45918</v>
      </c>
      <c r="D186">
        <v>239.97</v>
      </c>
      <c r="E186">
        <v>241.2</v>
      </c>
      <c r="F186">
        <v>236.65</v>
      </c>
      <c r="G186">
        <v>237.88</v>
      </c>
      <c r="H186">
        <v>238.99</v>
      </c>
    </row>
    <row r="187" spans="1:8" x14ac:dyDescent="0.3">
      <c r="A187" t="s">
        <v>300</v>
      </c>
      <c r="B187" t="s">
        <v>21</v>
      </c>
      <c r="C187">
        <v>45919</v>
      </c>
      <c r="D187">
        <v>241.22499999999999</v>
      </c>
      <c r="E187">
        <v>246.3</v>
      </c>
      <c r="F187">
        <v>240.2106</v>
      </c>
      <c r="G187">
        <v>245.5</v>
      </c>
      <c r="H187">
        <v>237.88</v>
      </c>
    </row>
    <row r="188" spans="1:8" x14ac:dyDescent="0.3">
      <c r="A188" t="s">
        <v>301</v>
      </c>
      <c r="B188" t="s">
        <v>21</v>
      </c>
      <c r="C188">
        <v>45922</v>
      </c>
      <c r="D188">
        <v>248.3</v>
      </c>
      <c r="E188">
        <v>256.64</v>
      </c>
      <c r="F188">
        <v>248.12</v>
      </c>
      <c r="G188">
        <v>256.08</v>
      </c>
      <c r="H188">
        <v>245.5</v>
      </c>
    </row>
    <row r="189" spans="1:8" x14ac:dyDescent="0.3">
      <c r="A189" t="s">
        <v>302</v>
      </c>
      <c r="B189" t="s">
        <v>21</v>
      </c>
      <c r="C189">
        <v>45923</v>
      </c>
      <c r="D189">
        <v>255.875</v>
      </c>
      <c r="E189">
        <v>257.33999999999997</v>
      </c>
      <c r="F189">
        <v>253.58</v>
      </c>
      <c r="G189">
        <v>254.43</v>
      </c>
      <c r="H189">
        <v>256.08</v>
      </c>
    </row>
    <row r="190" spans="1:8" x14ac:dyDescent="0.3">
      <c r="A190" t="s">
        <v>303</v>
      </c>
      <c r="B190" t="s">
        <v>21</v>
      </c>
      <c r="C190">
        <v>45924</v>
      </c>
      <c r="D190">
        <v>255.22</v>
      </c>
      <c r="E190">
        <v>255.74</v>
      </c>
      <c r="F190">
        <v>251.04</v>
      </c>
      <c r="G190">
        <v>252.31</v>
      </c>
      <c r="H190">
        <v>254.43</v>
      </c>
    </row>
    <row r="191" spans="1:8" x14ac:dyDescent="0.3">
      <c r="A191" t="s">
        <v>304</v>
      </c>
      <c r="B191" t="s">
        <v>21</v>
      </c>
      <c r="C191">
        <v>45925</v>
      </c>
      <c r="D191">
        <v>253.20500000000001</v>
      </c>
      <c r="E191">
        <v>257.17</v>
      </c>
      <c r="F191">
        <v>251.71199999999999</v>
      </c>
      <c r="G191">
        <v>256.87</v>
      </c>
      <c r="H191">
        <v>252.31</v>
      </c>
    </row>
    <row r="192" spans="1:8" x14ac:dyDescent="0.3">
      <c r="A192" t="s">
        <v>305</v>
      </c>
      <c r="B192" t="s">
        <v>21</v>
      </c>
      <c r="C192">
        <v>45926</v>
      </c>
      <c r="D192">
        <v>254.095</v>
      </c>
      <c r="E192">
        <v>257.60000000000002</v>
      </c>
      <c r="F192">
        <v>253.78</v>
      </c>
      <c r="G192">
        <v>255.46</v>
      </c>
      <c r="H192">
        <v>256.87</v>
      </c>
    </row>
    <row r="193" spans="1:8" x14ac:dyDescent="0.3">
      <c r="A193" t="s">
        <v>306</v>
      </c>
      <c r="B193" t="s">
        <v>21</v>
      </c>
      <c r="C193">
        <v>45929</v>
      </c>
      <c r="D193">
        <v>254.56</v>
      </c>
      <c r="E193">
        <v>255</v>
      </c>
      <c r="F193">
        <v>253.01</v>
      </c>
      <c r="G193">
        <v>254.43</v>
      </c>
      <c r="H193">
        <v>255.46</v>
      </c>
    </row>
    <row r="194" spans="1:8" x14ac:dyDescent="0.3">
      <c r="A194" t="s">
        <v>92</v>
      </c>
      <c r="B194" t="s">
        <v>21</v>
      </c>
      <c r="C194">
        <v>45930</v>
      </c>
      <c r="D194">
        <v>254.85499999999999</v>
      </c>
      <c r="E194">
        <v>255.91900000000001</v>
      </c>
      <c r="F194">
        <v>253.11</v>
      </c>
      <c r="G194">
        <v>254.63</v>
      </c>
      <c r="H194">
        <v>254.43</v>
      </c>
    </row>
    <row r="195" spans="1:8" x14ac:dyDescent="0.3">
      <c r="A195" t="s">
        <v>307</v>
      </c>
      <c r="B195" t="s">
        <v>21</v>
      </c>
      <c r="C195">
        <v>45931</v>
      </c>
      <c r="D195">
        <v>255.04</v>
      </c>
      <c r="E195">
        <v>258.79000000000002</v>
      </c>
      <c r="F195">
        <v>254.93</v>
      </c>
      <c r="G195">
        <v>255.45</v>
      </c>
      <c r="H195">
        <v>254.63</v>
      </c>
    </row>
    <row r="196" spans="1:8" x14ac:dyDescent="0.3">
      <c r="A196" t="s">
        <v>308</v>
      </c>
      <c r="B196" t="s">
        <v>21</v>
      </c>
      <c r="C196">
        <v>45932</v>
      </c>
      <c r="D196">
        <v>256.57499999999999</v>
      </c>
      <c r="E196">
        <v>258.18</v>
      </c>
      <c r="F196">
        <v>254.15</v>
      </c>
      <c r="G196">
        <v>257.13</v>
      </c>
      <c r="H196">
        <v>255.45</v>
      </c>
    </row>
    <row r="197" spans="1:8" x14ac:dyDescent="0.3">
      <c r="A197" t="s">
        <v>309</v>
      </c>
      <c r="B197" t="s">
        <v>21</v>
      </c>
      <c r="C197">
        <v>45933</v>
      </c>
      <c r="D197">
        <v>254.66499999999999</v>
      </c>
      <c r="E197">
        <v>259.24</v>
      </c>
      <c r="F197">
        <v>253.95</v>
      </c>
      <c r="G197">
        <v>258.02</v>
      </c>
      <c r="H197">
        <v>257.13</v>
      </c>
    </row>
    <row r="198" spans="1:8" x14ac:dyDescent="0.3">
      <c r="A198" t="s">
        <v>310</v>
      </c>
      <c r="B198" t="s">
        <v>21</v>
      </c>
      <c r="C198">
        <v>45936</v>
      </c>
      <c r="D198">
        <v>257.99</v>
      </c>
      <c r="E198">
        <v>259.07</v>
      </c>
      <c r="F198">
        <v>255.05</v>
      </c>
      <c r="G198">
        <v>256.69</v>
      </c>
      <c r="H198">
        <v>258.02</v>
      </c>
    </row>
    <row r="199" spans="1:8" x14ac:dyDescent="0.3">
      <c r="A199" t="s">
        <v>311</v>
      </c>
      <c r="B199" t="s">
        <v>21</v>
      </c>
      <c r="C199">
        <v>45937</v>
      </c>
      <c r="D199">
        <v>256.80500000000001</v>
      </c>
      <c r="E199">
        <v>257.39999999999998</v>
      </c>
      <c r="F199">
        <v>255.43</v>
      </c>
      <c r="G199">
        <v>256.48</v>
      </c>
      <c r="H199">
        <v>256.69</v>
      </c>
    </row>
    <row r="200" spans="1:8" x14ac:dyDescent="0.3">
      <c r="A200" t="s">
        <v>312</v>
      </c>
      <c r="B200" t="s">
        <v>21</v>
      </c>
      <c r="C200">
        <v>45938</v>
      </c>
      <c r="D200">
        <v>256.52</v>
      </c>
      <c r="E200">
        <v>258.52</v>
      </c>
      <c r="F200">
        <v>256.11</v>
      </c>
      <c r="G200">
        <v>258.06</v>
      </c>
      <c r="H200">
        <v>256.48</v>
      </c>
    </row>
    <row r="201" spans="1:8" x14ac:dyDescent="0.3">
      <c r="A201" t="s">
        <v>313</v>
      </c>
      <c r="B201" t="s">
        <v>21</v>
      </c>
      <c r="C201">
        <v>45939</v>
      </c>
      <c r="D201">
        <v>257.80500000000001</v>
      </c>
      <c r="E201">
        <v>258</v>
      </c>
      <c r="F201">
        <v>253.14</v>
      </c>
      <c r="G201">
        <v>254.04</v>
      </c>
      <c r="H201">
        <v>258.06</v>
      </c>
    </row>
    <row r="202" spans="1:8" x14ac:dyDescent="0.3">
      <c r="A202" t="s">
        <v>314</v>
      </c>
      <c r="B202" t="s">
        <v>21</v>
      </c>
      <c r="C202">
        <v>45940</v>
      </c>
      <c r="D202">
        <v>254.94</v>
      </c>
      <c r="E202">
        <v>256.38</v>
      </c>
      <c r="F202">
        <v>244</v>
      </c>
      <c r="G202">
        <v>245.27</v>
      </c>
      <c r="H202">
        <v>254.04</v>
      </c>
    </row>
    <row r="203" spans="1:8" x14ac:dyDescent="0.3">
      <c r="A203" t="s">
        <v>315</v>
      </c>
      <c r="B203" t="s">
        <v>21</v>
      </c>
      <c r="C203">
        <v>45943</v>
      </c>
      <c r="D203">
        <v>249.38</v>
      </c>
      <c r="E203">
        <v>249.69</v>
      </c>
      <c r="F203">
        <v>245.56</v>
      </c>
      <c r="G203">
        <v>247.66</v>
      </c>
      <c r="H203">
        <v>245.27</v>
      </c>
    </row>
    <row r="204" spans="1:8" x14ac:dyDescent="0.3">
      <c r="A204" t="s">
        <v>316</v>
      </c>
      <c r="B204" t="s">
        <v>21</v>
      </c>
      <c r="C204">
        <v>45944</v>
      </c>
      <c r="D204">
        <v>246.6</v>
      </c>
      <c r="E204">
        <v>248.845</v>
      </c>
      <c r="F204">
        <v>244.7</v>
      </c>
      <c r="G204">
        <v>247.77</v>
      </c>
      <c r="H204">
        <v>247.66</v>
      </c>
    </row>
    <row r="205" spans="1:8" x14ac:dyDescent="0.3">
      <c r="A205" t="s">
        <v>317</v>
      </c>
      <c r="B205" t="s">
        <v>21</v>
      </c>
      <c r="C205">
        <v>45945</v>
      </c>
      <c r="D205">
        <v>249.48500000000001</v>
      </c>
      <c r="E205">
        <v>251.82</v>
      </c>
      <c r="F205">
        <v>247.47</v>
      </c>
      <c r="G205">
        <v>249.34</v>
      </c>
      <c r="H205">
        <v>247.77</v>
      </c>
    </row>
    <row r="206" spans="1:8" x14ac:dyDescent="0.3">
      <c r="A206" t="s">
        <v>318</v>
      </c>
      <c r="B206" t="s">
        <v>21</v>
      </c>
      <c r="C206">
        <v>45946</v>
      </c>
      <c r="D206">
        <v>248.25</v>
      </c>
      <c r="E206">
        <v>249.04</v>
      </c>
      <c r="F206">
        <v>245.13</v>
      </c>
      <c r="G206">
        <v>247.45</v>
      </c>
      <c r="H206">
        <v>249.34</v>
      </c>
    </row>
    <row r="207" spans="1:8" x14ac:dyDescent="0.3">
      <c r="A207" t="s">
        <v>319</v>
      </c>
      <c r="B207" t="s">
        <v>21</v>
      </c>
      <c r="C207">
        <v>45947</v>
      </c>
      <c r="D207">
        <v>248.02</v>
      </c>
      <c r="E207">
        <v>253.38</v>
      </c>
      <c r="F207">
        <v>247.27</v>
      </c>
      <c r="G207">
        <v>252.29</v>
      </c>
      <c r="H207">
        <v>247.45</v>
      </c>
    </row>
    <row r="208" spans="1:8" x14ac:dyDescent="0.3">
      <c r="A208" t="s">
        <v>320</v>
      </c>
      <c r="B208" t="s">
        <v>21</v>
      </c>
      <c r="C208">
        <v>45950</v>
      </c>
      <c r="D208">
        <v>255.88499999999999</v>
      </c>
      <c r="E208">
        <v>264.375</v>
      </c>
      <c r="F208">
        <v>255.63</v>
      </c>
      <c r="G208">
        <v>262.24</v>
      </c>
      <c r="H208">
        <v>252.29</v>
      </c>
    </row>
    <row r="209" spans="1:8" x14ac:dyDescent="0.3">
      <c r="A209" t="s">
        <v>321</v>
      </c>
      <c r="B209" t="s">
        <v>21</v>
      </c>
      <c r="C209">
        <v>45951</v>
      </c>
      <c r="D209">
        <v>261.88</v>
      </c>
      <c r="E209">
        <v>265.29000000000002</v>
      </c>
      <c r="F209">
        <v>261.83</v>
      </c>
      <c r="G209">
        <v>262.77</v>
      </c>
      <c r="H209">
        <v>262.24</v>
      </c>
    </row>
    <row r="210" spans="1:8" x14ac:dyDescent="0.3">
      <c r="A210" t="s">
        <v>322</v>
      </c>
      <c r="B210" t="s">
        <v>21</v>
      </c>
      <c r="C210">
        <v>45952</v>
      </c>
      <c r="D210">
        <v>262.64999999999998</v>
      </c>
      <c r="E210">
        <v>262.85000000000002</v>
      </c>
      <c r="F210">
        <v>255.43</v>
      </c>
      <c r="G210">
        <v>258.45</v>
      </c>
      <c r="H210">
        <v>262.77</v>
      </c>
    </row>
    <row r="211" spans="1:8" x14ac:dyDescent="0.3">
      <c r="A211" t="s">
        <v>323</v>
      </c>
      <c r="B211" t="s">
        <v>21</v>
      </c>
      <c r="C211">
        <v>45953</v>
      </c>
      <c r="D211">
        <v>259.94</v>
      </c>
      <c r="E211">
        <v>260.62</v>
      </c>
      <c r="F211">
        <v>258.01010000000002</v>
      </c>
      <c r="G211">
        <v>259.58</v>
      </c>
      <c r="H211">
        <v>258.45</v>
      </c>
    </row>
    <row r="212" spans="1:8" x14ac:dyDescent="0.3">
      <c r="A212" t="s">
        <v>324</v>
      </c>
      <c r="B212" t="s">
        <v>21</v>
      </c>
      <c r="C212">
        <v>45954</v>
      </c>
      <c r="D212">
        <v>261.19</v>
      </c>
      <c r="E212">
        <v>264.13</v>
      </c>
      <c r="F212">
        <v>259.18</v>
      </c>
      <c r="G212">
        <v>262.82</v>
      </c>
      <c r="H212">
        <v>259.58</v>
      </c>
    </row>
    <row r="213" spans="1:8" x14ac:dyDescent="0.3">
      <c r="A213" t="s">
        <v>325</v>
      </c>
      <c r="B213" t="s">
        <v>21</v>
      </c>
      <c r="C213">
        <v>45957</v>
      </c>
      <c r="D213">
        <v>264.88</v>
      </c>
      <c r="E213">
        <v>269.12</v>
      </c>
      <c r="F213">
        <v>264.65010000000001</v>
      </c>
      <c r="G213">
        <v>268.81</v>
      </c>
      <c r="H213">
        <v>262.82</v>
      </c>
    </row>
    <row r="214" spans="1:8" x14ac:dyDescent="0.3">
      <c r="A214" t="s">
        <v>326</v>
      </c>
      <c r="B214" t="s">
        <v>21</v>
      </c>
      <c r="C214">
        <v>45958</v>
      </c>
      <c r="D214">
        <v>268.98500000000001</v>
      </c>
      <c r="E214">
        <v>269.89</v>
      </c>
      <c r="F214">
        <v>268.14999999999998</v>
      </c>
      <c r="G214">
        <v>269</v>
      </c>
      <c r="H214">
        <v>268.81</v>
      </c>
    </row>
    <row r="215" spans="1:8" x14ac:dyDescent="0.3">
      <c r="A215" t="s">
        <v>327</v>
      </c>
      <c r="B215" t="s">
        <v>21</v>
      </c>
      <c r="C215">
        <v>45959</v>
      </c>
      <c r="D215">
        <v>269.27499999999998</v>
      </c>
      <c r="E215">
        <v>271.41000000000003</v>
      </c>
      <c r="F215">
        <v>267.11</v>
      </c>
      <c r="G215">
        <v>269.7</v>
      </c>
      <c r="H215">
        <v>269</v>
      </c>
    </row>
    <row r="216" spans="1:8" x14ac:dyDescent="0.3">
      <c r="A216" t="s">
        <v>328</v>
      </c>
      <c r="B216" t="s">
        <v>21</v>
      </c>
      <c r="C216">
        <v>45960</v>
      </c>
      <c r="D216">
        <v>271.99</v>
      </c>
      <c r="E216">
        <v>274.14</v>
      </c>
      <c r="F216">
        <v>268.48</v>
      </c>
      <c r="G216">
        <v>271.39999999999998</v>
      </c>
      <c r="H216">
        <v>269.7</v>
      </c>
    </row>
    <row r="217" spans="1:8" x14ac:dyDescent="0.3">
      <c r="A217" t="s">
        <v>329</v>
      </c>
      <c r="B217" t="s">
        <v>21</v>
      </c>
      <c r="C217">
        <v>45961</v>
      </c>
      <c r="D217">
        <v>276.99</v>
      </c>
      <c r="E217">
        <v>277.32</v>
      </c>
      <c r="F217">
        <v>269.16000000000003</v>
      </c>
      <c r="G217">
        <v>270.37</v>
      </c>
      <c r="H217">
        <v>271.39999999999998</v>
      </c>
    </row>
    <row r="218" spans="1:8" x14ac:dyDescent="0.3">
      <c r="A218" t="s">
        <v>330</v>
      </c>
      <c r="B218" t="s">
        <v>21</v>
      </c>
      <c r="C218">
        <v>45964</v>
      </c>
      <c r="D218">
        <v>270.42</v>
      </c>
      <c r="E218">
        <v>270.85000000000002</v>
      </c>
      <c r="F218">
        <v>266.25</v>
      </c>
      <c r="G218">
        <v>269.05</v>
      </c>
      <c r="H218">
        <v>270.37</v>
      </c>
    </row>
    <row r="219" spans="1:8" x14ac:dyDescent="0.3">
      <c r="A219" t="s">
        <v>331</v>
      </c>
      <c r="B219" t="s">
        <v>21</v>
      </c>
      <c r="C219">
        <v>45965</v>
      </c>
      <c r="D219">
        <v>268.32499999999999</v>
      </c>
      <c r="E219">
        <v>271.48599999999999</v>
      </c>
      <c r="F219">
        <v>267.61500000000001</v>
      </c>
      <c r="G219">
        <v>270.04000000000002</v>
      </c>
      <c r="H219">
        <v>269.05</v>
      </c>
    </row>
    <row r="220" spans="1:8" x14ac:dyDescent="0.3">
      <c r="A220" t="s">
        <v>332</v>
      </c>
      <c r="B220" t="s">
        <v>21</v>
      </c>
      <c r="C220">
        <v>45966</v>
      </c>
      <c r="D220">
        <v>268.61</v>
      </c>
      <c r="E220">
        <v>271.7</v>
      </c>
      <c r="F220">
        <v>266.93</v>
      </c>
      <c r="G220">
        <v>270.14</v>
      </c>
      <c r="H220">
        <v>270.04000000000002</v>
      </c>
    </row>
    <row r="221" spans="1:8" x14ac:dyDescent="0.3">
      <c r="A221" t="s">
        <v>333</v>
      </c>
      <c r="B221" t="s">
        <v>21</v>
      </c>
      <c r="C221">
        <v>45967</v>
      </c>
      <c r="D221">
        <v>267.89</v>
      </c>
      <c r="E221">
        <v>273.39999999999998</v>
      </c>
      <c r="F221">
        <v>267.89</v>
      </c>
      <c r="G221">
        <v>269.77</v>
      </c>
      <c r="H221">
        <v>270.14</v>
      </c>
    </row>
    <row r="222" spans="1:8" x14ac:dyDescent="0.3">
      <c r="A222" t="s">
        <v>334</v>
      </c>
      <c r="B222" t="s">
        <v>21</v>
      </c>
      <c r="C222">
        <v>45968</v>
      </c>
      <c r="D222">
        <v>269.79500000000002</v>
      </c>
      <c r="E222">
        <v>272.29000000000002</v>
      </c>
      <c r="F222">
        <v>266.77</v>
      </c>
      <c r="G222">
        <v>268.47000000000003</v>
      </c>
      <c r="H222">
        <v>269.77</v>
      </c>
    </row>
    <row r="223" spans="1:8" x14ac:dyDescent="0.3">
      <c r="A223" t="s">
        <v>335</v>
      </c>
      <c r="B223" t="s">
        <v>21</v>
      </c>
      <c r="C223">
        <v>45971</v>
      </c>
      <c r="D223">
        <v>268.95999999999998</v>
      </c>
      <c r="E223">
        <v>273.73</v>
      </c>
      <c r="F223">
        <v>267.45499999999998</v>
      </c>
      <c r="G223">
        <v>269.43</v>
      </c>
      <c r="H223">
        <v>268.47000000000003</v>
      </c>
    </row>
    <row r="224" spans="1:8" x14ac:dyDescent="0.3">
      <c r="A224" t="s">
        <v>336</v>
      </c>
      <c r="B224" t="s">
        <v>21</v>
      </c>
      <c r="C224">
        <v>45972</v>
      </c>
      <c r="D224">
        <v>269.81</v>
      </c>
      <c r="E224">
        <v>275.91000000000003</v>
      </c>
      <c r="F224">
        <v>269.8</v>
      </c>
      <c r="G224">
        <v>275.25</v>
      </c>
      <c r="H224">
        <v>269.43</v>
      </c>
    </row>
    <row r="225" spans="1:8" x14ac:dyDescent="0.3">
      <c r="A225" t="s">
        <v>337</v>
      </c>
      <c r="B225" t="s">
        <v>21</v>
      </c>
      <c r="C225">
        <v>45973</v>
      </c>
      <c r="D225">
        <v>275</v>
      </c>
      <c r="E225">
        <v>275.73</v>
      </c>
      <c r="F225">
        <v>271.7</v>
      </c>
      <c r="G225">
        <v>273.47000000000003</v>
      </c>
      <c r="H225">
        <v>275.25</v>
      </c>
    </row>
    <row r="226" spans="1:8" x14ac:dyDescent="0.3">
      <c r="A226" t="s">
        <v>338</v>
      </c>
      <c r="B226" t="s">
        <v>21</v>
      </c>
      <c r="C226">
        <v>45974</v>
      </c>
      <c r="D226">
        <v>274.11</v>
      </c>
      <c r="E226">
        <v>276.69900000000001</v>
      </c>
      <c r="F226">
        <v>272.08999999999997</v>
      </c>
      <c r="G226">
        <v>272.95</v>
      </c>
      <c r="H226">
        <v>273.47000000000003</v>
      </c>
    </row>
    <row r="227" spans="1:8" x14ac:dyDescent="0.3">
      <c r="A227" t="s">
        <v>339</v>
      </c>
      <c r="B227" t="s">
        <v>21</v>
      </c>
      <c r="C227">
        <v>45975</v>
      </c>
      <c r="D227">
        <v>271.05</v>
      </c>
      <c r="E227">
        <v>275.95999999999998</v>
      </c>
      <c r="F227">
        <v>269.60000000000002</v>
      </c>
      <c r="G227">
        <v>272.41000000000003</v>
      </c>
      <c r="H227">
        <v>272.95</v>
      </c>
    </row>
    <row r="228" spans="1:8" x14ac:dyDescent="0.3">
      <c r="A228" t="s">
        <v>340</v>
      </c>
      <c r="B228" t="s">
        <v>21</v>
      </c>
      <c r="C228">
        <v>45978</v>
      </c>
      <c r="D228">
        <v>268.815</v>
      </c>
      <c r="E228">
        <v>270.49</v>
      </c>
      <c r="F228">
        <v>265.73</v>
      </c>
      <c r="G228">
        <v>267.45999999999998</v>
      </c>
      <c r="H228">
        <v>272.41000000000003</v>
      </c>
    </row>
    <row r="229" spans="1:8" x14ac:dyDescent="0.3">
      <c r="A229" t="s">
        <v>341</v>
      </c>
      <c r="B229" t="s">
        <v>21</v>
      </c>
      <c r="C229">
        <v>45979</v>
      </c>
      <c r="D229">
        <v>269.99</v>
      </c>
      <c r="E229">
        <v>270.70999999999998</v>
      </c>
      <c r="F229">
        <v>265.32</v>
      </c>
      <c r="G229">
        <v>267.44</v>
      </c>
      <c r="H229">
        <v>267.45999999999998</v>
      </c>
    </row>
    <row r="230" spans="1:8" x14ac:dyDescent="0.3">
      <c r="A230" t="s">
        <v>342</v>
      </c>
      <c r="B230" t="s">
        <v>21</v>
      </c>
      <c r="C230">
        <v>45980</v>
      </c>
      <c r="D230">
        <v>265.52499999999998</v>
      </c>
      <c r="E230">
        <v>272.20999999999998</v>
      </c>
      <c r="F230">
        <v>265.5</v>
      </c>
      <c r="G230">
        <v>268.56</v>
      </c>
      <c r="H230">
        <v>267.44</v>
      </c>
    </row>
    <row r="231" spans="1:8" x14ac:dyDescent="0.3">
      <c r="A231" t="s">
        <v>343</v>
      </c>
      <c r="B231" t="s">
        <v>21</v>
      </c>
      <c r="C231">
        <v>45981</v>
      </c>
      <c r="D231">
        <v>270.83</v>
      </c>
      <c r="E231">
        <v>275.43</v>
      </c>
      <c r="F231">
        <v>265.92</v>
      </c>
      <c r="G231">
        <v>266.25</v>
      </c>
      <c r="H231">
        <v>268.56</v>
      </c>
    </row>
    <row r="232" spans="1:8" x14ac:dyDescent="0.3">
      <c r="A232" t="s">
        <v>344</v>
      </c>
      <c r="B232" t="s">
        <v>21</v>
      </c>
      <c r="C232">
        <v>45982</v>
      </c>
      <c r="D232">
        <v>265.95</v>
      </c>
      <c r="E232">
        <v>273.33</v>
      </c>
      <c r="F232">
        <v>265.67</v>
      </c>
      <c r="G232">
        <v>271.49</v>
      </c>
      <c r="H232">
        <v>266.25</v>
      </c>
    </row>
    <row r="233" spans="1:8" x14ac:dyDescent="0.3">
      <c r="A233" t="s">
        <v>345</v>
      </c>
      <c r="B233" t="s">
        <v>21</v>
      </c>
      <c r="C233">
        <v>45985</v>
      </c>
      <c r="D233">
        <v>270.89999999999998</v>
      </c>
      <c r="E233">
        <v>277</v>
      </c>
      <c r="F233">
        <v>270.89999999999998</v>
      </c>
      <c r="G233">
        <v>275.92</v>
      </c>
      <c r="H233">
        <v>271.49</v>
      </c>
    </row>
    <row r="234" spans="1:8" x14ac:dyDescent="0.3">
      <c r="A234" t="s">
        <v>346</v>
      </c>
      <c r="B234" t="s">
        <v>21</v>
      </c>
      <c r="C234">
        <v>45986</v>
      </c>
      <c r="D234">
        <v>275.27</v>
      </c>
      <c r="E234">
        <v>280.38</v>
      </c>
      <c r="F234">
        <v>275.25</v>
      </c>
      <c r="G234">
        <v>276.97000000000003</v>
      </c>
      <c r="H234">
        <v>275.92</v>
      </c>
    </row>
    <row r="235" spans="1:8" x14ac:dyDescent="0.3">
      <c r="A235" t="s">
        <v>347</v>
      </c>
      <c r="B235" t="s">
        <v>21</v>
      </c>
      <c r="C235">
        <v>45987</v>
      </c>
      <c r="D235">
        <v>276.95999999999998</v>
      </c>
      <c r="E235">
        <v>279.52999999999997</v>
      </c>
      <c r="F235">
        <v>276.63</v>
      </c>
      <c r="G235">
        <v>277.55</v>
      </c>
      <c r="H235">
        <v>276.97000000000003</v>
      </c>
    </row>
    <row r="236" spans="1:8" x14ac:dyDescent="0.3">
      <c r="A236" t="s">
        <v>348</v>
      </c>
      <c r="B236" t="s">
        <v>21</v>
      </c>
      <c r="C236">
        <v>45989</v>
      </c>
      <c r="D236">
        <v>277.26</v>
      </c>
      <c r="E236">
        <v>279</v>
      </c>
      <c r="F236">
        <v>275.98649999999998</v>
      </c>
      <c r="G236">
        <v>278.85000000000002</v>
      </c>
      <c r="H236">
        <v>277.55</v>
      </c>
    </row>
    <row r="237" spans="1:8" x14ac:dyDescent="0.3">
      <c r="A237" t="s">
        <v>349</v>
      </c>
      <c r="B237" t="s">
        <v>21</v>
      </c>
      <c r="C237">
        <v>45992</v>
      </c>
      <c r="D237">
        <v>278.01</v>
      </c>
      <c r="E237">
        <v>283.42</v>
      </c>
      <c r="F237">
        <v>276.14</v>
      </c>
      <c r="G237">
        <v>283.10000000000002</v>
      </c>
      <c r="H237">
        <v>278.85000000000002</v>
      </c>
    </row>
    <row r="238" spans="1:8" x14ac:dyDescent="0.3">
      <c r="A238" t="s">
        <v>350</v>
      </c>
      <c r="B238" t="s">
        <v>21</v>
      </c>
      <c r="C238">
        <v>45993</v>
      </c>
      <c r="D238">
        <v>283</v>
      </c>
      <c r="E238">
        <v>287.39999999999998</v>
      </c>
      <c r="F238">
        <v>282.63010000000003</v>
      </c>
      <c r="G238">
        <v>286.19</v>
      </c>
      <c r="H238">
        <v>283.10000000000002</v>
      </c>
    </row>
    <row r="239" spans="1:8" x14ac:dyDescent="0.3">
      <c r="A239" t="s">
        <v>351</v>
      </c>
      <c r="B239" t="s">
        <v>21</v>
      </c>
      <c r="C239">
        <v>45994</v>
      </c>
      <c r="D239">
        <v>286.2</v>
      </c>
      <c r="E239">
        <v>288.62</v>
      </c>
      <c r="F239">
        <v>283.3</v>
      </c>
      <c r="G239">
        <v>284.14999999999998</v>
      </c>
      <c r="H239">
        <v>286.19</v>
      </c>
    </row>
    <row r="240" spans="1:8" x14ac:dyDescent="0.3">
      <c r="A240" t="s">
        <v>352</v>
      </c>
      <c r="B240" t="s">
        <v>21</v>
      </c>
      <c r="C240">
        <v>45995</v>
      </c>
      <c r="D240">
        <v>284.09500000000003</v>
      </c>
      <c r="E240">
        <v>284.73</v>
      </c>
      <c r="F240">
        <v>278.58999999999997</v>
      </c>
      <c r="G240">
        <v>280.7</v>
      </c>
      <c r="H240">
        <v>284.14999999999998</v>
      </c>
    </row>
    <row r="241" spans="1:8" x14ac:dyDescent="0.3">
      <c r="A241" t="s">
        <v>353</v>
      </c>
      <c r="B241" t="s">
        <v>21</v>
      </c>
      <c r="C241">
        <v>45996</v>
      </c>
      <c r="D241">
        <v>280.54000000000002</v>
      </c>
      <c r="E241">
        <v>281.14</v>
      </c>
      <c r="F241">
        <v>278.05</v>
      </c>
      <c r="G241">
        <v>278.77999999999997</v>
      </c>
      <c r="H241">
        <v>280.7</v>
      </c>
    </row>
    <row r="242" spans="1:8" x14ac:dyDescent="0.3">
      <c r="A242" t="s">
        <v>354</v>
      </c>
      <c r="B242" t="s">
        <v>21</v>
      </c>
      <c r="C242">
        <v>45999</v>
      </c>
      <c r="D242">
        <v>278.13</v>
      </c>
      <c r="E242">
        <v>279.66930000000002</v>
      </c>
      <c r="F242">
        <v>276.14999999999998</v>
      </c>
      <c r="G242">
        <v>277.89</v>
      </c>
      <c r="H242">
        <v>278.77999999999997</v>
      </c>
    </row>
    <row r="243" spans="1:8" x14ac:dyDescent="0.3">
      <c r="A243" t="s">
        <v>355</v>
      </c>
      <c r="B243" t="s">
        <v>21</v>
      </c>
      <c r="C243">
        <v>46000</v>
      </c>
      <c r="D243">
        <v>278.16000000000003</v>
      </c>
      <c r="E243">
        <v>280.02999999999997</v>
      </c>
      <c r="F243">
        <v>276.92</v>
      </c>
      <c r="G243">
        <v>277.18</v>
      </c>
      <c r="H243">
        <v>277.89</v>
      </c>
    </row>
    <row r="244" spans="1:8" x14ac:dyDescent="0.3">
      <c r="A244" t="s">
        <v>356</v>
      </c>
      <c r="B244" t="s">
        <v>21</v>
      </c>
      <c r="C244">
        <v>46001</v>
      </c>
      <c r="D244">
        <v>277.75</v>
      </c>
      <c r="E244">
        <v>279.75</v>
      </c>
      <c r="F244">
        <v>276.44</v>
      </c>
      <c r="G244">
        <v>278.77999999999997</v>
      </c>
      <c r="H244">
        <v>277.18</v>
      </c>
    </row>
    <row r="245" spans="1:8" x14ac:dyDescent="0.3">
      <c r="A245" t="s">
        <v>357</v>
      </c>
      <c r="B245" t="s">
        <v>21</v>
      </c>
      <c r="C245">
        <v>46002</v>
      </c>
      <c r="D245">
        <v>279.09500000000003</v>
      </c>
      <c r="E245">
        <v>279.58999999999997</v>
      </c>
      <c r="F245">
        <v>273.81</v>
      </c>
      <c r="G245">
        <v>278.02999999999997</v>
      </c>
      <c r="H245">
        <v>278.77999999999997</v>
      </c>
    </row>
    <row r="246" spans="1:8" x14ac:dyDescent="0.3">
      <c r="A246" t="s">
        <v>358</v>
      </c>
      <c r="B246" t="s">
        <v>21</v>
      </c>
      <c r="C246">
        <v>46003</v>
      </c>
      <c r="D246">
        <v>277.89999999999998</v>
      </c>
      <c r="E246">
        <v>279.22000000000003</v>
      </c>
      <c r="F246">
        <v>276.82</v>
      </c>
      <c r="G246">
        <v>278.27999999999997</v>
      </c>
      <c r="H246">
        <v>278.02999999999997</v>
      </c>
    </row>
    <row r="247" spans="1:8" x14ac:dyDescent="0.3">
      <c r="A247" t="s">
        <v>359</v>
      </c>
      <c r="B247" t="s">
        <v>21</v>
      </c>
      <c r="C247">
        <v>46006</v>
      </c>
      <c r="D247">
        <v>280.14999999999998</v>
      </c>
      <c r="E247">
        <v>280.14999999999998</v>
      </c>
      <c r="F247">
        <v>272.83999999999997</v>
      </c>
      <c r="G247">
        <v>274.11</v>
      </c>
      <c r="H247">
        <v>278.27999999999997</v>
      </c>
    </row>
    <row r="248" spans="1:8" x14ac:dyDescent="0.3">
      <c r="A248" t="s">
        <v>360</v>
      </c>
      <c r="B248" t="s">
        <v>21</v>
      </c>
      <c r="C248">
        <v>46007</v>
      </c>
      <c r="D248">
        <v>272.82</v>
      </c>
      <c r="E248">
        <v>275.5</v>
      </c>
      <c r="F248">
        <v>271.79000000000002</v>
      </c>
      <c r="G248">
        <v>274.61</v>
      </c>
      <c r="H248">
        <v>274.11</v>
      </c>
    </row>
    <row r="249" spans="1:8" x14ac:dyDescent="0.3">
      <c r="A249" t="s">
        <v>361</v>
      </c>
      <c r="B249" t="s">
        <v>21</v>
      </c>
      <c r="C249">
        <v>46008</v>
      </c>
      <c r="D249">
        <v>275.01</v>
      </c>
      <c r="E249">
        <v>276.16000000000003</v>
      </c>
      <c r="F249">
        <v>271.64</v>
      </c>
      <c r="G249">
        <v>271.83999999999997</v>
      </c>
      <c r="H249">
        <v>274.61</v>
      </c>
    </row>
    <row r="250" spans="1:8" x14ac:dyDescent="0.3">
      <c r="A250" t="s">
        <v>362</v>
      </c>
      <c r="B250" t="s">
        <v>21</v>
      </c>
      <c r="C250">
        <v>46009</v>
      </c>
      <c r="D250">
        <v>273.60500000000002</v>
      </c>
      <c r="E250">
        <v>273.63</v>
      </c>
      <c r="F250">
        <v>266.95</v>
      </c>
      <c r="G250">
        <v>272.19</v>
      </c>
      <c r="H250">
        <v>271.83999999999997</v>
      </c>
    </row>
    <row r="251" spans="1:8" x14ac:dyDescent="0.3">
      <c r="A251" t="s">
        <v>363</v>
      </c>
      <c r="B251" t="s">
        <v>21</v>
      </c>
      <c r="C251">
        <v>46010</v>
      </c>
      <c r="D251">
        <v>272.14499999999998</v>
      </c>
      <c r="E251">
        <v>274.60000000000002</v>
      </c>
      <c r="F251">
        <v>269.89999999999998</v>
      </c>
      <c r="G251">
        <v>273.67</v>
      </c>
      <c r="H251">
        <v>272.19</v>
      </c>
    </row>
    <row r="252" spans="1:8" x14ac:dyDescent="0.3">
      <c r="A252" t="s">
        <v>364</v>
      </c>
      <c r="B252" t="s">
        <v>21</v>
      </c>
      <c r="C252">
        <v>46013</v>
      </c>
      <c r="D252">
        <v>272.86</v>
      </c>
      <c r="E252">
        <v>273.88</v>
      </c>
      <c r="F252">
        <v>270.505</v>
      </c>
      <c r="G252">
        <v>270.97000000000003</v>
      </c>
      <c r="H252">
        <v>273.67</v>
      </c>
    </row>
    <row r="253" spans="1:8" x14ac:dyDescent="0.3">
      <c r="A253" t="s">
        <v>365</v>
      </c>
      <c r="B253" t="s">
        <v>21</v>
      </c>
      <c r="C253">
        <v>46014</v>
      </c>
      <c r="D253">
        <v>270.83999999999997</v>
      </c>
      <c r="E253">
        <v>272.5</v>
      </c>
      <c r="F253">
        <v>269.56</v>
      </c>
      <c r="G253">
        <v>272.36</v>
      </c>
      <c r="H253">
        <v>270.97000000000003</v>
      </c>
    </row>
    <row r="254" spans="1:8" x14ac:dyDescent="0.3">
      <c r="A254" t="s">
        <v>366</v>
      </c>
      <c r="B254" t="s">
        <v>21</v>
      </c>
      <c r="C254">
        <v>46015</v>
      </c>
      <c r="D254">
        <v>272.33999999999997</v>
      </c>
      <c r="E254">
        <v>275.43</v>
      </c>
      <c r="F254">
        <v>272.19499999999999</v>
      </c>
      <c r="G254">
        <v>273.81</v>
      </c>
      <c r="H254">
        <v>272.36</v>
      </c>
    </row>
    <row r="255" spans="1:8" x14ac:dyDescent="0.3">
      <c r="A255" t="s">
        <v>367</v>
      </c>
      <c r="B255" t="s">
        <v>21</v>
      </c>
      <c r="C255">
        <v>46017</v>
      </c>
      <c r="D255">
        <v>274.16000000000003</v>
      </c>
      <c r="E255">
        <v>275.37</v>
      </c>
      <c r="F255">
        <v>272.86</v>
      </c>
      <c r="G255">
        <v>273.39999999999998</v>
      </c>
      <c r="H255">
        <v>273.81</v>
      </c>
    </row>
    <row r="256" spans="1:8" x14ac:dyDescent="0.3">
      <c r="A256" t="s">
        <v>368</v>
      </c>
      <c r="B256" t="s">
        <v>21</v>
      </c>
      <c r="C256">
        <v>46020</v>
      </c>
      <c r="D256">
        <v>272.69</v>
      </c>
      <c r="E256">
        <v>274.36</v>
      </c>
      <c r="F256">
        <v>272.35000000000002</v>
      </c>
      <c r="G256">
        <v>273.76</v>
      </c>
      <c r="H256">
        <v>273.39999999999998</v>
      </c>
    </row>
    <row r="257" spans="1:8" x14ac:dyDescent="0.3">
      <c r="A257" t="s">
        <v>369</v>
      </c>
      <c r="B257" t="s">
        <v>21</v>
      </c>
      <c r="C257">
        <v>46021</v>
      </c>
      <c r="D257">
        <v>272.81</v>
      </c>
      <c r="E257">
        <v>274.08</v>
      </c>
      <c r="F257">
        <v>272.27999999999997</v>
      </c>
      <c r="G257">
        <v>273.08</v>
      </c>
      <c r="H257">
        <v>273.76</v>
      </c>
    </row>
    <row r="258" spans="1:8" x14ac:dyDescent="0.3">
      <c r="A258" t="s">
        <v>91</v>
      </c>
      <c r="B258" t="s">
        <v>21</v>
      </c>
      <c r="C258">
        <v>46022</v>
      </c>
      <c r="D258">
        <v>273.06</v>
      </c>
      <c r="E258">
        <v>273.68</v>
      </c>
      <c r="F258">
        <v>271.75</v>
      </c>
      <c r="G258">
        <v>271.86</v>
      </c>
      <c r="H258">
        <v>273.08</v>
      </c>
    </row>
    <row r="259" spans="1:8" x14ac:dyDescent="0.3">
      <c r="A259" t="s">
        <v>370</v>
      </c>
      <c r="B259" t="s">
        <v>21</v>
      </c>
      <c r="C259">
        <v>46024</v>
      </c>
      <c r="D259">
        <v>272.255</v>
      </c>
      <c r="E259">
        <v>277.83999999999997</v>
      </c>
      <c r="F259">
        <v>269</v>
      </c>
      <c r="G259">
        <v>271.01</v>
      </c>
      <c r="H259">
        <v>271.86</v>
      </c>
    </row>
    <row r="260" spans="1:8" x14ac:dyDescent="0.3">
      <c r="A260" t="s">
        <v>371</v>
      </c>
      <c r="B260" t="s">
        <v>21</v>
      </c>
      <c r="C260">
        <v>46027</v>
      </c>
      <c r="D260">
        <v>270.64</v>
      </c>
      <c r="E260">
        <v>271.51</v>
      </c>
      <c r="F260">
        <v>266.14</v>
      </c>
      <c r="G260">
        <v>267.26</v>
      </c>
      <c r="H260">
        <v>271.01</v>
      </c>
    </row>
    <row r="261" spans="1:8" x14ac:dyDescent="0.3">
      <c r="A261" t="s">
        <v>372</v>
      </c>
      <c r="B261" t="s">
        <v>21</v>
      </c>
      <c r="C261">
        <v>46028</v>
      </c>
      <c r="D261">
        <v>267</v>
      </c>
      <c r="E261">
        <v>267.55</v>
      </c>
      <c r="F261">
        <v>262.12</v>
      </c>
      <c r="G261">
        <v>262.36</v>
      </c>
      <c r="H261">
        <v>267.26</v>
      </c>
    </row>
    <row r="262" spans="1:8" x14ac:dyDescent="0.3">
      <c r="A262" t="s">
        <v>373</v>
      </c>
      <c r="B262" t="s">
        <v>21</v>
      </c>
      <c r="C262">
        <v>46029</v>
      </c>
      <c r="D262">
        <v>263.2</v>
      </c>
      <c r="E262">
        <v>263.68</v>
      </c>
      <c r="F262">
        <v>259.81</v>
      </c>
      <c r="G262">
        <v>260.33</v>
      </c>
      <c r="H262">
        <v>262.36</v>
      </c>
    </row>
    <row r="263" spans="1:8" x14ac:dyDescent="0.3">
      <c r="A263" t="s">
        <v>374</v>
      </c>
      <c r="B263" t="s">
        <v>21</v>
      </c>
      <c r="C263">
        <v>46030</v>
      </c>
      <c r="D263">
        <v>257.02</v>
      </c>
      <c r="E263">
        <v>259.29000000000002</v>
      </c>
      <c r="F263">
        <v>255.7</v>
      </c>
      <c r="G263">
        <v>259.04000000000002</v>
      </c>
      <c r="H263">
        <v>260.33</v>
      </c>
    </row>
    <row r="264" spans="1:8" x14ac:dyDescent="0.3">
      <c r="A264" t="s">
        <v>375</v>
      </c>
      <c r="B264" t="s">
        <v>21</v>
      </c>
      <c r="C264">
        <v>46031</v>
      </c>
      <c r="D264">
        <v>259.07499999999999</v>
      </c>
      <c r="E264">
        <v>260.20999999999998</v>
      </c>
      <c r="F264">
        <v>256.22000000000003</v>
      </c>
      <c r="G264">
        <v>259.37</v>
      </c>
      <c r="H264">
        <v>259.04000000000002</v>
      </c>
    </row>
    <row r="265" spans="1:8" x14ac:dyDescent="0.3">
      <c r="A265" t="s">
        <v>376</v>
      </c>
      <c r="B265" t="s">
        <v>21</v>
      </c>
      <c r="C265">
        <v>46034</v>
      </c>
      <c r="D265">
        <v>259.16000000000003</v>
      </c>
      <c r="E265">
        <v>261.3</v>
      </c>
      <c r="F265">
        <v>256.8</v>
      </c>
      <c r="G265">
        <v>260.25</v>
      </c>
      <c r="H265">
        <v>259.37</v>
      </c>
    </row>
    <row r="266" spans="1:8" x14ac:dyDescent="0.3">
      <c r="A266" t="s">
        <v>377</v>
      </c>
      <c r="B266" t="s">
        <v>21</v>
      </c>
      <c r="C266">
        <v>46035</v>
      </c>
      <c r="D266">
        <v>258.72000000000003</v>
      </c>
      <c r="E266">
        <v>261.81</v>
      </c>
      <c r="F266">
        <v>258.39</v>
      </c>
      <c r="G266">
        <v>261.05</v>
      </c>
      <c r="H266">
        <v>260.25</v>
      </c>
    </row>
    <row r="267" spans="1:8" x14ac:dyDescent="0.3">
      <c r="A267" t="s">
        <v>378</v>
      </c>
      <c r="B267" t="s">
        <v>21</v>
      </c>
      <c r="C267">
        <v>46036</v>
      </c>
      <c r="D267">
        <v>259.49</v>
      </c>
      <c r="E267">
        <v>261.82</v>
      </c>
      <c r="F267">
        <v>256.70999999999998</v>
      </c>
      <c r="G267">
        <v>259.95999999999998</v>
      </c>
      <c r="H267">
        <v>261.05</v>
      </c>
    </row>
    <row r="268" spans="1:8" x14ac:dyDescent="0.3">
      <c r="A268" t="s">
        <v>379</v>
      </c>
      <c r="B268" t="s">
        <v>21</v>
      </c>
      <c r="C268">
        <v>46037</v>
      </c>
      <c r="D268">
        <v>260.64999999999998</v>
      </c>
      <c r="E268">
        <v>261.04000000000002</v>
      </c>
      <c r="F268">
        <v>257.05</v>
      </c>
      <c r="G268">
        <v>258.20999999999998</v>
      </c>
      <c r="H268">
        <v>259.95999999999998</v>
      </c>
    </row>
    <row r="269" spans="1:8" x14ac:dyDescent="0.3">
      <c r="A269" t="s">
        <v>380</v>
      </c>
      <c r="B269" t="s">
        <v>21</v>
      </c>
      <c r="C269">
        <v>46038</v>
      </c>
      <c r="D269">
        <v>257.89999999999998</v>
      </c>
      <c r="E269">
        <v>258.89999999999998</v>
      </c>
      <c r="F269">
        <v>254.93</v>
      </c>
      <c r="G269">
        <v>255.53</v>
      </c>
      <c r="H269">
        <v>258.20999999999998</v>
      </c>
    </row>
    <row r="270" spans="1:8" x14ac:dyDescent="0.3">
      <c r="A270" t="s">
        <v>381</v>
      </c>
      <c r="B270" t="s">
        <v>21</v>
      </c>
      <c r="C270">
        <v>46042</v>
      </c>
      <c r="D270">
        <v>252.73</v>
      </c>
      <c r="E270">
        <v>254.79</v>
      </c>
      <c r="F270">
        <v>243.42</v>
      </c>
      <c r="G270">
        <v>246.7</v>
      </c>
      <c r="H270">
        <v>255.53</v>
      </c>
    </row>
    <row r="271" spans="1:8" x14ac:dyDescent="0.3">
      <c r="A271" t="s">
        <v>382</v>
      </c>
      <c r="B271" t="s">
        <v>21</v>
      </c>
      <c r="C271">
        <v>46043</v>
      </c>
      <c r="D271">
        <v>248.7</v>
      </c>
      <c r="E271">
        <v>251.56</v>
      </c>
      <c r="F271">
        <v>245.18</v>
      </c>
      <c r="G271">
        <v>247.65</v>
      </c>
      <c r="H271">
        <v>246.7</v>
      </c>
    </row>
    <row r="272" spans="1:8" x14ac:dyDescent="0.3">
      <c r="A272" t="s">
        <v>383</v>
      </c>
      <c r="B272" t="s">
        <v>21</v>
      </c>
      <c r="C272">
        <v>46044</v>
      </c>
      <c r="D272">
        <v>249.2</v>
      </c>
      <c r="E272">
        <v>251</v>
      </c>
      <c r="F272">
        <v>248.15</v>
      </c>
      <c r="G272">
        <v>248.35</v>
      </c>
      <c r="H272">
        <v>247.65</v>
      </c>
    </row>
    <row r="273" spans="1:8" x14ac:dyDescent="0.3">
      <c r="A273" t="s">
        <v>384</v>
      </c>
      <c r="B273" t="s">
        <v>21</v>
      </c>
      <c r="C273">
        <v>46045</v>
      </c>
      <c r="D273">
        <v>247.32</v>
      </c>
      <c r="E273">
        <v>249.41</v>
      </c>
      <c r="F273">
        <v>244.68</v>
      </c>
      <c r="G273">
        <v>248.04</v>
      </c>
      <c r="H273">
        <v>248.35</v>
      </c>
    </row>
    <row r="274" spans="1:8" x14ac:dyDescent="0.3">
      <c r="A274" t="s">
        <v>385</v>
      </c>
      <c r="B274" t="s">
        <v>21</v>
      </c>
      <c r="C274">
        <v>46048</v>
      </c>
      <c r="D274">
        <v>251.48</v>
      </c>
      <c r="E274">
        <v>256.56</v>
      </c>
      <c r="F274">
        <v>249.8</v>
      </c>
      <c r="G274">
        <v>255.41</v>
      </c>
      <c r="H274">
        <v>248.04</v>
      </c>
    </row>
    <row r="275" spans="1:8" x14ac:dyDescent="0.3">
      <c r="A275" t="s">
        <v>386</v>
      </c>
      <c r="B275" t="s">
        <v>21</v>
      </c>
      <c r="C275">
        <v>46049</v>
      </c>
      <c r="D275">
        <v>259.17</v>
      </c>
      <c r="E275">
        <v>261.95</v>
      </c>
      <c r="F275">
        <v>258.20999999999998</v>
      </c>
      <c r="G275">
        <v>258.27</v>
      </c>
      <c r="H275">
        <v>255.41</v>
      </c>
    </row>
    <row r="276" spans="1:8" x14ac:dyDescent="0.3">
      <c r="A276" t="s">
        <v>387</v>
      </c>
      <c r="B276" t="s">
        <v>21</v>
      </c>
      <c r="C276">
        <v>46050</v>
      </c>
      <c r="D276">
        <v>257.64999999999998</v>
      </c>
      <c r="E276">
        <v>258.85500000000002</v>
      </c>
      <c r="F276">
        <v>254.51</v>
      </c>
      <c r="G276">
        <v>256.44</v>
      </c>
      <c r="H276">
        <v>258.27</v>
      </c>
    </row>
    <row r="277" spans="1:8" x14ac:dyDescent="0.3">
      <c r="A277" t="s">
        <v>388</v>
      </c>
      <c r="B277" t="s">
        <v>21</v>
      </c>
      <c r="C277">
        <v>46051</v>
      </c>
      <c r="D277">
        <v>258</v>
      </c>
      <c r="E277">
        <v>259.64999999999998</v>
      </c>
      <c r="F277">
        <v>254.41</v>
      </c>
      <c r="G277">
        <v>258.27999999999997</v>
      </c>
      <c r="H277">
        <v>256.44</v>
      </c>
    </row>
    <row r="278" spans="1:8" x14ac:dyDescent="0.3">
      <c r="A278" t="s">
        <v>389</v>
      </c>
      <c r="B278" t="s">
        <v>21</v>
      </c>
      <c r="C278">
        <v>46052</v>
      </c>
      <c r="D278">
        <v>255.16499999999999</v>
      </c>
      <c r="E278">
        <v>261.8999</v>
      </c>
      <c r="F278">
        <v>252.18</v>
      </c>
      <c r="G278">
        <v>259.48</v>
      </c>
      <c r="H278">
        <v>258.27999999999997</v>
      </c>
    </row>
    <row r="279" spans="1:8" x14ac:dyDescent="0.3">
      <c r="A279" t="s">
        <v>390</v>
      </c>
      <c r="B279" t="s">
        <v>21</v>
      </c>
      <c r="C279">
        <v>46055</v>
      </c>
      <c r="D279">
        <v>260.02999999999997</v>
      </c>
      <c r="E279">
        <v>270.49</v>
      </c>
      <c r="F279">
        <v>259.20499999999998</v>
      </c>
      <c r="G279">
        <v>270.01</v>
      </c>
      <c r="H279">
        <v>259.48</v>
      </c>
    </row>
    <row r="280" spans="1:8" x14ac:dyDescent="0.3">
      <c r="A280" t="s">
        <v>391</v>
      </c>
      <c r="B280" t="s">
        <v>21</v>
      </c>
      <c r="C280">
        <v>46056</v>
      </c>
      <c r="D280">
        <v>269.2</v>
      </c>
      <c r="E280">
        <v>271.875</v>
      </c>
      <c r="F280">
        <v>267.61</v>
      </c>
      <c r="G280">
        <v>269.48</v>
      </c>
      <c r="H280">
        <v>270.01</v>
      </c>
    </row>
    <row r="281" spans="1:8" x14ac:dyDescent="0.3">
      <c r="A281" t="s">
        <v>392</v>
      </c>
      <c r="B281" t="s">
        <v>21</v>
      </c>
      <c r="C281">
        <v>46057</v>
      </c>
      <c r="D281">
        <v>272.28500000000003</v>
      </c>
      <c r="E281">
        <v>278.95</v>
      </c>
      <c r="F281">
        <v>272.28500000000003</v>
      </c>
      <c r="G281">
        <v>276.49</v>
      </c>
      <c r="H281">
        <v>269.48</v>
      </c>
    </row>
    <row r="282" spans="1:8" x14ac:dyDescent="0.3">
      <c r="A282" t="s">
        <v>393</v>
      </c>
      <c r="B282" t="s">
        <v>21</v>
      </c>
      <c r="C282">
        <v>46058</v>
      </c>
      <c r="D282">
        <v>278.13</v>
      </c>
      <c r="E282">
        <v>279.5</v>
      </c>
      <c r="F282">
        <v>273.23</v>
      </c>
      <c r="G282">
        <v>275.91000000000003</v>
      </c>
      <c r="H282">
        <v>276.49</v>
      </c>
    </row>
    <row r="283" spans="1:8" x14ac:dyDescent="0.3">
      <c r="A283" t="s">
        <v>394</v>
      </c>
      <c r="B283" t="s">
        <v>21</v>
      </c>
      <c r="C283">
        <v>46059</v>
      </c>
      <c r="D283">
        <v>277.12</v>
      </c>
      <c r="E283">
        <v>280.90499999999997</v>
      </c>
      <c r="F283">
        <v>276.92500000000001</v>
      </c>
      <c r="G283">
        <v>278.12</v>
      </c>
      <c r="H283">
        <v>275.91000000000003</v>
      </c>
    </row>
    <row r="284" spans="1:8" x14ac:dyDescent="0.3">
      <c r="A284" t="s">
        <v>395</v>
      </c>
      <c r="B284" t="s">
        <v>21</v>
      </c>
      <c r="C284">
        <v>46062</v>
      </c>
      <c r="D284">
        <v>277.90499999999997</v>
      </c>
      <c r="E284">
        <v>278.2</v>
      </c>
      <c r="F284">
        <v>271.7</v>
      </c>
      <c r="G284">
        <v>274.62</v>
      </c>
      <c r="H284">
        <v>278.12</v>
      </c>
    </row>
    <row r="285" spans="1:8" x14ac:dyDescent="0.3">
      <c r="A285" t="s">
        <v>396</v>
      </c>
      <c r="B285" t="s">
        <v>21</v>
      </c>
      <c r="C285">
        <v>46063</v>
      </c>
      <c r="D285">
        <v>274.88499999999999</v>
      </c>
      <c r="E285">
        <v>275.37</v>
      </c>
      <c r="F285">
        <v>272.94</v>
      </c>
      <c r="G285">
        <v>273.68</v>
      </c>
      <c r="H285">
        <v>274.62</v>
      </c>
    </row>
    <row r="286" spans="1:8" x14ac:dyDescent="0.3">
      <c r="A286" t="s">
        <v>397</v>
      </c>
      <c r="B286" t="s">
        <v>21</v>
      </c>
      <c r="C286">
        <v>46064</v>
      </c>
      <c r="D286">
        <v>274.69499999999999</v>
      </c>
      <c r="E286">
        <v>280.18</v>
      </c>
      <c r="F286">
        <v>274.45</v>
      </c>
      <c r="G286">
        <v>275.5</v>
      </c>
      <c r="H286">
        <v>273.68</v>
      </c>
    </row>
    <row r="287" spans="1:8" x14ac:dyDescent="0.3">
      <c r="A287" t="s">
        <v>398</v>
      </c>
      <c r="B287" t="s">
        <v>21</v>
      </c>
      <c r="C287">
        <v>46065</v>
      </c>
      <c r="D287">
        <v>275.58999999999997</v>
      </c>
      <c r="E287">
        <v>275.72000000000003</v>
      </c>
      <c r="F287">
        <v>260.18</v>
      </c>
      <c r="G287">
        <v>261.73</v>
      </c>
      <c r="H287">
        <v>275.5</v>
      </c>
    </row>
    <row r="288" spans="1:8" x14ac:dyDescent="0.3">
      <c r="A288" t="s">
        <v>399</v>
      </c>
      <c r="B288" t="s">
        <v>21</v>
      </c>
      <c r="C288">
        <v>46066</v>
      </c>
      <c r="D288">
        <v>262.01</v>
      </c>
      <c r="E288">
        <v>262.23</v>
      </c>
      <c r="F288">
        <v>255.45</v>
      </c>
      <c r="G288">
        <v>255.78</v>
      </c>
      <c r="H288">
        <v>261.73</v>
      </c>
    </row>
    <row r="289" spans="1:8" x14ac:dyDescent="0.3">
      <c r="A289" t="s">
        <v>400</v>
      </c>
      <c r="B289" t="s">
        <v>21</v>
      </c>
      <c r="C289">
        <v>46070</v>
      </c>
      <c r="D289">
        <v>258.05</v>
      </c>
      <c r="E289">
        <v>266.29000000000002</v>
      </c>
      <c r="F289">
        <v>255.54</v>
      </c>
      <c r="G289">
        <v>263.88</v>
      </c>
      <c r="H289">
        <v>255.78</v>
      </c>
    </row>
    <row r="290" spans="1:8" x14ac:dyDescent="0.3">
      <c r="A290" t="s">
        <v>401</v>
      </c>
      <c r="B290" t="s">
        <v>21</v>
      </c>
      <c r="C290">
        <v>46071</v>
      </c>
      <c r="D290">
        <v>263.60000000000002</v>
      </c>
      <c r="E290">
        <v>266.82</v>
      </c>
      <c r="F290">
        <v>262.45</v>
      </c>
      <c r="G290">
        <v>264.35000000000002</v>
      </c>
      <c r="H290">
        <v>263.88</v>
      </c>
    </row>
    <row r="291" spans="1:8" x14ac:dyDescent="0.3">
      <c r="A291" t="s">
        <v>402</v>
      </c>
      <c r="B291" t="s">
        <v>21</v>
      </c>
      <c r="C291">
        <v>46072</v>
      </c>
      <c r="D291">
        <v>262.60000000000002</v>
      </c>
      <c r="E291">
        <v>264.48</v>
      </c>
      <c r="F291">
        <v>260.05</v>
      </c>
      <c r="G291">
        <v>260.58</v>
      </c>
      <c r="H291">
        <v>264.35000000000002</v>
      </c>
    </row>
    <row r="292" spans="1:8" x14ac:dyDescent="0.3">
      <c r="A292" t="s">
        <v>403</v>
      </c>
      <c r="B292" t="s">
        <v>21</v>
      </c>
      <c r="C292">
        <v>46073</v>
      </c>
      <c r="D292">
        <v>258.97000000000003</v>
      </c>
      <c r="E292">
        <v>264.75</v>
      </c>
      <c r="F292">
        <v>258.16000000000003</v>
      </c>
      <c r="G292">
        <v>264.58</v>
      </c>
      <c r="H292">
        <v>260.58</v>
      </c>
    </row>
    <row r="293" spans="1:8" x14ac:dyDescent="0.3">
      <c r="A293" t="s">
        <v>404</v>
      </c>
      <c r="B293" t="s">
        <v>21</v>
      </c>
      <c r="C293">
        <v>46076</v>
      </c>
      <c r="D293">
        <v>263.49</v>
      </c>
      <c r="E293">
        <v>269.43</v>
      </c>
      <c r="F293">
        <v>263.38099999999997</v>
      </c>
      <c r="G293">
        <v>266.18</v>
      </c>
      <c r="H293">
        <v>264.58</v>
      </c>
    </row>
    <row r="294" spans="1:8" x14ac:dyDescent="0.3">
      <c r="A294" t="s">
        <v>405</v>
      </c>
      <c r="B294" t="s">
        <v>21</v>
      </c>
      <c r="C294">
        <v>46077</v>
      </c>
      <c r="D294">
        <v>267.86</v>
      </c>
      <c r="E294">
        <v>274.89</v>
      </c>
      <c r="F294">
        <v>267.70999999999998</v>
      </c>
      <c r="G294">
        <v>272.14</v>
      </c>
      <c r="H294">
        <v>266.18</v>
      </c>
    </row>
    <row r="295" spans="1:8" x14ac:dyDescent="0.3">
      <c r="A295" t="s">
        <v>406</v>
      </c>
      <c r="B295" t="s">
        <v>27</v>
      </c>
      <c r="C295">
        <v>45650</v>
      </c>
      <c r="D295">
        <v>226.94</v>
      </c>
      <c r="E295">
        <v>229.14</v>
      </c>
      <c r="F295">
        <v>226.13</v>
      </c>
      <c r="G295">
        <v>229.05</v>
      </c>
      <c r="H295">
        <v>225.06</v>
      </c>
    </row>
    <row r="296" spans="1:8" x14ac:dyDescent="0.3">
      <c r="A296" t="s">
        <v>407</v>
      </c>
      <c r="B296" t="s">
        <v>27</v>
      </c>
      <c r="C296">
        <v>45652</v>
      </c>
      <c r="D296">
        <v>228.5</v>
      </c>
      <c r="E296">
        <v>228.5</v>
      </c>
      <c r="F296">
        <v>226.67060000000001</v>
      </c>
      <c r="G296">
        <v>227.05</v>
      </c>
      <c r="H296">
        <v>229.05</v>
      </c>
    </row>
    <row r="297" spans="1:8" x14ac:dyDescent="0.3">
      <c r="A297" t="s">
        <v>408</v>
      </c>
      <c r="B297" t="s">
        <v>27</v>
      </c>
      <c r="C297">
        <v>45653</v>
      </c>
      <c r="D297">
        <v>225.6</v>
      </c>
      <c r="E297">
        <v>226.03</v>
      </c>
      <c r="F297">
        <v>220.9</v>
      </c>
      <c r="G297">
        <v>223.75</v>
      </c>
      <c r="H297">
        <v>227.05</v>
      </c>
    </row>
    <row r="298" spans="1:8" x14ac:dyDescent="0.3">
      <c r="A298" t="s">
        <v>409</v>
      </c>
      <c r="B298" t="s">
        <v>27</v>
      </c>
      <c r="C298">
        <v>45656</v>
      </c>
      <c r="D298">
        <v>220.06</v>
      </c>
      <c r="E298">
        <v>222.99719999999999</v>
      </c>
      <c r="F298">
        <v>218.43</v>
      </c>
      <c r="G298">
        <v>221.3</v>
      </c>
      <c r="H298">
        <v>223.75</v>
      </c>
    </row>
    <row r="299" spans="1:8" x14ac:dyDescent="0.3">
      <c r="A299" t="s">
        <v>410</v>
      </c>
      <c r="B299" t="s">
        <v>27</v>
      </c>
      <c r="C299">
        <v>45657</v>
      </c>
      <c r="D299">
        <v>222.965</v>
      </c>
      <c r="E299">
        <v>223.22989999999999</v>
      </c>
      <c r="F299">
        <v>218.94</v>
      </c>
      <c r="G299">
        <v>219.39</v>
      </c>
      <c r="H299">
        <v>221.3</v>
      </c>
    </row>
    <row r="300" spans="1:8" x14ac:dyDescent="0.3">
      <c r="A300" t="s">
        <v>411</v>
      </c>
      <c r="B300" t="s">
        <v>27</v>
      </c>
      <c r="C300">
        <v>45659</v>
      </c>
      <c r="D300">
        <v>222.03</v>
      </c>
      <c r="E300">
        <v>225.15</v>
      </c>
      <c r="F300">
        <v>218.19</v>
      </c>
      <c r="G300">
        <v>220.22</v>
      </c>
      <c r="H300">
        <v>219.39</v>
      </c>
    </row>
    <row r="301" spans="1:8" x14ac:dyDescent="0.3">
      <c r="A301" t="s">
        <v>412</v>
      </c>
      <c r="B301" t="s">
        <v>27</v>
      </c>
      <c r="C301">
        <v>45660</v>
      </c>
      <c r="D301">
        <v>222.505</v>
      </c>
      <c r="E301">
        <v>225.36</v>
      </c>
      <c r="F301">
        <v>221.62</v>
      </c>
      <c r="G301">
        <v>224.19</v>
      </c>
      <c r="H301">
        <v>220.22</v>
      </c>
    </row>
    <row r="302" spans="1:8" x14ac:dyDescent="0.3">
      <c r="A302" t="s">
        <v>413</v>
      </c>
      <c r="B302" t="s">
        <v>27</v>
      </c>
      <c r="C302">
        <v>45663</v>
      </c>
      <c r="D302">
        <v>226.78</v>
      </c>
      <c r="E302">
        <v>228.83500000000001</v>
      </c>
      <c r="F302">
        <v>224.84</v>
      </c>
      <c r="G302">
        <v>227.61</v>
      </c>
      <c r="H302">
        <v>224.19</v>
      </c>
    </row>
    <row r="303" spans="1:8" x14ac:dyDescent="0.3">
      <c r="A303" t="s">
        <v>414</v>
      </c>
      <c r="B303" t="s">
        <v>27</v>
      </c>
      <c r="C303">
        <v>45664</v>
      </c>
      <c r="D303">
        <v>227.9</v>
      </c>
      <c r="E303">
        <v>228.381</v>
      </c>
      <c r="F303">
        <v>221.46</v>
      </c>
      <c r="G303">
        <v>222.11</v>
      </c>
      <c r="H303">
        <v>227.61</v>
      </c>
    </row>
    <row r="304" spans="1:8" x14ac:dyDescent="0.3">
      <c r="A304" t="s">
        <v>415</v>
      </c>
      <c r="B304" t="s">
        <v>27</v>
      </c>
      <c r="C304">
        <v>45665</v>
      </c>
      <c r="D304">
        <v>223.185</v>
      </c>
      <c r="E304">
        <v>223.52</v>
      </c>
      <c r="F304">
        <v>220.2</v>
      </c>
      <c r="G304">
        <v>222.13</v>
      </c>
      <c r="H304">
        <v>222.11</v>
      </c>
    </row>
    <row r="305" spans="1:8" x14ac:dyDescent="0.3">
      <c r="A305" t="s">
        <v>416</v>
      </c>
      <c r="B305" t="s">
        <v>27</v>
      </c>
      <c r="C305">
        <v>45667</v>
      </c>
      <c r="D305">
        <v>221.46</v>
      </c>
      <c r="E305">
        <v>221.71</v>
      </c>
      <c r="F305">
        <v>216.5</v>
      </c>
      <c r="G305">
        <v>218.94</v>
      </c>
      <c r="H305">
        <v>222.13</v>
      </c>
    </row>
    <row r="306" spans="1:8" x14ac:dyDescent="0.3">
      <c r="A306" t="s">
        <v>417</v>
      </c>
      <c r="B306" t="s">
        <v>27</v>
      </c>
      <c r="C306">
        <v>45670</v>
      </c>
      <c r="D306">
        <v>218.06</v>
      </c>
      <c r="E306">
        <v>219.4</v>
      </c>
      <c r="F306">
        <v>216.47</v>
      </c>
      <c r="G306">
        <v>218.46</v>
      </c>
      <c r="H306">
        <v>218.94</v>
      </c>
    </row>
    <row r="307" spans="1:8" x14ac:dyDescent="0.3">
      <c r="A307" t="s">
        <v>418</v>
      </c>
      <c r="B307" t="s">
        <v>27</v>
      </c>
      <c r="C307">
        <v>45671</v>
      </c>
      <c r="D307">
        <v>220.44</v>
      </c>
      <c r="E307">
        <v>221.82</v>
      </c>
      <c r="F307">
        <v>216.2</v>
      </c>
      <c r="G307">
        <v>217.76</v>
      </c>
      <c r="H307">
        <v>218.46</v>
      </c>
    </row>
    <row r="308" spans="1:8" x14ac:dyDescent="0.3">
      <c r="A308" t="s">
        <v>419</v>
      </c>
      <c r="B308" t="s">
        <v>27</v>
      </c>
      <c r="C308">
        <v>45672</v>
      </c>
      <c r="D308">
        <v>222.83</v>
      </c>
      <c r="E308">
        <v>223.57</v>
      </c>
      <c r="F308">
        <v>220.75</v>
      </c>
      <c r="G308">
        <v>223.35</v>
      </c>
      <c r="H308">
        <v>217.76</v>
      </c>
    </row>
    <row r="309" spans="1:8" x14ac:dyDescent="0.3">
      <c r="A309" t="s">
        <v>420</v>
      </c>
      <c r="B309" t="s">
        <v>27</v>
      </c>
      <c r="C309">
        <v>45673</v>
      </c>
      <c r="D309">
        <v>224.42</v>
      </c>
      <c r="E309">
        <v>224.65</v>
      </c>
      <c r="F309">
        <v>220.31</v>
      </c>
      <c r="G309">
        <v>220.66</v>
      </c>
      <c r="H309">
        <v>223.35</v>
      </c>
    </row>
    <row r="310" spans="1:8" x14ac:dyDescent="0.3">
      <c r="A310" t="s">
        <v>421</v>
      </c>
      <c r="B310" t="s">
        <v>27</v>
      </c>
      <c r="C310">
        <v>45674</v>
      </c>
      <c r="D310">
        <v>225.84</v>
      </c>
      <c r="E310">
        <v>226.51</v>
      </c>
      <c r="F310">
        <v>223.08</v>
      </c>
      <c r="G310">
        <v>225.94</v>
      </c>
      <c r="H310">
        <v>220.66</v>
      </c>
    </row>
    <row r="311" spans="1:8" x14ac:dyDescent="0.3">
      <c r="A311" t="s">
        <v>422</v>
      </c>
      <c r="B311" t="s">
        <v>27</v>
      </c>
      <c r="C311">
        <v>45678</v>
      </c>
      <c r="D311">
        <v>228.9</v>
      </c>
      <c r="E311">
        <v>231.78</v>
      </c>
      <c r="F311">
        <v>226.94</v>
      </c>
      <c r="G311">
        <v>230.71</v>
      </c>
      <c r="H311">
        <v>225.94</v>
      </c>
    </row>
    <row r="312" spans="1:8" x14ac:dyDescent="0.3">
      <c r="A312" t="s">
        <v>423</v>
      </c>
      <c r="B312" t="s">
        <v>27</v>
      </c>
      <c r="C312">
        <v>45679</v>
      </c>
      <c r="D312">
        <v>232.02</v>
      </c>
      <c r="E312">
        <v>235.44</v>
      </c>
      <c r="F312">
        <v>231.19</v>
      </c>
      <c r="G312">
        <v>235.01</v>
      </c>
      <c r="H312">
        <v>230.71</v>
      </c>
    </row>
    <row r="313" spans="1:8" x14ac:dyDescent="0.3">
      <c r="A313" t="s">
        <v>424</v>
      </c>
      <c r="B313" t="s">
        <v>27</v>
      </c>
      <c r="C313">
        <v>45680</v>
      </c>
      <c r="D313">
        <v>234.1</v>
      </c>
      <c r="E313">
        <v>235.52</v>
      </c>
      <c r="F313">
        <v>231.51</v>
      </c>
      <c r="G313">
        <v>235.42</v>
      </c>
      <c r="H313">
        <v>235.01</v>
      </c>
    </row>
    <row r="314" spans="1:8" x14ac:dyDescent="0.3">
      <c r="A314" t="s">
        <v>425</v>
      </c>
      <c r="B314" t="s">
        <v>27</v>
      </c>
      <c r="C314">
        <v>45681</v>
      </c>
      <c r="D314">
        <v>234.5</v>
      </c>
      <c r="E314">
        <v>236.4</v>
      </c>
      <c r="F314">
        <v>232.93</v>
      </c>
      <c r="G314">
        <v>234.85</v>
      </c>
      <c r="H314">
        <v>235.42</v>
      </c>
    </row>
    <row r="315" spans="1:8" x14ac:dyDescent="0.3">
      <c r="A315" t="s">
        <v>426</v>
      </c>
      <c r="B315" t="s">
        <v>27</v>
      </c>
      <c r="C315">
        <v>45684</v>
      </c>
      <c r="D315">
        <v>226.21</v>
      </c>
      <c r="E315">
        <v>235.61</v>
      </c>
      <c r="F315">
        <v>225.86</v>
      </c>
      <c r="G315">
        <v>235.42</v>
      </c>
      <c r="H315">
        <v>234.85</v>
      </c>
    </row>
    <row r="316" spans="1:8" x14ac:dyDescent="0.3">
      <c r="A316" t="s">
        <v>427</v>
      </c>
      <c r="B316" t="s">
        <v>27</v>
      </c>
      <c r="C316">
        <v>45685</v>
      </c>
      <c r="D316">
        <v>234.29</v>
      </c>
      <c r="E316">
        <v>241.77</v>
      </c>
      <c r="F316">
        <v>233.98</v>
      </c>
      <c r="G316">
        <v>238.15</v>
      </c>
      <c r="H316">
        <v>235.42</v>
      </c>
    </row>
    <row r="317" spans="1:8" x14ac:dyDescent="0.3">
      <c r="A317" t="s">
        <v>428</v>
      </c>
      <c r="B317" t="s">
        <v>27</v>
      </c>
      <c r="C317">
        <v>45686</v>
      </c>
      <c r="D317">
        <v>239.01499999999999</v>
      </c>
      <c r="E317">
        <v>240.39</v>
      </c>
      <c r="F317">
        <v>236.15</v>
      </c>
      <c r="G317">
        <v>237.07</v>
      </c>
      <c r="H317">
        <v>238.15</v>
      </c>
    </row>
    <row r="318" spans="1:8" x14ac:dyDescent="0.3">
      <c r="A318" t="s">
        <v>429</v>
      </c>
      <c r="B318" t="s">
        <v>27</v>
      </c>
      <c r="C318">
        <v>45687</v>
      </c>
      <c r="D318">
        <v>237.14</v>
      </c>
      <c r="E318">
        <v>237.95</v>
      </c>
      <c r="F318">
        <v>232.22</v>
      </c>
      <c r="G318">
        <v>234.64</v>
      </c>
      <c r="H318">
        <v>237.07</v>
      </c>
    </row>
    <row r="319" spans="1:8" x14ac:dyDescent="0.3">
      <c r="A319" t="s">
        <v>430</v>
      </c>
      <c r="B319" t="s">
        <v>27</v>
      </c>
      <c r="C319">
        <v>45688</v>
      </c>
      <c r="D319">
        <v>236.5</v>
      </c>
      <c r="E319">
        <v>240.29</v>
      </c>
      <c r="F319">
        <v>236.41</v>
      </c>
      <c r="G319">
        <v>237.68</v>
      </c>
      <c r="H319">
        <v>234.64</v>
      </c>
    </row>
    <row r="320" spans="1:8" x14ac:dyDescent="0.3">
      <c r="A320" t="s">
        <v>431</v>
      </c>
      <c r="B320" t="s">
        <v>27</v>
      </c>
      <c r="C320">
        <v>45691</v>
      </c>
      <c r="D320">
        <v>234.06</v>
      </c>
      <c r="E320">
        <v>239.25</v>
      </c>
      <c r="F320">
        <v>232.9</v>
      </c>
      <c r="G320">
        <v>237.42</v>
      </c>
      <c r="H320">
        <v>237.68</v>
      </c>
    </row>
    <row r="321" spans="1:8" x14ac:dyDescent="0.3">
      <c r="A321" t="s">
        <v>432</v>
      </c>
      <c r="B321" t="s">
        <v>27</v>
      </c>
      <c r="C321">
        <v>45692</v>
      </c>
      <c r="D321">
        <v>239.01</v>
      </c>
      <c r="E321">
        <v>242.52</v>
      </c>
      <c r="F321">
        <v>238.03</v>
      </c>
      <c r="G321">
        <v>242.06</v>
      </c>
      <c r="H321">
        <v>237.42</v>
      </c>
    </row>
    <row r="322" spans="1:8" x14ac:dyDescent="0.3">
      <c r="A322" t="s">
        <v>433</v>
      </c>
      <c r="B322" t="s">
        <v>27</v>
      </c>
      <c r="C322">
        <v>45693</v>
      </c>
      <c r="D322">
        <v>237.02</v>
      </c>
      <c r="E322">
        <v>238.32</v>
      </c>
      <c r="F322">
        <v>235.2</v>
      </c>
      <c r="G322">
        <v>236.17</v>
      </c>
      <c r="H322">
        <v>242.06</v>
      </c>
    </row>
    <row r="323" spans="1:8" x14ac:dyDescent="0.3">
      <c r="A323" t="s">
        <v>434</v>
      </c>
      <c r="B323" t="s">
        <v>27</v>
      </c>
      <c r="C323">
        <v>45694</v>
      </c>
      <c r="D323">
        <v>238.01</v>
      </c>
      <c r="E323">
        <v>239.65989999999999</v>
      </c>
      <c r="F323">
        <v>236.01</v>
      </c>
      <c r="G323">
        <v>238.83</v>
      </c>
      <c r="H323">
        <v>236.17</v>
      </c>
    </row>
    <row r="324" spans="1:8" x14ac:dyDescent="0.3">
      <c r="A324" t="s">
        <v>435</v>
      </c>
      <c r="B324" t="s">
        <v>27</v>
      </c>
      <c r="C324">
        <v>45695</v>
      </c>
      <c r="D324">
        <v>232.5</v>
      </c>
      <c r="E324">
        <v>234.81</v>
      </c>
      <c r="F324">
        <v>228.06</v>
      </c>
      <c r="G324">
        <v>229.15</v>
      </c>
      <c r="H324">
        <v>238.83</v>
      </c>
    </row>
    <row r="325" spans="1:8" x14ac:dyDescent="0.3">
      <c r="A325" t="s">
        <v>436</v>
      </c>
      <c r="B325" t="s">
        <v>27</v>
      </c>
      <c r="C325">
        <v>45698</v>
      </c>
      <c r="D325">
        <v>230.54499999999999</v>
      </c>
      <c r="E325">
        <v>233.92</v>
      </c>
      <c r="F325">
        <v>229.2</v>
      </c>
      <c r="G325">
        <v>233.14</v>
      </c>
      <c r="H325">
        <v>229.15</v>
      </c>
    </row>
    <row r="326" spans="1:8" x14ac:dyDescent="0.3">
      <c r="A326" t="s">
        <v>437</v>
      </c>
      <c r="B326" t="s">
        <v>27</v>
      </c>
      <c r="C326">
        <v>45699</v>
      </c>
      <c r="D326">
        <v>231.92</v>
      </c>
      <c r="E326">
        <v>233.44</v>
      </c>
      <c r="F326">
        <v>230.13</v>
      </c>
      <c r="G326">
        <v>232.76</v>
      </c>
      <c r="H326">
        <v>233.14</v>
      </c>
    </row>
    <row r="327" spans="1:8" x14ac:dyDescent="0.3">
      <c r="A327" t="s">
        <v>438</v>
      </c>
      <c r="B327" t="s">
        <v>27</v>
      </c>
      <c r="C327">
        <v>45700</v>
      </c>
      <c r="D327">
        <v>230.46</v>
      </c>
      <c r="E327">
        <v>231.18</v>
      </c>
      <c r="F327">
        <v>228.16</v>
      </c>
      <c r="G327">
        <v>228.93</v>
      </c>
      <c r="H327">
        <v>232.76</v>
      </c>
    </row>
    <row r="328" spans="1:8" x14ac:dyDescent="0.3">
      <c r="A328" t="s">
        <v>439</v>
      </c>
      <c r="B328" t="s">
        <v>27</v>
      </c>
      <c r="C328">
        <v>45701</v>
      </c>
      <c r="D328">
        <v>228.85</v>
      </c>
      <c r="E328">
        <v>230.42</v>
      </c>
      <c r="F328">
        <v>227.52</v>
      </c>
      <c r="G328">
        <v>230.37</v>
      </c>
      <c r="H328">
        <v>228.93</v>
      </c>
    </row>
    <row r="329" spans="1:8" x14ac:dyDescent="0.3">
      <c r="A329" t="s">
        <v>440</v>
      </c>
      <c r="B329" t="s">
        <v>27</v>
      </c>
      <c r="C329">
        <v>45702</v>
      </c>
      <c r="D329">
        <v>229.2</v>
      </c>
      <c r="E329">
        <v>229.89</v>
      </c>
      <c r="F329">
        <v>227.23</v>
      </c>
      <c r="G329">
        <v>228.68</v>
      </c>
      <c r="H329">
        <v>230.37</v>
      </c>
    </row>
    <row r="330" spans="1:8" x14ac:dyDescent="0.3">
      <c r="A330" t="s">
        <v>441</v>
      </c>
      <c r="B330" t="s">
        <v>27</v>
      </c>
      <c r="C330">
        <v>45706</v>
      </c>
      <c r="D330">
        <v>228.82</v>
      </c>
      <c r="E330">
        <v>229.3</v>
      </c>
      <c r="F330">
        <v>223.72</v>
      </c>
      <c r="G330">
        <v>226.65</v>
      </c>
      <c r="H330">
        <v>228.68</v>
      </c>
    </row>
    <row r="331" spans="1:8" x14ac:dyDescent="0.3">
      <c r="A331" t="s">
        <v>442</v>
      </c>
      <c r="B331" t="s">
        <v>27</v>
      </c>
      <c r="C331">
        <v>45707</v>
      </c>
      <c r="D331">
        <v>225.52</v>
      </c>
      <c r="E331">
        <v>226.83</v>
      </c>
      <c r="F331">
        <v>223.71</v>
      </c>
      <c r="G331">
        <v>226.63</v>
      </c>
      <c r="H331">
        <v>226.65</v>
      </c>
    </row>
    <row r="332" spans="1:8" x14ac:dyDescent="0.3">
      <c r="A332" t="s">
        <v>443</v>
      </c>
      <c r="B332" t="s">
        <v>27</v>
      </c>
      <c r="C332">
        <v>45708</v>
      </c>
      <c r="D332">
        <v>224.77500000000001</v>
      </c>
      <c r="E332">
        <v>225.13</v>
      </c>
      <c r="F332">
        <v>221.81</v>
      </c>
      <c r="G332">
        <v>222.88</v>
      </c>
      <c r="H332">
        <v>226.63</v>
      </c>
    </row>
    <row r="333" spans="1:8" x14ac:dyDescent="0.3">
      <c r="A333" t="s">
        <v>444</v>
      </c>
      <c r="B333" t="s">
        <v>27</v>
      </c>
      <c r="C333">
        <v>45709</v>
      </c>
      <c r="D333">
        <v>223.28</v>
      </c>
      <c r="E333">
        <v>223.31</v>
      </c>
      <c r="F333">
        <v>214.74</v>
      </c>
      <c r="G333">
        <v>216.58</v>
      </c>
      <c r="H333">
        <v>222.88</v>
      </c>
    </row>
    <row r="334" spans="1:8" x14ac:dyDescent="0.3">
      <c r="A334" t="s">
        <v>445</v>
      </c>
      <c r="B334" t="s">
        <v>27</v>
      </c>
      <c r="C334">
        <v>45712</v>
      </c>
      <c r="D334">
        <v>217.45</v>
      </c>
      <c r="E334">
        <v>217.715</v>
      </c>
      <c r="F334">
        <v>212.42</v>
      </c>
      <c r="G334">
        <v>212.71</v>
      </c>
      <c r="H334">
        <v>216.58</v>
      </c>
    </row>
    <row r="335" spans="1:8" x14ac:dyDescent="0.3">
      <c r="A335" t="s">
        <v>446</v>
      </c>
      <c r="B335" t="s">
        <v>27</v>
      </c>
      <c r="C335">
        <v>45713</v>
      </c>
      <c r="D335">
        <v>211.63</v>
      </c>
      <c r="E335">
        <v>213.34</v>
      </c>
      <c r="F335">
        <v>204.16</v>
      </c>
      <c r="G335">
        <v>212.8</v>
      </c>
      <c r="H335">
        <v>212.71</v>
      </c>
    </row>
    <row r="336" spans="1:8" x14ac:dyDescent="0.3">
      <c r="A336" t="s">
        <v>447</v>
      </c>
      <c r="B336" t="s">
        <v>27</v>
      </c>
      <c r="C336">
        <v>45714</v>
      </c>
      <c r="D336">
        <v>214.94</v>
      </c>
      <c r="E336">
        <v>218.16</v>
      </c>
      <c r="F336">
        <v>213.09</v>
      </c>
      <c r="G336">
        <v>214.35</v>
      </c>
      <c r="H336">
        <v>212.8</v>
      </c>
    </row>
    <row r="337" spans="1:8" x14ac:dyDescent="0.3">
      <c r="A337" t="s">
        <v>448</v>
      </c>
      <c r="B337" t="s">
        <v>27</v>
      </c>
      <c r="C337">
        <v>45715</v>
      </c>
      <c r="D337">
        <v>218.35</v>
      </c>
      <c r="E337">
        <v>219.97</v>
      </c>
      <c r="F337">
        <v>208.37</v>
      </c>
      <c r="G337">
        <v>208.74</v>
      </c>
      <c r="H337">
        <v>214.35</v>
      </c>
    </row>
    <row r="338" spans="1:8" x14ac:dyDescent="0.3">
      <c r="A338" t="s">
        <v>449</v>
      </c>
      <c r="B338" t="s">
        <v>27</v>
      </c>
      <c r="C338">
        <v>45716</v>
      </c>
      <c r="D338">
        <v>208.65</v>
      </c>
      <c r="E338">
        <v>212.62</v>
      </c>
      <c r="F338">
        <v>206.99</v>
      </c>
      <c r="G338">
        <v>212.28</v>
      </c>
      <c r="H338">
        <v>208.74</v>
      </c>
    </row>
    <row r="339" spans="1:8" x14ac:dyDescent="0.3">
      <c r="A339" t="s">
        <v>450</v>
      </c>
      <c r="B339" t="s">
        <v>27</v>
      </c>
      <c r="C339">
        <v>45719</v>
      </c>
      <c r="D339">
        <v>213.352</v>
      </c>
      <c r="E339">
        <v>214.01</v>
      </c>
      <c r="F339">
        <v>202.55</v>
      </c>
      <c r="G339">
        <v>205.02</v>
      </c>
      <c r="H339">
        <v>212.28</v>
      </c>
    </row>
    <row r="340" spans="1:8" x14ac:dyDescent="0.3">
      <c r="A340" t="s">
        <v>451</v>
      </c>
      <c r="B340" t="s">
        <v>27</v>
      </c>
      <c r="C340">
        <v>45720</v>
      </c>
      <c r="D340">
        <v>200.11</v>
      </c>
      <c r="E340">
        <v>206.8</v>
      </c>
      <c r="F340">
        <v>197.43199999999999</v>
      </c>
      <c r="G340">
        <v>203.8</v>
      </c>
      <c r="H340">
        <v>205.02</v>
      </c>
    </row>
    <row r="341" spans="1:8" x14ac:dyDescent="0.3">
      <c r="A341" t="s">
        <v>452</v>
      </c>
      <c r="B341" t="s">
        <v>27</v>
      </c>
      <c r="C341">
        <v>45721</v>
      </c>
      <c r="D341">
        <v>204.8</v>
      </c>
      <c r="E341">
        <v>209.98</v>
      </c>
      <c r="F341">
        <v>203.26</v>
      </c>
      <c r="G341">
        <v>208.36</v>
      </c>
      <c r="H341">
        <v>203.8</v>
      </c>
    </row>
    <row r="342" spans="1:8" x14ac:dyDescent="0.3">
      <c r="A342" t="s">
        <v>453</v>
      </c>
      <c r="B342" t="s">
        <v>27</v>
      </c>
      <c r="C342">
        <v>45722</v>
      </c>
      <c r="D342">
        <v>204.4</v>
      </c>
      <c r="E342">
        <v>205.77</v>
      </c>
      <c r="F342">
        <v>198.3015</v>
      </c>
      <c r="G342">
        <v>200.7</v>
      </c>
      <c r="H342">
        <v>208.36</v>
      </c>
    </row>
    <row r="343" spans="1:8" x14ac:dyDescent="0.3">
      <c r="A343" t="s">
        <v>454</v>
      </c>
      <c r="B343" t="s">
        <v>27</v>
      </c>
      <c r="C343">
        <v>45723</v>
      </c>
      <c r="D343">
        <v>199.49</v>
      </c>
      <c r="E343">
        <v>202.2653</v>
      </c>
      <c r="F343">
        <v>192.53</v>
      </c>
      <c r="G343">
        <v>199.25</v>
      </c>
      <c r="H343">
        <v>200.7</v>
      </c>
    </row>
    <row r="344" spans="1:8" x14ac:dyDescent="0.3">
      <c r="A344" t="s">
        <v>455</v>
      </c>
      <c r="B344" t="s">
        <v>27</v>
      </c>
      <c r="C344">
        <v>45726</v>
      </c>
      <c r="D344">
        <v>195.6</v>
      </c>
      <c r="E344">
        <v>196.73</v>
      </c>
      <c r="F344">
        <v>190.85</v>
      </c>
      <c r="G344">
        <v>194.54</v>
      </c>
      <c r="H344">
        <v>199.25</v>
      </c>
    </row>
    <row r="345" spans="1:8" x14ac:dyDescent="0.3">
      <c r="A345" t="s">
        <v>456</v>
      </c>
      <c r="B345" t="s">
        <v>27</v>
      </c>
      <c r="C345">
        <v>45727</v>
      </c>
      <c r="D345">
        <v>193.9</v>
      </c>
      <c r="E345">
        <v>200.18</v>
      </c>
      <c r="F345">
        <v>193.4</v>
      </c>
      <c r="G345">
        <v>196.59</v>
      </c>
      <c r="H345">
        <v>194.54</v>
      </c>
    </row>
    <row r="346" spans="1:8" x14ac:dyDescent="0.3">
      <c r="A346" t="s">
        <v>457</v>
      </c>
      <c r="B346" t="s">
        <v>27</v>
      </c>
      <c r="C346">
        <v>45728</v>
      </c>
      <c r="D346">
        <v>200.72</v>
      </c>
      <c r="E346">
        <v>201.52</v>
      </c>
      <c r="F346">
        <v>195.29</v>
      </c>
      <c r="G346">
        <v>198.89</v>
      </c>
      <c r="H346">
        <v>196.59</v>
      </c>
    </row>
    <row r="347" spans="1:8" x14ac:dyDescent="0.3">
      <c r="A347" t="s">
        <v>458</v>
      </c>
      <c r="B347" t="s">
        <v>27</v>
      </c>
      <c r="C347">
        <v>45729</v>
      </c>
      <c r="D347">
        <v>198.16499999999999</v>
      </c>
      <c r="E347">
        <v>198.87989999999999</v>
      </c>
      <c r="F347">
        <v>191.82</v>
      </c>
      <c r="G347">
        <v>193.89</v>
      </c>
      <c r="H347">
        <v>198.89</v>
      </c>
    </row>
    <row r="348" spans="1:8" x14ac:dyDescent="0.3">
      <c r="A348" t="s">
        <v>459</v>
      </c>
      <c r="B348" t="s">
        <v>27</v>
      </c>
      <c r="C348">
        <v>45730</v>
      </c>
      <c r="D348">
        <v>197.41</v>
      </c>
      <c r="E348">
        <v>198.65</v>
      </c>
      <c r="F348">
        <v>195.32</v>
      </c>
      <c r="G348">
        <v>197.95</v>
      </c>
      <c r="H348">
        <v>193.89</v>
      </c>
    </row>
    <row r="349" spans="1:8" x14ac:dyDescent="0.3">
      <c r="A349" t="s">
        <v>460</v>
      </c>
      <c r="B349" t="s">
        <v>27</v>
      </c>
      <c r="C349">
        <v>45733</v>
      </c>
      <c r="D349">
        <v>198.77</v>
      </c>
      <c r="E349">
        <v>199</v>
      </c>
      <c r="F349">
        <v>194.32470000000001</v>
      </c>
      <c r="G349">
        <v>195.74</v>
      </c>
      <c r="H349">
        <v>197.95</v>
      </c>
    </row>
    <row r="350" spans="1:8" x14ac:dyDescent="0.3">
      <c r="A350" t="s">
        <v>461</v>
      </c>
      <c r="B350" t="s">
        <v>27</v>
      </c>
      <c r="C350">
        <v>45734</v>
      </c>
      <c r="D350">
        <v>192.52</v>
      </c>
      <c r="E350">
        <v>194</v>
      </c>
      <c r="F350">
        <v>189.38</v>
      </c>
      <c r="G350">
        <v>192.82</v>
      </c>
      <c r="H350">
        <v>195.74</v>
      </c>
    </row>
    <row r="351" spans="1:8" x14ac:dyDescent="0.3">
      <c r="A351" t="s">
        <v>462</v>
      </c>
      <c r="B351" t="s">
        <v>27</v>
      </c>
      <c r="C351">
        <v>45735</v>
      </c>
      <c r="D351">
        <v>193.38</v>
      </c>
      <c r="E351">
        <v>195.965</v>
      </c>
      <c r="F351">
        <v>191.96</v>
      </c>
      <c r="G351">
        <v>195.54</v>
      </c>
      <c r="H351">
        <v>192.82</v>
      </c>
    </row>
    <row r="352" spans="1:8" x14ac:dyDescent="0.3">
      <c r="A352" t="s">
        <v>463</v>
      </c>
      <c r="B352" t="s">
        <v>27</v>
      </c>
      <c r="C352">
        <v>45736</v>
      </c>
      <c r="D352">
        <v>193.07</v>
      </c>
      <c r="E352">
        <v>199.32</v>
      </c>
      <c r="F352">
        <v>192.3</v>
      </c>
      <c r="G352">
        <v>194.95</v>
      </c>
      <c r="H352">
        <v>195.54</v>
      </c>
    </row>
    <row r="353" spans="1:8" x14ac:dyDescent="0.3">
      <c r="A353" t="s">
        <v>464</v>
      </c>
      <c r="B353" t="s">
        <v>27</v>
      </c>
      <c r="C353">
        <v>45737</v>
      </c>
      <c r="D353">
        <v>192.9</v>
      </c>
      <c r="E353">
        <v>196.99</v>
      </c>
      <c r="F353">
        <v>192.52</v>
      </c>
      <c r="G353">
        <v>196.21</v>
      </c>
      <c r="H353">
        <v>194.95</v>
      </c>
    </row>
    <row r="354" spans="1:8" x14ac:dyDescent="0.3">
      <c r="A354" t="s">
        <v>465</v>
      </c>
      <c r="B354" t="s">
        <v>27</v>
      </c>
      <c r="C354">
        <v>45740</v>
      </c>
      <c r="D354">
        <v>200</v>
      </c>
      <c r="E354">
        <v>203.64</v>
      </c>
      <c r="F354">
        <v>199.95</v>
      </c>
      <c r="G354">
        <v>203.26</v>
      </c>
      <c r="H354">
        <v>196.21</v>
      </c>
    </row>
    <row r="355" spans="1:8" x14ac:dyDescent="0.3">
      <c r="A355" t="s">
        <v>466</v>
      </c>
      <c r="B355" t="s">
        <v>27</v>
      </c>
      <c r="C355">
        <v>45741</v>
      </c>
      <c r="D355">
        <v>203.595</v>
      </c>
      <c r="E355">
        <v>206.21</v>
      </c>
      <c r="F355">
        <v>203.22</v>
      </c>
      <c r="G355">
        <v>205.71</v>
      </c>
      <c r="H355">
        <v>203.26</v>
      </c>
    </row>
    <row r="356" spans="1:8" x14ac:dyDescent="0.3">
      <c r="A356" t="s">
        <v>467</v>
      </c>
      <c r="B356" t="s">
        <v>27</v>
      </c>
      <c r="C356">
        <v>45742</v>
      </c>
      <c r="D356">
        <v>205.83500000000001</v>
      </c>
      <c r="E356">
        <v>206.01</v>
      </c>
      <c r="F356">
        <v>199.92500000000001</v>
      </c>
      <c r="G356">
        <v>201.13</v>
      </c>
      <c r="H356">
        <v>205.71</v>
      </c>
    </row>
    <row r="357" spans="1:8" x14ac:dyDescent="0.3">
      <c r="A357" t="s">
        <v>468</v>
      </c>
      <c r="B357" t="s">
        <v>27</v>
      </c>
      <c r="C357">
        <v>45743</v>
      </c>
      <c r="D357">
        <v>200.89</v>
      </c>
      <c r="E357">
        <v>203.79</v>
      </c>
      <c r="F357">
        <v>199.28210000000001</v>
      </c>
      <c r="G357">
        <v>201.36</v>
      </c>
      <c r="H357">
        <v>201.13</v>
      </c>
    </row>
    <row r="358" spans="1:8" x14ac:dyDescent="0.3">
      <c r="A358" t="s">
        <v>469</v>
      </c>
      <c r="B358" t="s">
        <v>27</v>
      </c>
      <c r="C358">
        <v>45744</v>
      </c>
      <c r="D358">
        <v>198.42</v>
      </c>
      <c r="E358">
        <v>199.26</v>
      </c>
      <c r="F358">
        <v>191.881</v>
      </c>
      <c r="G358">
        <v>192.72</v>
      </c>
      <c r="H358">
        <v>201.36</v>
      </c>
    </row>
    <row r="359" spans="1:8" x14ac:dyDescent="0.3">
      <c r="A359" t="s">
        <v>106</v>
      </c>
      <c r="B359" t="s">
        <v>27</v>
      </c>
      <c r="C359">
        <v>45747</v>
      </c>
      <c r="D359">
        <v>188.19</v>
      </c>
      <c r="E359">
        <v>191.33</v>
      </c>
      <c r="F359">
        <v>184.4</v>
      </c>
      <c r="G359">
        <v>190.26</v>
      </c>
      <c r="H359">
        <v>192.72</v>
      </c>
    </row>
    <row r="360" spans="1:8" x14ac:dyDescent="0.3">
      <c r="A360" t="s">
        <v>470</v>
      </c>
      <c r="B360" t="s">
        <v>27</v>
      </c>
      <c r="C360">
        <v>45748</v>
      </c>
      <c r="D360">
        <v>187.86</v>
      </c>
      <c r="E360">
        <v>193.93</v>
      </c>
      <c r="F360">
        <v>187.2</v>
      </c>
      <c r="G360">
        <v>192.17</v>
      </c>
      <c r="H360">
        <v>190.26</v>
      </c>
    </row>
    <row r="361" spans="1:8" x14ac:dyDescent="0.3">
      <c r="A361" t="s">
        <v>471</v>
      </c>
      <c r="B361" t="s">
        <v>27</v>
      </c>
      <c r="C361">
        <v>45749</v>
      </c>
      <c r="D361">
        <v>187.66</v>
      </c>
      <c r="E361">
        <v>198.34</v>
      </c>
      <c r="F361">
        <v>187.66</v>
      </c>
      <c r="G361">
        <v>196.01</v>
      </c>
      <c r="H361">
        <v>192.17</v>
      </c>
    </row>
    <row r="362" spans="1:8" x14ac:dyDescent="0.3">
      <c r="A362" t="s">
        <v>472</v>
      </c>
      <c r="B362" t="s">
        <v>27</v>
      </c>
      <c r="C362">
        <v>45750</v>
      </c>
      <c r="D362">
        <v>182.995</v>
      </c>
      <c r="E362">
        <v>184.13</v>
      </c>
      <c r="F362">
        <v>176.92</v>
      </c>
      <c r="G362">
        <v>178.41</v>
      </c>
      <c r="H362">
        <v>196.01</v>
      </c>
    </row>
    <row r="363" spans="1:8" x14ac:dyDescent="0.3">
      <c r="A363" t="s">
        <v>473</v>
      </c>
      <c r="B363" t="s">
        <v>27</v>
      </c>
      <c r="C363">
        <v>45751</v>
      </c>
      <c r="D363">
        <v>167.14500000000001</v>
      </c>
      <c r="E363">
        <v>178.14359999999999</v>
      </c>
      <c r="F363">
        <v>166</v>
      </c>
      <c r="G363">
        <v>171</v>
      </c>
      <c r="H363">
        <v>178.41</v>
      </c>
    </row>
    <row r="364" spans="1:8" x14ac:dyDescent="0.3">
      <c r="A364" t="s">
        <v>474</v>
      </c>
      <c r="B364" t="s">
        <v>27</v>
      </c>
      <c r="C364">
        <v>45754</v>
      </c>
      <c r="D364">
        <v>162</v>
      </c>
      <c r="E364">
        <v>183.40989999999999</v>
      </c>
      <c r="F364">
        <v>161.38</v>
      </c>
      <c r="G364">
        <v>175.26</v>
      </c>
      <c r="H364">
        <v>171</v>
      </c>
    </row>
    <row r="365" spans="1:8" x14ac:dyDescent="0.3">
      <c r="A365" t="s">
        <v>475</v>
      </c>
      <c r="B365" t="s">
        <v>27</v>
      </c>
      <c r="C365">
        <v>45755</v>
      </c>
      <c r="D365">
        <v>185.23</v>
      </c>
      <c r="E365">
        <v>185.9</v>
      </c>
      <c r="F365">
        <v>168.57</v>
      </c>
      <c r="G365">
        <v>170.66</v>
      </c>
      <c r="H365">
        <v>175.26</v>
      </c>
    </row>
    <row r="366" spans="1:8" x14ac:dyDescent="0.3">
      <c r="A366" t="s">
        <v>476</v>
      </c>
      <c r="B366" t="s">
        <v>27</v>
      </c>
      <c r="C366">
        <v>45756</v>
      </c>
      <c r="D366">
        <v>172.11500000000001</v>
      </c>
      <c r="E366">
        <v>192.65</v>
      </c>
      <c r="F366">
        <v>169.93</v>
      </c>
      <c r="G366">
        <v>191.1</v>
      </c>
      <c r="H366">
        <v>170.66</v>
      </c>
    </row>
    <row r="367" spans="1:8" x14ac:dyDescent="0.3">
      <c r="A367" t="s">
        <v>477</v>
      </c>
      <c r="B367" t="s">
        <v>27</v>
      </c>
      <c r="C367">
        <v>45757</v>
      </c>
      <c r="D367">
        <v>185.44</v>
      </c>
      <c r="E367">
        <v>186.86920000000001</v>
      </c>
      <c r="F367">
        <v>175.8518</v>
      </c>
      <c r="G367">
        <v>181.22</v>
      </c>
      <c r="H367">
        <v>191.1</v>
      </c>
    </row>
    <row r="368" spans="1:8" x14ac:dyDescent="0.3">
      <c r="A368" t="s">
        <v>478</v>
      </c>
      <c r="B368" t="s">
        <v>27</v>
      </c>
      <c r="C368">
        <v>45758</v>
      </c>
      <c r="D368">
        <v>179.93</v>
      </c>
      <c r="E368">
        <v>185.86</v>
      </c>
      <c r="F368">
        <v>178</v>
      </c>
      <c r="G368">
        <v>184.87</v>
      </c>
      <c r="H368">
        <v>181.22</v>
      </c>
    </row>
    <row r="369" spans="1:8" x14ac:dyDescent="0.3">
      <c r="A369" t="s">
        <v>479</v>
      </c>
      <c r="B369" t="s">
        <v>27</v>
      </c>
      <c r="C369">
        <v>45761</v>
      </c>
      <c r="D369">
        <v>186.84</v>
      </c>
      <c r="E369">
        <v>187.44</v>
      </c>
      <c r="F369">
        <v>179.23</v>
      </c>
      <c r="G369">
        <v>182.12</v>
      </c>
      <c r="H369">
        <v>184.87</v>
      </c>
    </row>
    <row r="370" spans="1:8" x14ac:dyDescent="0.3">
      <c r="A370" t="s">
        <v>480</v>
      </c>
      <c r="B370" t="s">
        <v>27</v>
      </c>
      <c r="C370">
        <v>45762</v>
      </c>
      <c r="D370">
        <v>181.41</v>
      </c>
      <c r="E370">
        <v>182.35</v>
      </c>
      <c r="F370">
        <v>177.9331</v>
      </c>
      <c r="G370">
        <v>179.59</v>
      </c>
      <c r="H370">
        <v>182.12</v>
      </c>
    </row>
    <row r="371" spans="1:8" x14ac:dyDescent="0.3">
      <c r="A371" t="s">
        <v>481</v>
      </c>
      <c r="B371" t="s">
        <v>27</v>
      </c>
      <c r="C371">
        <v>45763</v>
      </c>
      <c r="D371">
        <v>176.29</v>
      </c>
      <c r="E371">
        <v>179.1046</v>
      </c>
      <c r="F371">
        <v>171.41</v>
      </c>
      <c r="G371">
        <v>174.33</v>
      </c>
      <c r="H371">
        <v>179.59</v>
      </c>
    </row>
    <row r="372" spans="1:8" x14ac:dyDescent="0.3">
      <c r="A372" t="s">
        <v>482</v>
      </c>
      <c r="B372" t="s">
        <v>27</v>
      </c>
      <c r="C372">
        <v>45764</v>
      </c>
      <c r="D372">
        <v>176</v>
      </c>
      <c r="E372">
        <v>176.21</v>
      </c>
      <c r="F372">
        <v>172</v>
      </c>
      <c r="G372">
        <v>172.61</v>
      </c>
      <c r="H372">
        <v>174.33</v>
      </c>
    </row>
    <row r="373" spans="1:8" x14ac:dyDescent="0.3">
      <c r="A373" t="s">
        <v>483</v>
      </c>
      <c r="B373" t="s">
        <v>27</v>
      </c>
      <c r="C373">
        <v>45768</v>
      </c>
      <c r="D373">
        <v>169.6</v>
      </c>
      <c r="E373">
        <v>169.6</v>
      </c>
      <c r="F373">
        <v>165.285</v>
      </c>
      <c r="G373">
        <v>167.32</v>
      </c>
      <c r="H373">
        <v>172.61</v>
      </c>
    </row>
    <row r="374" spans="1:8" x14ac:dyDescent="0.3">
      <c r="A374" t="s">
        <v>484</v>
      </c>
      <c r="B374" t="s">
        <v>27</v>
      </c>
      <c r="C374">
        <v>45769</v>
      </c>
      <c r="D374">
        <v>169.845</v>
      </c>
      <c r="E374">
        <v>176.78</v>
      </c>
      <c r="F374">
        <v>169.35</v>
      </c>
      <c r="G374">
        <v>173.18</v>
      </c>
      <c r="H374">
        <v>167.32</v>
      </c>
    </row>
    <row r="375" spans="1:8" x14ac:dyDescent="0.3">
      <c r="A375" t="s">
        <v>485</v>
      </c>
      <c r="B375" t="s">
        <v>27</v>
      </c>
      <c r="C375">
        <v>45770</v>
      </c>
      <c r="D375">
        <v>183.45</v>
      </c>
      <c r="E375">
        <v>187.38</v>
      </c>
      <c r="F375">
        <v>180.19</v>
      </c>
      <c r="G375">
        <v>180.6</v>
      </c>
      <c r="H375">
        <v>173.18</v>
      </c>
    </row>
    <row r="376" spans="1:8" x14ac:dyDescent="0.3">
      <c r="A376" t="s">
        <v>486</v>
      </c>
      <c r="B376" t="s">
        <v>27</v>
      </c>
      <c r="C376">
        <v>45771</v>
      </c>
      <c r="D376">
        <v>180.91499999999999</v>
      </c>
      <c r="E376">
        <v>186.74</v>
      </c>
      <c r="F376">
        <v>180.18</v>
      </c>
      <c r="G376">
        <v>186.54</v>
      </c>
      <c r="H376">
        <v>180.6</v>
      </c>
    </row>
    <row r="377" spans="1:8" x14ac:dyDescent="0.3">
      <c r="A377" t="s">
        <v>487</v>
      </c>
      <c r="B377" t="s">
        <v>27</v>
      </c>
      <c r="C377">
        <v>45772</v>
      </c>
      <c r="D377">
        <v>187.62</v>
      </c>
      <c r="E377">
        <v>189.94</v>
      </c>
      <c r="F377">
        <v>185.49</v>
      </c>
      <c r="G377">
        <v>188.99</v>
      </c>
      <c r="H377">
        <v>186.54</v>
      </c>
    </row>
    <row r="378" spans="1:8" x14ac:dyDescent="0.3">
      <c r="A378" t="s">
        <v>488</v>
      </c>
      <c r="B378" t="s">
        <v>27</v>
      </c>
      <c r="C378">
        <v>45775</v>
      </c>
      <c r="D378">
        <v>190.10499999999999</v>
      </c>
      <c r="E378">
        <v>190.22</v>
      </c>
      <c r="F378">
        <v>184.88499999999999</v>
      </c>
      <c r="G378">
        <v>187.7</v>
      </c>
      <c r="H378">
        <v>188.99</v>
      </c>
    </row>
    <row r="379" spans="1:8" x14ac:dyDescent="0.3">
      <c r="A379" t="s">
        <v>489</v>
      </c>
      <c r="B379" t="s">
        <v>27</v>
      </c>
      <c r="C379">
        <v>45776</v>
      </c>
      <c r="D379">
        <v>183.99</v>
      </c>
      <c r="E379">
        <v>188.01580000000001</v>
      </c>
      <c r="F379">
        <v>183.68</v>
      </c>
      <c r="G379">
        <v>187.39</v>
      </c>
      <c r="H379">
        <v>187.7</v>
      </c>
    </row>
    <row r="380" spans="1:8" x14ac:dyDescent="0.3">
      <c r="A380" t="s">
        <v>490</v>
      </c>
      <c r="B380" t="s">
        <v>27</v>
      </c>
      <c r="C380">
        <v>45777</v>
      </c>
      <c r="D380">
        <v>182.17</v>
      </c>
      <c r="E380">
        <v>185.05</v>
      </c>
      <c r="F380">
        <v>178.85</v>
      </c>
      <c r="G380">
        <v>184.42</v>
      </c>
      <c r="H380">
        <v>187.39</v>
      </c>
    </row>
    <row r="381" spans="1:8" x14ac:dyDescent="0.3">
      <c r="A381" t="s">
        <v>491</v>
      </c>
      <c r="B381" t="s">
        <v>27</v>
      </c>
      <c r="C381">
        <v>45778</v>
      </c>
      <c r="D381">
        <v>190.63</v>
      </c>
      <c r="E381">
        <v>191.80709999999999</v>
      </c>
      <c r="F381">
        <v>187.5</v>
      </c>
      <c r="G381">
        <v>190.2</v>
      </c>
      <c r="H381">
        <v>184.42</v>
      </c>
    </row>
    <row r="382" spans="1:8" x14ac:dyDescent="0.3">
      <c r="A382" t="s">
        <v>492</v>
      </c>
      <c r="B382" t="s">
        <v>27</v>
      </c>
      <c r="C382">
        <v>45779</v>
      </c>
      <c r="D382">
        <v>191.435</v>
      </c>
      <c r="E382">
        <v>192.88</v>
      </c>
      <c r="F382">
        <v>186.4</v>
      </c>
      <c r="G382">
        <v>189.98</v>
      </c>
      <c r="H382">
        <v>190.2</v>
      </c>
    </row>
    <row r="383" spans="1:8" x14ac:dyDescent="0.3">
      <c r="A383" t="s">
        <v>493</v>
      </c>
      <c r="B383" t="s">
        <v>27</v>
      </c>
      <c r="C383">
        <v>45782</v>
      </c>
      <c r="D383">
        <v>186.51</v>
      </c>
      <c r="E383">
        <v>188.18</v>
      </c>
      <c r="F383">
        <v>185.53</v>
      </c>
      <c r="G383">
        <v>186.35</v>
      </c>
      <c r="H383">
        <v>189.98</v>
      </c>
    </row>
    <row r="384" spans="1:8" x14ac:dyDescent="0.3">
      <c r="A384" t="s">
        <v>494</v>
      </c>
      <c r="B384" t="s">
        <v>27</v>
      </c>
      <c r="C384">
        <v>45783</v>
      </c>
      <c r="D384">
        <v>184.57</v>
      </c>
      <c r="E384">
        <v>187.93</v>
      </c>
      <c r="F384">
        <v>183.85</v>
      </c>
      <c r="G384">
        <v>185.01</v>
      </c>
      <c r="H384">
        <v>186.35</v>
      </c>
    </row>
    <row r="385" spans="1:8" x14ac:dyDescent="0.3">
      <c r="A385" t="s">
        <v>495</v>
      </c>
      <c r="B385" t="s">
        <v>27</v>
      </c>
      <c r="C385">
        <v>45784</v>
      </c>
      <c r="D385">
        <v>185.56</v>
      </c>
      <c r="E385">
        <v>190.99</v>
      </c>
      <c r="F385">
        <v>185.01</v>
      </c>
      <c r="G385">
        <v>188.71</v>
      </c>
      <c r="H385">
        <v>185.01</v>
      </c>
    </row>
    <row r="386" spans="1:8" x14ac:dyDescent="0.3">
      <c r="A386" t="s">
        <v>496</v>
      </c>
      <c r="B386" t="s">
        <v>27</v>
      </c>
      <c r="C386">
        <v>45785</v>
      </c>
      <c r="D386">
        <v>191.43</v>
      </c>
      <c r="E386">
        <v>194.33</v>
      </c>
      <c r="F386">
        <v>188.82</v>
      </c>
      <c r="G386">
        <v>192.08</v>
      </c>
      <c r="H386">
        <v>188.71</v>
      </c>
    </row>
    <row r="387" spans="1:8" x14ac:dyDescent="0.3">
      <c r="A387" t="s">
        <v>497</v>
      </c>
      <c r="B387" t="s">
        <v>27</v>
      </c>
      <c r="C387">
        <v>45786</v>
      </c>
      <c r="D387">
        <v>193.375</v>
      </c>
      <c r="E387">
        <v>194.69</v>
      </c>
      <c r="F387">
        <v>191.16</v>
      </c>
      <c r="G387">
        <v>193.06</v>
      </c>
      <c r="H387">
        <v>192.08</v>
      </c>
    </row>
    <row r="388" spans="1:8" x14ac:dyDescent="0.3">
      <c r="A388" t="s">
        <v>498</v>
      </c>
      <c r="B388" t="s">
        <v>27</v>
      </c>
      <c r="C388">
        <v>45789</v>
      </c>
      <c r="D388">
        <v>210.71</v>
      </c>
      <c r="E388">
        <v>211.66</v>
      </c>
      <c r="F388">
        <v>205.75</v>
      </c>
      <c r="G388">
        <v>208.64</v>
      </c>
      <c r="H388">
        <v>193.06</v>
      </c>
    </row>
    <row r="389" spans="1:8" x14ac:dyDescent="0.3">
      <c r="A389" t="s">
        <v>499</v>
      </c>
      <c r="B389" t="s">
        <v>27</v>
      </c>
      <c r="C389">
        <v>45790</v>
      </c>
      <c r="D389">
        <v>211.08</v>
      </c>
      <c r="E389">
        <v>214.84</v>
      </c>
      <c r="F389">
        <v>210.1</v>
      </c>
      <c r="G389">
        <v>211.37</v>
      </c>
      <c r="H389">
        <v>208.64</v>
      </c>
    </row>
    <row r="390" spans="1:8" x14ac:dyDescent="0.3">
      <c r="A390" t="s">
        <v>500</v>
      </c>
      <c r="B390" t="s">
        <v>27</v>
      </c>
      <c r="C390">
        <v>45791</v>
      </c>
      <c r="D390">
        <v>211.45</v>
      </c>
      <c r="E390">
        <v>211.93</v>
      </c>
      <c r="F390">
        <v>208.85</v>
      </c>
      <c r="G390">
        <v>210.25</v>
      </c>
      <c r="H390">
        <v>211.37</v>
      </c>
    </row>
    <row r="391" spans="1:8" x14ac:dyDescent="0.3">
      <c r="A391" t="s">
        <v>501</v>
      </c>
      <c r="B391" t="s">
        <v>27</v>
      </c>
      <c r="C391">
        <v>45792</v>
      </c>
      <c r="D391">
        <v>206.45</v>
      </c>
      <c r="E391">
        <v>206.88</v>
      </c>
      <c r="F391">
        <v>202.673</v>
      </c>
      <c r="G391">
        <v>205.17</v>
      </c>
      <c r="H391">
        <v>210.25</v>
      </c>
    </row>
    <row r="392" spans="1:8" x14ac:dyDescent="0.3">
      <c r="A392" t="s">
        <v>502</v>
      </c>
      <c r="B392" t="s">
        <v>27</v>
      </c>
      <c r="C392">
        <v>45793</v>
      </c>
      <c r="D392">
        <v>206.85</v>
      </c>
      <c r="E392">
        <v>206.85</v>
      </c>
      <c r="F392">
        <v>204.374</v>
      </c>
      <c r="G392">
        <v>205.59</v>
      </c>
      <c r="H392">
        <v>205.17</v>
      </c>
    </row>
    <row r="393" spans="1:8" x14ac:dyDescent="0.3">
      <c r="A393" t="s">
        <v>503</v>
      </c>
      <c r="B393" t="s">
        <v>27</v>
      </c>
      <c r="C393">
        <v>45796</v>
      </c>
      <c r="D393">
        <v>201.64500000000001</v>
      </c>
      <c r="E393">
        <v>206.62</v>
      </c>
      <c r="F393">
        <v>201.26</v>
      </c>
      <c r="G393">
        <v>206.16</v>
      </c>
      <c r="H393">
        <v>205.59</v>
      </c>
    </row>
    <row r="394" spans="1:8" x14ac:dyDescent="0.3">
      <c r="A394" t="s">
        <v>504</v>
      </c>
      <c r="B394" t="s">
        <v>27</v>
      </c>
      <c r="C394">
        <v>45797</v>
      </c>
      <c r="D394">
        <v>204.62799999999999</v>
      </c>
      <c r="E394">
        <v>205.5899</v>
      </c>
      <c r="F394">
        <v>202.65</v>
      </c>
      <c r="G394">
        <v>204.07</v>
      </c>
      <c r="H394">
        <v>206.16</v>
      </c>
    </row>
    <row r="395" spans="1:8" x14ac:dyDescent="0.3">
      <c r="A395" t="s">
        <v>505</v>
      </c>
      <c r="B395" t="s">
        <v>27</v>
      </c>
      <c r="C395">
        <v>45798</v>
      </c>
      <c r="D395">
        <v>201.61</v>
      </c>
      <c r="E395">
        <v>203.45500000000001</v>
      </c>
      <c r="F395">
        <v>200.06</v>
      </c>
      <c r="G395">
        <v>201.12</v>
      </c>
      <c r="H395">
        <v>204.07</v>
      </c>
    </row>
    <row r="396" spans="1:8" x14ac:dyDescent="0.3">
      <c r="A396" t="s">
        <v>506</v>
      </c>
      <c r="B396" t="s">
        <v>27</v>
      </c>
      <c r="C396">
        <v>45799</v>
      </c>
      <c r="D396">
        <v>201.38</v>
      </c>
      <c r="E396">
        <v>205.76</v>
      </c>
      <c r="F396">
        <v>200.16</v>
      </c>
      <c r="G396">
        <v>203.1</v>
      </c>
      <c r="H396">
        <v>201.12</v>
      </c>
    </row>
    <row r="397" spans="1:8" x14ac:dyDescent="0.3">
      <c r="A397" t="s">
        <v>507</v>
      </c>
      <c r="B397" t="s">
        <v>27</v>
      </c>
      <c r="C397">
        <v>45800</v>
      </c>
      <c r="D397">
        <v>198.9</v>
      </c>
      <c r="E397">
        <v>202.37</v>
      </c>
      <c r="F397">
        <v>197.85</v>
      </c>
      <c r="G397">
        <v>200.99</v>
      </c>
      <c r="H397">
        <v>203.1</v>
      </c>
    </row>
    <row r="398" spans="1:8" x14ac:dyDescent="0.3">
      <c r="A398" t="s">
        <v>508</v>
      </c>
      <c r="B398" t="s">
        <v>27</v>
      </c>
      <c r="C398">
        <v>45804</v>
      </c>
      <c r="D398">
        <v>203.08500000000001</v>
      </c>
      <c r="E398">
        <v>206.69</v>
      </c>
      <c r="F398">
        <v>202.19</v>
      </c>
      <c r="G398">
        <v>206.02</v>
      </c>
      <c r="H398">
        <v>200.99</v>
      </c>
    </row>
    <row r="399" spans="1:8" x14ac:dyDescent="0.3">
      <c r="A399" t="s">
        <v>509</v>
      </c>
      <c r="B399" t="s">
        <v>27</v>
      </c>
      <c r="C399">
        <v>45805</v>
      </c>
      <c r="D399">
        <v>205.91499999999999</v>
      </c>
      <c r="E399">
        <v>207.66</v>
      </c>
      <c r="F399">
        <v>204.41</v>
      </c>
      <c r="G399">
        <v>204.72</v>
      </c>
      <c r="H399">
        <v>206.02</v>
      </c>
    </row>
    <row r="400" spans="1:8" x14ac:dyDescent="0.3">
      <c r="A400" t="s">
        <v>510</v>
      </c>
      <c r="B400" t="s">
        <v>27</v>
      </c>
      <c r="C400">
        <v>45806</v>
      </c>
      <c r="D400">
        <v>208.02500000000001</v>
      </c>
      <c r="E400">
        <v>208.81</v>
      </c>
      <c r="F400">
        <v>204.23</v>
      </c>
      <c r="G400">
        <v>205.7</v>
      </c>
      <c r="H400">
        <v>204.72</v>
      </c>
    </row>
    <row r="401" spans="1:8" x14ac:dyDescent="0.3">
      <c r="A401" t="s">
        <v>511</v>
      </c>
      <c r="B401" t="s">
        <v>27</v>
      </c>
      <c r="C401">
        <v>45807</v>
      </c>
      <c r="D401">
        <v>204.84</v>
      </c>
      <c r="E401">
        <v>205.99</v>
      </c>
      <c r="F401">
        <v>201.69499999999999</v>
      </c>
      <c r="G401">
        <v>205.01</v>
      </c>
      <c r="H401">
        <v>205.7</v>
      </c>
    </row>
    <row r="402" spans="1:8" x14ac:dyDescent="0.3">
      <c r="A402" t="s">
        <v>512</v>
      </c>
      <c r="B402" t="s">
        <v>27</v>
      </c>
      <c r="C402">
        <v>45810</v>
      </c>
      <c r="D402">
        <v>204.98</v>
      </c>
      <c r="E402">
        <v>207</v>
      </c>
      <c r="F402">
        <v>202.68</v>
      </c>
      <c r="G402">
        <v>206.65</v>
      </c>
      <c r="H402">
        <v>205.01</v>
      </c>
    </row>
    <row r="403" spans="1:8" x14ac:dyDescent="0.3">
      <c r="A403" t="s">
        <v>513</v>
      </c>
      <c r="B403" t="s">
        <v>27</v>
      </c>
      <c r="C403">
        <v>45811</v>
      </c>
      <c r="D403">
        <v>207.10499999999999</v>
      </c>
      <c r="E403">
        <v>208.9469</v>
      </c>
      <c r="F403">
        <v>205.03</v>
      </c>
      <c r="G403">
        <v>205.71</v>
      </c>
      <c r="H403">
        <v>206.65</v>
      </c>
    </row>
    <row r="404" spans="1:8" x14ac:dyDescent="0.3">
      <c r="A404" t="s">
        <v>514</v>
      </c>
      <c r="B404" t="s">
        <v>27</v>
      </c>
      <c r="C404">
        <v>45812</v>
      </c>
      <c r="D404">
        <v>206.55</v>
      </c>
      <c r="E404">
        <v>208.18</v>
      </c>
      <c r="F404">
        <v>205.18</v>
      </c>
      <c r="G404">
        <v>207.23</v>
      </c>
      <c r="H404">
        <v>205.71</v>
      </c>
    </row>
    <row r="405" spans="1:8" x14ac:dyDescent="0.3">
      <c r="A405" t="s">
        <v>515</v>
      </c>
      <c r="B405" t="s">
        <v>27</v>
      </c>
      <c r="C405">
        <v>45813</v>
      </c>
      <c r="D405">
        <v>209.55</v>
      </c>
      <c r="E405">
        <v>212.81</v>
      </c>
      <c r="F405">
        <v>207.56</v>
      </c>
      <c r="G405">
        <v>207.91</v>
      </c>
      <c r="H405">
        <v>207.23</v>
      </c>
    </row>
    <row r="406" spans="1:8" x14ac:dyDescent="0.3">
      <c r="A406" t="s">
        <v>516</v>
      </c>
      <c r="B406" t="s">
        <v>27</v>
      </c>
      <c r="C406">
        <v>45814</v>
      </c>
      <c r="D406">
        <v>212.4</v>
      </c>
      <c r="E406">
        <v>213.8699</v>
      </c>
      <c r="F406">
        <v>210.5</v>
      </c>
      <c r="G406">
        <v>213.57</v>
      </c>
      <c r="H406">
        <v>207.91</v>
      </c>
    </row>
    <row r="407" spans="1:8" x14ac:dyDescent="0.3">
      <c r="A407" t="s">
        <v>517</v>
      </c>
      <c r="B407" t="s">
        <v>27</v>
      </c>
      <c r="C407">
        <v>45817</v>
      </c>
      <c r="D407">
        <v>214.75</v>
      </c>
      <c r="E407">
        <v>217.85</v>
      </c>
      <c r="F407">
        <v>212.88</v>
      </c>
      <c r="G407">
        <v>216.98</v>
      </c>
      <c r="H407">
        <v>213.57</v>
      </c>
    </row>
    <row r="408" spans="1:8" x14ac:dyDescent="0.3">
      <c r="A408" t="s">
        <v>518</v>
      </c>
      <c r="B408" t="s">
        <v>27</v>
      </c>
      <c r="C408">
        <v>45818</v>
      </c>
      <c r="D408">
        <v>216.78</v>
      </c>
      <c r="E408">
        <v>217.69</v>
      </c>
      <c r="F408">
        <v>214.15</v>
      </c>
      <c r="G408">
        <v>217.61</v>
      </c>
      <c r="H408">
        <v>216.98</v>
      </c>
    </row>
    <row r="409" spans="1:8" x14ac:dyDescent="0.3">
      <c r="A409" t="s">
        <v>519</v>
      </c>
      <c r="B409" t="s">
        <v>27</v>
      </c>
      <c r="C409">
        <v>45819</v>
      </c>
      <c r="D409">
        <v>217.41</v>
      </c>
      <c r="E409">
        <v>218.4</v>
      </c>
      <c r="F409">
        <v>212.89</v>
      </c>
      <c r="G409">
        <v>213.2</v>
      </c>
      <c r="H409">
        <v>217.61</v>
      </c>
    </row>
    <row r="410" spans="1:8" x14ac:dyDescent="0.3">
      <c r="A410" t="s">
        <v>520</v>
      </c>
      <c r="B410" t="s">
        <v>27</v>
      </c>
      <c r="C410">
        <v>45820</v>
      </c>
      <c r="D410">
        <v>211.78</v>
      </c>
      <c r="E410">
        <v>213.58</v>
      </c>
      <c r="F410">
        <v>211.33</v>
      </c>
      <c r="G410">
        <v>213.24</v>
      </c>
      <c r="H410">
        <v>213.2</v>
      </c>
    </row>
    <row r="411" spans="1:8" x14ac:dyDescent="0.3">
      <c r="A411" t="s">
        <v>521</v>
      </c>
      <c r="B411" t="s">
        <v>27</v>
      </c>
      <c r="C411">
        <v>45821</v>
      </c>
      <c r="D411">
        <v>209.96</v>
      </c>
      <c r="E411">
        <v>214.05</v>
      </c>
      <c r="F411">
        <v>209.62</v>
      </c>
      <c r="G411">
        <v>212.1</v>
      </c>
      <c r="H411">
        <v>213.24</v>
      </c>
    </row>
    <row r="412" spans="1:8" x14ac:dyDescent="0.3">
      <c r="A412" t="s">
        <v>522</v>
      </c>
      <c r="B412" t="s">
        <v>27</v>
      </c>
      <c r="C412">
        <v>45824</v>
      </c>
      <c r="D412">
        <v>212.31</v>
      </c>
      <c r="E412">
        <v>217.06</v>
      </c>
      <c r="F412">
        <v>211.6</v>
      </c>
      <c r="G412">
        <v>216.1</v>
      </c>
      <c r="H412">
        <v>212.1</v>
      </c>
    </row>
    <row r="413" spans="1:8" x14ac:dyDescent="0.3">
      <c r="A413" t="s">
        <v>523</v>
      </c>
      <c r="B413" t="s">
        <v>27</v>
      </c>
      <c r="C413">
        <v>45825</v>
      </c>
      <c r="D413">
        <v>215.19499999999999</v>
      </c>
      <c r="E413">
        <v>217.41</v>
      </c>
      <c r="F413">
        <v>214.56</v>
      </c>
      <c r="G413">
        <v>214.82</v>
      </c>
      <c r="H413">
        <v>216.1</v>
      </c>
    </row>
    <row r="414" spans="1:8" x14ac:dyDescent="0.3">
      <c r="A414" t="s">
        <v>524</v>
      </c>
      <c r="B414" t="s">
        <v>27</v>
      </c>
      <c r="C414">
        <v>45826</v>
      </c>
      <c r="D414">
        <v>215.09</v>
      </c>
      <c r="E414">
        <v>217.96</v>
      </c>
      <c r="F414">
        <v>212.34</v>
      </c>
      <c r="G414">
        <v>212.52</v>
      </c>
      <c r="H414">
        <v>214.82</v>
      </c>
    </row>
    <row r="415" spans="1:8" x14ac:dyDescent="0.3">
      <c r="A415" t="s">
        <v>525</v>
      </c>
      <c r="B415" t="s">
        <v>27</v>
      </c>
      <c r="C415">
        <v>45828</v>
      </c>
      <c r="D415">
        <v>214.68</v>
      </c>
      <c r="E415">
        <v>214.89</v>
      </c>
      <c r="F415">
        <v>208.27090000000001</v>
      </c>
      <c r="G415">
        <v>209.69</v>
      </c>
      <c r="H415">
        <v>212.52</v>
      </c>
    </row>
    <row r="416" spans="1:8" x14ac:dyDescent="0.3">
      <c r="A416" t="s">
        <v>526</v>
      </c>
      <c r="B416" t="s">
        <v>27</v>
      </c>
      <c r="C416">
        <v>45831</v>
      </c>
      <c r="D416">
        <v>209.79</v>
      </c>
      <c r="E416">
        <v>210.39</v>
      </c>
      <c r="F416">
        <v>207.31010000000001</v>
      </c>
      <c r="G416">
        <v>208.47</v>
      </c>
      <c r="H416">
        <v>209.69</v>
      </c>
    </row>
    <row r="417" spans="1:8" x14ac:dyDescent="0.3">
      <c r="A417" t="s">
        <v>527</v>
      </c>
      <c r="B417" t="s">
        <v>27</v>
      </c>
      <c r="C417">
        <v>45832</v>
      </c>
      <c r="D417">
        <v>212.13499999999999</v>
      </c>
      <c r="E417">
        <v>214.34</v>
      </c>
      <c r="F417">
        <v>211.04499999999999</v>
      </c>
      <c r="G417">
        <v>212.77</v>
      </c>
      <c r="H417">
        <v>208.47</v>
      </c>
    </row>
    <row r="418" spans="1:8" x14ac:dyDescent="0.3">
      <c r="A418" t="s">
        <v>528</v>
      </c>
      <c r="B418" t="s">
        <v>27</v>
      </c>
      <c r="C418">
        <v>45833</v>
      </c>
      <c r="D418">
        <v>214.61500000000001</v>
      </c>
      <c r="E418">
        <v>216.03</v>
      </c>
      <c r="F418">
        <v>211.11</v>
      </c>
      <c r="G418">
        <v>211.99</v>
      </c>
      <c r="H418">
        <v>212.77</v>
      </c>
    </row>
    <row r="419" spans="1:8" x14ac:dyDescent="0.3">
      <c r="A419" t="s">
        <v>529</v>
      </c>
      <c r="B419" t="s">
        <v>27</v>
      </c>
      <c r="C419">
        <v>45834</v>
      </c>
      <c r="D419">
        <v>213.12</v>
      </c>
      <c r="E419">
        <v>218.035</v>
      </c>
      <c r="F419">
        <v>212.01</v>
      </c>
      <c r="G419">
        <v>217.12</v>
      </c>
      <c r="H419">
        <v>211.99</v>
      </c>
    </row>
    <row r="420" spans="1:8" x14ac:dyDescent="0.3">
      <c r="A420" t="s">
        <v>530</v>
      </c>
      <c r="B420" t="s">
        <v>27</v>
      </c>
      <c r="C420">
        <v>45835</v>
      </c>
      <c r="D420">
        <v>219.92</v>
      </c>
      <c r="E420">
        <v>223.3</v>
      </c>
      <c r="F420">
        <v>216.74</v>
      </c>
      <c r="G420">
        <v>223.3</v>
      </c>
      <c r="H420">
        <v>217.12</v>
      </c>
    </row>
    <row r="421" spans="1:8" x14ac:dyDescent="0.3">
      <c r="A421" t="s">
        <v>105</v>
      </c>
      <c r="B421" t="s">
        <v>27</v>
      </c>
      <c r="C421">
        <v>45838</v>
      </c>
      <c r="D421">
        <v>223.52</v>
      </c>
      <c r="E421">
        <v>223.82</v>
      </c>
      <c r="F421">
        <v>219.12</v>
      </c>
      <c r="G421">
        <v>219.39</v>
      </c>
      <c r="H421">
        <v>223.3</v>
      </c>
    </row>
    <row r="422" spans="1:8" x14ac:dyDescent="0.3">
      <c r="A422" t="s">
        <v>531</v>
      </c>
      <c r="B422" t="s">
        <v>27</v>
      </c>
      <c r="C422">
        <v>45839</v>
      </c>
      <c r="D422">
        <v>219.5</v>
      </c>
      <c r="E422">
        <v>221.875</v>
      </c>
      <c r="F422">
        <v>217.93</v>
      </c>
      <c r="G422">
        <v>220.46</v>
      </c>
      <c r="H422">
        <v>219.39</v>
      </c>
    </row>
    <row r="423" spans="1:8" x14ac:dyDescent="0.3">
      <c r="A423" t="s">
        <v>532</v>
      </c>
      <c r="B423" t="s">
        <v>27</v>
      </c>
      <c r="C423">
        <v>45840</v>
      </c>
      <c r="D423">
        <v>219.73</v>
      </c>
      <c r="E423">
        <v>221.6</v>
      </c>
      <c r="F423">
        <v>219.06</v>
      </c>
      <c r="G423">
        <v>219.92</v>
      </c>
      <c r="H423">
        <v>220.46</v>
      </c>
    </row>
    <row r="424" spans="1:8" x14ac:dyDescent="0.3">
      <c r="A424" t="s">
        <v>533</v>
      </c>
      <c r="B424" t="s">
        <v>27</v>
      </c>
      <c r="C424">
        <v>45841</v>
      </c>
      <c r="D424">
        <v>221.82</v>
      </c>
      <c r="E424">
        <v>224.01</v>
      </c>
      <c r="F424">
        <v>221.36</v>
      </c>
      <c r="G424">
        <v>223.41</v>
      </c>
      <c r="H424">
        <v>219.92</v>
      </c>
    </row>
    <row r="425" spans="1:8" x14ac:dyDescent="0.3">
      <c r="A425" t="s">
        <v>534</v>
      </c>
      <c r="B425" t="s">
        <v>27</v>
      </c>
      <c r="C425">
        <v>45845</v>
      </c>
      <c r="D425">
        <v>223</v>
      </c>
      <c r="E425">
        <v>224.29</v>
      </c>
      <c r="F425">
        <v>222.37</v>
      </c>
      <c r="G425">
        <v>223.47</v>
      </c>
      <c r="H425">
        <v>223.41</v>
      </c>
    </row>
    <row r="426" spans="1:8" x14ac:dyDescent="0.3">
      <c r="A426" t="s">
        <v>535</v>
      </c>
      <c r="B426" t="s">
        <v>27</v>
      </c>
      <c r="C426">
        <v>45846</v>
      </c>
      <c r="D426">
        <v>223.91499999999999</v>
      </c>
      <c r="E426">
        <v>224</v>
      </c>
      <c r="F426">
        <v>218.43</v>
      </c>
      <c r="G426">
        <v>219.36</v>
      </c>
      <c r="H426">
        <v>223.47</v>
      </c>
    </row>
    <row r="427" spans="1:8" x14ac:dyDescent="0.3">
      <c r="A427" t="s">
        <v>536</v>
      </c>
      <c r="B427" t="s">
        <v>27</v>
      </c>
      <c r="C427">
        <v>45847</v>
      </c>
      <c r="D427">
        <v>221.07</v>
      </c>
      <c r="E427">
        <v>224.29</v>
      </c>
      <c r="F427">
        <v>220.47</v>
      </c>
      <c r="G427">
        <v>222.54</v>
      </c>
      <c r="H427">
        <v>219.36</v>
      </c>
    </row>
    <row r="428" spans="1:8" x14ac:dyDescent="0.3">
      <c r="A428" t="s">
        <v>537</v>
      </c>
      <c r="B428" t="s">
        <v>27</v>
      </c>
      <c r="C428">
        <v>45848</v>
      </c>
      <c r="D428">
        <v>221.55</v>
      </c>
      <c r="E428">
        <v>222.79</v>
      </c>
      <c r="F428">
        <v>219.7</v>
      </c>
      <c r="G428">
        <v>222.26</v>
      </c>
      <c r="H428">
        <v>222.54</v>
      </c>
    </row>
    <row r="429" spans="1:8" x14ac:dyDescent="0.3">
      <c r="A429" t="s">
        <v>538</v>
      </c>
      <c r="B429" t="s">
        <v>27</v>
      </c>
      <c r="C429">
        <v>45849</v>
      </c>
      <c r="D429">
        <v>223.58</v>
      </c>
      <c r="E429">
        <v>226.6799</v>
      </c>
      <c r="F429">
        <v>222.37</v>
      </c>
      <c r="G429">
        <v>225.02</v>
      </c>
      <c r="H429">
        <v>222.26</v>
      </c>
    </row>
    <row r="430" spans="1:8" x14ac:dyDescent="0.3">
      <c r="A430" t="s">
        <v>539</v>
      </c>
      <c r="B430" t="s">
        <v>27</v>
      </c>
      <c r="C430">
        <v>45852</v>
      </c>
      <c r="D430">
        <v>225.07</v>
      </c>
      <c r="E430">
        <v>226.66</v>
      </c>
      <c r="F430">
        <v>224.24</v>
      </c>
      <c r="G430">
        <v>225.69</v>
      </c>
      <c r="H430">
        <v>225.02</v>
      </c>
    </row>
    <row r="431" spans="1:8" x14ac:dyDescent="0.3">
      <c r="A431" t="s">
        <v>540</v>
      </c>
      <c r="B431" t="s">
        <v>27</v>
      </c>
      <c r="C431">
        <v>45853</v>
      </c>
      <c r="D431">
        <v>226.2</v>
      </c>
      <c r="E431">
        <v>227.27</v>
      </c>
      <c r="F431">
        <v>225.45500000000001</v>
      </c>
      <c r="G431">
        <v>226.35</v>
      </c>
      <c r="H431">
        <v>225.69</v>
      </c>
    </row>
    <row r="432" spans="1:8" x14ac:dyDescent="0.3">
      <c r="A432" t="s">
        <v>541</v>
      </c>
      <c r="B432" t="s">
        <v>27</v>
      </c>
      <c r="C432">
        <v>45854</v>
      </c>
      <c r="D432">
        <v>225.875</v>
      </c>
      <c r="E432">
        <v>226.1</v>
      </c>
      <c r="F432">
        <v>222.18</v>
      </c>
      <c r="G432">
        <v>223.19</v>
      </c>
      <c r="H432">
        <v>226.35</v>
      </c>
    </row>
    <row r="433" spans="1:8" x14ac:dyDescent="0.3">
      <c r="A433" t="s">
        <v>542</v>
      </c>
      <c r="B433" t="s">
        <v>27</v>
      </c>
      <c r="C433">
        <v>45855</v>
      </c>
      <c r="D433">
        <v>223.32</v>
      </c>
      <c r="E433">
        <v>224.5</v>
      </c>
      <c r="F433">
        <v>222.51</v>
      </c>
      <c r="G433">
        <v>223.88</v>
      </c>
      <c r="H433">
        <v>223.19</v>
      </c>
    </row>
    <row r="434" spans="1:8" x14ac:dyDescent="0.3">
      <c r="A434" t="s">
        <v>543</v>
      </c>
      <c r="B434" t="s">
        <v>27</v>
      </c>
      <c r="C434">
        <v>45856</v>
      </c>
      <c r="D434">
        <v>225.14</v>
      </c>
      <c r="E434">
        <v>226.4</v>
      </c>
      <c r="F434">
        <v>222.98</v>
      </c>
      <c r="G434">
        <v>226.13</v>
      </c>
      <c r="H434">
        <v>223.88</v>
      </c>
    </row>
    <row r="435" spans="1:8" x14ac:dyDescent="0.3">
      <c r="A435" t="s">
        <v>544</v>
      </c>
      <c r="B435" t="s">
        <v>27</v>
      </c>
      <c r="C435">
        <v>45859</v>
      </c>
      <c r="D435">
        <v>225.83500000000001</v>
      </c>
      <c r="E435">
        <v>229.69</v>
      </c>
      <c r="F435">
        <v>225.65</v>
      </c>
      <c r="G435">
        <v>229.3</v>
      </c>
      <c r="H435">
        <v>226.13</v>
      </c>
    </row>
    <row r="436" spans="1:8" x14ac:dyDescent="0.3">
      <c r="A436" t="s">
        <v>545</v>
      </c>
      <c r="B436" t="s">
        <v>27</v>
      </c>
      <c r="C436">
        <v>45860</v>
      </c>
      <c r="D436">
        <v>229.68</v>
      </c>
      <c r="E436">
        <v>230</v>
      </c>
      <c r="F436">
        <v>226.35</v>
      </c>
      <c r="G436">
        <v>227.47</v>
      </c>
      <c r="H436">
        <v>229.3</v>
      </c>
    </row>
    <row r="437" spans="1:8" x14ac:dyDescent="0.3">
      <c r="A437" t="s">
        <v>546</v>
      </c>
      <c r="B437" t="s">
        <v>27</v>
      </c>
      <c r="C437">
        <v>45861</v>
      </c>
      <c r="D437">
        <v>228.47</v>
      </c>
      <c r="E437">
        <v>228.79</v>
      </c>
      <c r="F437">
        <v>227.09</v>
      </c>
      <c r="G437">
        <v>228.29</v>
      </c>
      <c r="H437">
        <v>227.47</v>
      </c>
    </row>
    <row r="438" spans="1:8" x14ac:dyDescent="0.3">
      <c r="A438" t="s">
        <v>547</v>
      </c>
      <c r="B438" t="s">
        <v>27</v>
      </c>
      <c r="C438">
        <v>45862</v>
      </c>
      <c r="D438">
        <v>229.17</v>
      </c>
      <c r="E438">
        <v>236</v>
      </c>
      <c r="F438">
        <v>228.64</v>
      </c>
      <c r="G438">
        <v>232.23</v>
      </c>
      <c r="H438">
        <v>228.29</v>
      </c>
    </row>
    <row r="439" spans="1:8" x14ac:dyDescent="0.3">
      <c r="A439" t="s">
        <v>548</v>
      </c>
      <c r="B439" t="s">
        <v>27</v>
      </c>
      <c r="C439">
        <v>45863</v>
      </c>
      <c r="D439">
        <v>232.22</v>
      </c>
      <c r="E439">
        <v>232.48</v>
      </c>
      <c r="F439">
        <v>231.18</v>
      </c>
      <c r="G439">
        <v>231.44</v>
      </c>
      <c r="H439">
        <v>232.23</v>
      </c>
    </row>
    <row r="440" spans="1:8" x14ac:dyDescent="0.3">
      <c r="A440" t="s">
        <v>549</v>
      </c>
      <c r="B440" t="s">
        <v>27</v>
      </c>
      <c r="C440">
        <v>45866</v>
      </c>
      <c r="D440">
        <v>233.35</v>
      </c>
      <c r="E440">
        <v>234.29</v>
      </c>
      <c r="F440">
        <v>232.25</v>
      </c>
      <c r="G440">
        <v>232.79</v>
      </c>
      <c r="H440">
        <v>231.44</v>
      </c>
    </row>
    <row r="441" spans="1:8" x14ac:dyDescent="0.3">
      <c r="A441" t="s">
        <v>550</v>
      </c>
      <c r="B441" t="s">
        <v>27</v>
      </c>
      <c r="C441">
        <v>45867</v>
      </c>
      <c r="D441">
        <v>234.15</v>
      </c>
      <c r="E441">
        <v>234.72</v>
      </c>
      <c r="F441">
        <v>230.31</v>
      </c>
      <c r="G441">
        <v>231.01</v>
      </c>
      <c r="H441">
        <v>232.79</v>
      </c>
    </row>
    <row r="442" spans="1:8" x14ac:dyDescent="0.3">
      <c r="A442" t="s">
        <v>551</v>
      </c>
      <c r="B442" t="s">
        <v>27</v>
      </c>
      <c r="C442">
        <v>45868</v>
      </c>
      <c r="D442">
        <v>231.64</v>
      </c>
      <c r="E442">
        <v>231.8</v>
      </c>
      <c r="F442">
        <v>229.29</v>
      </c>
      <c r="G442">
        <v>230.19</v>
      </c>
      <c r="H442">
        <v>231.01</v>
      </c>
    </row>
    <row r="443" spans="1:8" x14ac:dyDescent="0.3">
      <c r="A443" t="s">
        <v>552</v>
      </c>
      <c r="B443" t="s">
        <v>27</v>
      </c>
      <c r="C443">
        <v>45869</v>
      </c>
      <c r="D443">
        <v>235.77</v>
      </c>
      <c r="E443">
        <v>236.53</v>
      </c>
      <c r="F443">
        <v>231.4</v>
      </c>
      <c r="G443">
        <v>234.11</v>
      </c>
      <c r="H443">
        <v>230.19</v>
      </c>
    </row>
    <row r="444" spans="1:8" x14ac:dyDescent="0.3">
      <c r="A444" t="s">
        <v>553</v>
      </c>
      <c r="B444" t="s">
        <v>27</v>
      </c>
      <c r="C444">
        <v>45870</v>
      </c>
      <c r="D444">
        <v>217.21</v>
      </c>
      <c r="E444">
        <v>220.43989999999999</v>
      </c>
      <c r="F444">
        <v>212.8</v>
      </c>
      <c r="G444">
        <v>214.75</v>
      </c>
      <c r="H444">
        <v>234.11</v>
      </c>
    </row>
    <row r="445" spans="1:8" x14ac:dyDescent="0.3">
      <c r="A445" t="s">
        <v>554</v>
      </c>
      <c r="B445" t="s">
        <v>27</v>
      </c>
      <c r="C445">
        <v>45873</v>
      </c>
      <c r="D445">
        <v>217.4</v>
      </c>
      <c r="E445">
        <v>217.44</v>
      </c>
      <c r="F445">
        <v>211.42</v>
      </c>
      <c r="G445">
        <v>211.65</v>
      </c>
      <c r="H445">
        <v>214.75</v>
      </c>
    </row>
    <row r="446" spans="1:8" x14ac:dyDescent="0.3">
      <c r="A446" t="s">
        <v>555</v>
      </c>
      <c r="B446" t="s">
        <v>27</v>
      </c>
      <c r="C446">
        <v>45874</v>
      </c>
      <c r="D446">
        <v>213.05</v>
      </c>
      <c r="E446">
        <v>216.3</v>
      </c>
      <c r="F446">
        <v>212.87</v>
      </c>
      <c r="G446">
        <v>213.75</v>
      </c>
      <c r="H446">
        <v>211.65</v>
      </c>
    </row>
    <row r="447" spans="1:8" x14ac:dyDescent="0.3">
      <c r="A447" t="s">
        <v>556</v>
      </c>
      <c r="B447" t="s">
        <v>27</v>
      </c>
      <c r="C447">
        <v>45875</v>
      </c>
      <c r="D447">
        <v>214.69499999999999</v>
      </c>
      <c r="E447">
        <v>222.65</v>
      </c>
      <c r="F447">
        <v>213.74090000000001</v>
      </c>
      <c r="G447">
        <v>222.31</v>
      </c>
      <c r="H447">
        <v>213.75</v>
      </c>
    </row>
    <row r="448" spans="1:8" x14ac:dyDescent="0.3">
      <c r="A448" t="s">
        <v>557</v>
      </c>
      <c r="B448" t="s">
        <v>27</v>
      </c>
      <c r="C448">
        <v>45876</v>
      </c>
      <c r="D448">
        <v>221</v>
      </c>
      <c r="E448">
        <v>226.22</v>
      </c>
      <c r="F448">
        <v>220.82</v>
      </c>
      <c r="G448">
        <v>223.13</v>
      </c>
      <c r="H448">
        <v>222.31</v>
      </c>
    </row>
    <row r="449" spans="1:8" x14ac:dyDescent="0.3">
      <c r="A449" t="s">
        <v>558</v>
      </c>
      <c r="B449" t="s">
        <v>27</v>
      </c>
      <c r="C449">
        <v>45877</v>
      </c>
      <c r="D449">
        <v>223.14</v>
      </c>
      <c r="E449">
        <v>223.8</v>
      </c>
      <c r="F449">
        <v>221.8836</v>
      </c>
      <c r="G449">
        <v>222.69</v>
      </c>
      <c r="H449">
        <v>223.13</v>
      </c>
    </row>
    <row r="450" spans="1:8" x14ac:dyDescent="0.3">
      <c r="A450" t="s">
        <v>559</v>
      </c>
      <c r="B450" t="s">
        <v>27</v>
      </c>
      <c r="C450">
        <v>45880</v>
      </c>
      <c r="D450">
        <v>221.78</v>
      </c>
      <c r="E450">
        <v>223.05</v>
      </c>
      <c r="F450">
        <v>220.4</v>
      </c>
      <c r="G450">
        <v>221.3</v>
      </c>
      <c r="H450">
        <v>222.69</v>
      </c>
    </row>
    <row r="451" spans="1:8" x14ac:dyDescent="0.3">
      <c r="A451" t="s">
        <v>560</v>
      </c>
      <c r="B451" t="s">
        <v>27</v>
      </c>
      <c r="C451">
        <v>45881</v>
      </c>
      <c r="D451">
        <v>222.23</v>
      </c>
      <c r="E451">
        <v>223.5</v>
      </c>
      <c r="F451">
        <v>219.05</v>
      </c>
      <c r="G451">
        <v>221.47</v>
      </c>
      <c r="H451">
        <v>221.3</v>
      </c>
    </row>
    <row r="452" spans="1:8" x14ac:dyDescent="0.3">
      <c r="A452" t="s">
        <v>561</v>
      </c>
      <c r="B452" t="s">
        <v>27</v>
      </c>
      <c r="C452">
        <v>45882</v>
      </c>
      <c r="D452">
        <v>222</v>
      </c>
      <c r="E452">
        <v>224.91849999999999</v>
      </c>
      <c r="F452">
        <v>222</v>
      </c>
      <c r="G452">
        <v>224.56</v>
      </c>
      <c r="H452">
        <v>221.47</v>
      </c>
    </row>
    <row r="453" spans="1:8" x14ac:dyDescent="0.3">
      <c r="A453" t="s">
        <v>562</v>
      </c>
      <c r="B453" t="s">
        <v>27</v>
      </c>
      <c r="C453">
        <v>45883</v>
      </c>
      <c r="D453">
        <v>227.4</v>
      </c>
      <c r="E453">
        <v>233.11</v>
      </c>
      <c r="F453">
        <v>227.02</v>
      </c>
      <c r="G453">
        <v>230.98</v>
      </c>
      <c r="H453">
        <v>224.56</v>
      </c>
    </row>
    <row r="454" spans="1:8" x14ac:dyDescent="0.3">
      <c r="A454" t="s">
        <v>563</v>
      </c>
      <c r="B454" t="s">
        <v>27</v>
      </c>
      <c r="C454">
        <v>45884</v>
      </c>
      <c r="D454">
        <v>232.58</v>
      </c>
      <c r="E454">
        <v>234.08</v>
      </c>
      <c r="F454">
        <v>229.80699999999999</v>
      </c>
      <c r="G454">
        <v>231.03</v>
      </c>
      <c r="H454">
        <v>230.98</v>
      </c>
    </row>
    <row r="455" spans="1:8" x14ac:dyDescent="0.3">
      <c r="A455" t="s">
        <v>564</v>
      </c>
      <c r="B455" t="s">
        <v>27</v>
      </c>
      <c r="C455">
        <v>45887</v>
      </c>
      <c r="D455">
        <v>230.22499999999999</v>
      </c>
      <c r="E455">
        <v>231.91</v>
      </c>
      <c r="F455">
        <v>228.33</v>
      </c>
      <c r="G455">
        <v>231.49</v>
      </c>
      <c r="H455">
        <v>231.03</v>
      </c>
    </row>
    <row r="456" spans="1:8" x14ac:dyDescent="0.3">
      <c r="A456" t="s">
        <v>565</v>
      </c>
      <c r="B456" t="s">
        <v>27</v>
      </c>
      <c r="C456">
        <v>45888</v>
      </c>
      <c r="D456">
        <v>230.09</v>
      </c>
      <c r="E456">
        <v>230.5283</v>
      </c>
      <c r="F456">
        <v>227.12</v>
      </c>
      <c r="G456">
        <v>228.01</v>
      </c>
      <c r="H456">
        <v>231.49</v>
      </c>
    </row>
    <row r="457" spans="1:8" x14ac:dyDescent="0.3">
      <c r="A457" t="s">
        <v>566</v>
      </c>
      <c r="B457" t="s">
        <v>27</v>
      </c>
      <c r="C457">
        <v>45889</v>
      </c>
      <c r="D457">
        <v>227.12</v>
      </c>
      <c r="E457">
        <v>227.27</v>
      </c>
      <c r="F457">
        <v>220.91499999999999</v>
      </c>
      <c r="G457">
        <v>223.81</v>
      </c>
      <c r="H457">
        <v>228.01</v>
      </c>
    </row>
    <row r="458" spans="1:8" x14ac:dyDescent="0.3">
      <c r="A458" t="s">
        <v>567</v>
      </c>
      <c r="B458" t="s">
        <v>27</v>
      </c>
      <c r="C458">
        <v>45890</v>
      </c>
      <c r="D458">
        <v>222.65</v>
      </c>
      <c r="E458">
        <v>222.78</v>
      </c>
      <c r="F458">
        <v>220.5</v>
      </c>
      <c r="G458">
        <v>221.95</v>
      </c>
      <c r="H458">
        <v>223.81</v>
      </c>
    </row>
    <row r="459" spans="1:8" x14ac:dyDescent="0.3">
      <c r="A459" t="s">
        <v>568</v>
      </c>
      <c r="B459" t="s">
        <v>27</v>
      </c>
      <c r="C459">
        <v>45891</v>
      </c>
      <c r="D459">
        <v>222.79</v>
      </c>
      <c r="E459">
        <v>229.14</v>
      </c>
      <c r="F459">
        <v>220.82</v>
      </c>
      <c r="G459">
        <v>228.84</v>
      </c>
      <c r="H459">
        <v>221.95</v>
      </c>
    </row>
    <row r="460" spans="1:8" x14ac:dyDescent="0.3">
      <c r="A460" t="s">
        <v>569</v>
      </c>
      <c r="B460" t="s">
        <v>27</v>
      </c>
      <c r="C460">
        <v>45894</v>
      </c>
      <c r="D460">
        <v>227.35</v>
      </c>
      <c r="E460">
        <v>229.6</v>
      </c>
      <c r="F460">
        <v>227.31</v>
      </c>
      <c r="G460">
        <v>227.94</v>
      </c>
      <c r="H460">
        <v>228.84</v>
      </c>
    </row>
    <row r="461" spans="1:8" x14ac:dyDescent="0.3">
      <c r="A461" t="s">
        <v>570</v>
      </c>
      <c r="B461" t="s">
        <v>27</v>
      </c>
      <c r="C461">
        <v>45895</v>
      </c>
      <c r="D461">
        <v>227.11</v>
      </c>
      <c r="E461">
        <v>229</v>
      </c>
      <c r="F461">
        <v>226.02</v>
      </c>
      <c r="G461">
        <v>228.71</v>
      </c>
      <c r="H461">
        <v>227.94</v>
      </c>
    </row>
    <row r="462" spans="1:8" x14ac:dyDescent="0.3">
      <c r="A462" t="s">
        <v>571</v>
      </c>
      <c r="B462" t="s">
        <v>27</v>
      </c>
      <c r="C462">
        <v>45896</v>
      </c>
      <c r="D462">
        <v>228.57</v>
      </c>
      <c r="E462">
        <v>229.87</v>
      </c>
      <c r="F462">
        <v>227.81</v>
      </c>
      <c r="G462">
        <v>229.12</v>
      </c>
      <c r="H462">
        <v>228.71</v>
      </c>
    </row>
    <row r="463" spans="1:8" x14ac:dyDescent="0.3">
      <c r="A463" t="s">
        <v>572</v>
      </c>
      <c r="B463" t="s">
        <v>27</v>
      </c>
      <c r="C463">
        <v>45897</v>
      </c>
      <c r="D463">
        <v>229.005</v>
      </c>
      <c r="E463">
        <v>232.71</v>
      </c>
      <c r="F463">
        <v>228.02</v>
      </c>
      <c r="G463">
        <v>231.6</v>
      </c>
      <c r="H463">
        <v>229.12</v>
      </c>
    </row>
    <row r="464" spans="1:8" x14ac:dyDescent="0.3">
      <c r="A464" t="s">
        <v>573</v>
      </c>
      <c r="B464" t="s">
        <v>27</v>
      </c>
      <c r="C464">
        <v>45898</v>
      </c>
      <c r="D464">
        <v>231.32</v>
      </c>
      <c r="E464">
        <v>231.8125</v>
      </c>
      <c r="F464">
        <v>228.16</v>
      </c>
      <c r="G464">
        <v>229</v>
      </c>
      <c r="H464">
        <v>231.6</v>
      </c>
    </row>
    <row r="465" spans="1:8" x14ac:dyDescent="0.3">
      <c r="A465" t="s">
        <v>574</v>
      </c>
      <c r="B465" t="s">
        <v>27</v>
      </c>
      <c r="C465">
        <v>45902</v>
      </c>
      <c r="D465">
        <v>223.52</v>
      </c>
      <c r="E465">
        <v>226.17</v>
      </c>
      <c r="F465">
        <v>221.83</v>
      </c>
      <c r="G465">
        <v>225.34</v>
      </c>
      <c r="H465">
        <v>229</v>
      </c>
    </row>
    <row r="466" spans="1:8" x14ac:dyDescent="0.3">
      <c r="A466" t="s">
        <v>575</v>
      </c>
      <c r="B466" t="s">
        <v>27</v>
      </c>
      <c r="C466">
        <v>45903</v>
      </c>
      <c r="D466">
        <v>225.21</v>
      </c>
      <c r="E466">
        <v>227.16990000000001</v>
      </c>
      <c r="F466">
        <v>224.36</v>
      </c>
      <c r="G466">
        <v>225.99</v>
      </c>
      <c r="H466">
        <v>225.34</v>
      </c>
    </row>
    <row r="467" spans="1:8" x14ac:dyDescent="0.3">
      <c r="A467" t="s">
        <v>576</v>
      </c>
      <c r="B467" t="s">
        <v>27</v>
      </c>
      <c r="C467">
        <v>45904</v>
      </c>
      <c r="D467">
        <v>231.185</v>
      </c>
      <c r="E467">
        <v>235.77</v>
      </c>
      <c r="F467">
        <v>230.78</v>
      </c>
      <c r="G467">
        <v>235.68</v>
      </c>
      <c r="H467">
        <v>225.99</v>
      </c>
    </row>
    <row r="468" spans="1:8" x14ac:dyDescent="0.3">
      <c r="A468" t="s">
        <v>577</v>
      </c>
      <c r="B468" t="s">
        <v>27</v>
      </c>
      <c r="C468">
        <v>45905</v>
      </c>
      <c r="D468">
        <v>235.19</v>
      </c>
      <c r="E468">
        <v>236</v>
      </c>
      <c r="F468">
        <v>231.93</v>
      </c>
      <c r="G468">
        <v>232.33</v>
      </c>
      <c r="H468">
        <v>235.68</v>
      </c>
    </row>
    <row r="469" spans="1:8" x14ac:dyDescent="0.3">
      <c r="A469" t="s">
        <v>578</v>
      </c>
      <c r="B469" t="s">
        <v>27</v>
      </c>
      <c r="C469">
        <v>45908</v>
      </c>
      <c r="D469">
        <v>234.94</v>
      </c>
      <c r="E469">
        <v>237.6</v>
      </c>
      <c r="F469">
        <v>233.75</v>
      </c>
      <c r="G469">
        <v>235.84</v>
      </c>
      <c r="H469">
        <v>232.33</v>
      </c>
    </row>
    <row r="470" spans="1:8" x14ac:dyDescent="0.3">
      <c r="A470" t="s">
        <v>579</v>
      </c>
      <c r="B470" t="s">
        <v>27</v>
      </c>
      <c r="C470">
        <v>45909</v>
      </c>
      <c r="D470">
        <v>236.35499999999999</v>
      </c>
      <c r="E470">
        <v>238.85</v>
      </c>
      <c r="F470">
        <v>235.08</v>
      </c>
      <c r="G470">
        <v>238.24</v>
      </c>
      <c r="H470">
        <v>235.84</v>
      </c>
    </row>
    <row r="471" spans="1:8" x14ac:dyDescent="0.3">
      <c r="A471" t="s">
        <v>580</v>
      </c>
      <c r="B471" t="s">
        <v>27</v>
      </c>
      <c r="C471">
        <v>45910</v>
      </c>
      <c r="D471">
        <v>237.51499999999999</v>
      </c>
      <c r="E471">
        <v>237.68</v>
      </c>
      <c r="F471">
        <v>229.09620000000001</v>
      </c>
      <c r="G471">
        <v>230.33</v>
      </c>
      <c r="H471">
        <v>238.24</v>
      </c>
    </row>
    <row r="472" spans="1:8" x14ac:dyDescent="0.3">
      <c r="A472" t="s">
        <v>581</v>
      </c>
      <c r="B472" t="s">
        <v>27</v>
      </c>
      <c r="C472">
        <v>45911</v>
      </c>
      <c r="D472">
        <v>231.49</v>
      </c>
      <c r="E472">
        <v>231.53</v>
      </c>
      <c r="F472">
        <v>229.33770000000001</v>
      </c>
      <c r="G472">
        <v>229.95</v>
      </c>
      <c r="H472">
        <v>230.33</v>
      </c>
    </row>
    <row r="473" spans="1:8" x14ac:dyDescent="0.3">
      <c r="A473" t="s">
        <v>582</v>
      </c>
      <c r="B473" t="s">
        <v>27</v>
      </c>
      <c r="C473">
        <v>45912</v>
      </c>
      <c r="D473">
        <v>230.35</v>
      </c>
      <c r="E473">
        <v>230.79</v>
      </c>
      <c r="F473">
        <v>226.29</v>
      </c>
      <c r="G473">
        <v>228.15</v>
      </c>
      <c r="H473">
        <v>229.95</v>
      </c>
    </row>
    <row r="474" spans="1:8" x14ac:dyDescent="0.3">
      <c r="A474" t="s">
        <v>583</v>
      </c>
      <c r="B474" t="s">
        <v>27</v>
      </c>
      <c r="C474">
        <v>45915</v>
      </c>
      <c r="D474">
        <v>230.625</v>
      </c>
      <c r="E474">
        <v>233.73</v>
      </c>
      <c r="F474">
        <v>230.32</v>
      </c>
      <c r="G474">
        <v>231.43</v>
      </c>
      <c r="H474">
        <v>228.15</v>
      </c>
    </row>
    <row r="475" spans="1:8" x14ac:dyDescent="0.3">
      <c r="A475" t="s">
        <v>584</v>
      </c>
      <c r="B475" t="s">
        <v>27</v>
      </c>
      <c r="C475">
        <v>45916</v>
      </c>
      <c r="D475">
        <v>232.935</v>
      </c>
      <c r="E475">
        <v>235.9</v>
      </c>
      <c r="F475">
        <v>232.23</v>
      </c>
      <c r="G475">
        <v>234.05</v>
      </c>
      <c r="H475">
        <v>231.43</v>
      </c>
    </row>
    <row r="476" spans="1:8" x14ac:dyDescent="0.3">
      <c r="A476" t="s">
        <v>585</v>
      </c>
      <c r="B476" t="s">
        <v>27</v>
      </c>
      <c r="C476">
        <v>45917</v>
      </c>
      <c r="D476">
        <v>233.77</v>
      </c>
      <c r="E476">
        <v>234.3</v>
      </c>
      <c r="F476">
        <v>228.71</v>
      </c>
      <c r="G476">
        <v>231.62</v>
      </c>
      <c r="H476">
        <v>234.05</v>
      </c>
    </row>
    <row r="477" spans="1:8" x14ac:dyDescent="0.3">
      <c r="A477" t="s">
        <v>586</v>
      </c>
      <c r="B477" t="s">
        <v>27</v>
      </c>
      <c r="C477">
        <v>45918</v>
      </c>
      <c r="D477">
        <v>232.5</v>
      </c>
      <c r="E477">
        <v>233.48</v>
      </c>
      <c r="F477">
        <v>228.79</v>
      </c>
      <c r="G477">
        <v>231.23</v>
      </c>
      <c r="H477">
        <v>231.62</v>
      </c>
    </row>
    <row r="478" spans="1:8" x14ac:dyDescent="0.3">
      <c r="A478" t="s">
        <v>587</v>
      </c>
      <c r="B478" t="s">
        <v>27</v>
      </c>
      <c r="C478">
        <v>45919</v>
      </c>
      <c r="D478">
        <v>232.37</v>
      </c>
      <c r="E478">
        <v>234.16</v>
      </c>
      <c r="F478">
        <v>229.7</v>
      </c>
      <c r="G478">
        <v>231.48</v>
      </c>
      <c r="H478">
        <v>231.23</v>
      </c>
    </row>
    <row r="479" spans="1:8" x14ac:dyDescent="0.3">
      <c r="A479" t="s">
        <v>588</v>
      </c>
      <c r="B479" t="s">
        <v>27</v>
      </c>
      <c r="C479">
        <v>45922</v>
      </c>
      <c r="D479">
        <v>230.56</v>
      </c>
      <c r="E479">
        <v>230.565</v>
      </c>
      <c r="F479">
        <v>227.51</v>
      </c>
      <c r="G479">
        <v>227.63</v>
      </c>
      <c r="H479">
        <v>231.48</v>
      </c>
    </row>
    <row r="480" spans="1:8" x14ac:dyDescent="0.3">
      <c r="A480" t="s">
        <v>589</v>
      </c>
      <c r="B480" t="s">
        <v>27</v>
      </c>
      <c r="C480">
        <v>45923</v>
      </c>
      <c r="D480">
        <v>227.83</v>
      </c>
      <c r="E480">
        <v>227.86</v>
      </c>
      <c r="F480">
        <v>220.07</v>
      </c>
      <c r="G480">
        <v>220.71</v>
      </c>
      <c r="H480">
        <v>227.63</v>
      </c>
    </row>
    <row r="481" spans="1:8" x14ac:dyDescent="0.3">
      <c r="A481" t="s">
        <v>590</v>
      </c>
      <c r="B481" t="s">
        <v>27</v>
      </c>
      <c r="C481">
        <v>45924</v>
      </c>
      <c r="D481">
        <v>224.15</v>
      </c>
      <c r="E481">
        <v>224.56</v>
      </c>
      <c r="F481">
        <v>219.45</v>
      </c>
      <c r="G481">
        <v>220.21</v>
      </c>
      <c r="H481">
        <v>220.71</v>
      </c>
    </row>
    <row r="482" spans="1:8" x14ac:dyDescent="0.3">
      <c r="A482" t="s">
        <v>591</v>
      </c>
      <c r="B482" t="s">
        <v>27</v>
      </c>
      <c r="C482">
        <v>45925</v>
      </c>
      <c r="D482">
        <v>220.06</v>
      </c>
      <c r="E482">
        <v>220.67</v>
      </c>
      <c r="F482">
        <v>216.47</v>
      </c>
      <c r="G482">
        <v>218.15</v>
      </c>
      <c r="H482">
        <v>220.21</v>
      </c>
    </row>
    <row r="483" spans="1:8" x14ac:dyDescent="0.3">
      <c r="A483" t="s">
        <v>592</v>
      </c>
      <c r="B483" t="s">
        <v>27</v>
      </c>
      <c r="C483">
        <v>45926</v>
      </c>
      <c r="D483">
        <v>219.08</v>
      </c>
      <c r="E483">
        <v>221.05</v>
      </c>
      <c r="F483">
        <v>218.02</v>
      </c>
      <c r="G483">
        <v>219.78</v>
      </c>
      <c r="H483">
        <v>218.15</v>
      </c>
    </row>
    <row r="484" spans="1:8" x14ac:dyDescent="0.3">
      <c r="A484" t="s">
        <v>593</v>
      </c>
      <c r="B484" t="s">
        <v>27</v>
      </c>
      <c r="C484">
        <v>45929</v>
      </c>
      <c r="D484">
        <v>220.08</v>
      </c>
      <c r="E484">
        <v>222.6</v>
      </c>
      <c r="F484">
        <v>219.3</v>
      </c>
      <c r="G484">
        <v>222.17</v>
      </c>
      <c r="H484">
        <v>219.78</v>
      </c>
    </row>
    <row r="485" spans="1:8" x14ac:dyDescent="0.3">
      <c r="A485" t="s">
        <v>104</v>
      </c>
      <c r="B485" t="s">
        <v>27</v>
      </c>
      <c r="C485">
        <v>45930</v>
      </c>
      <c r="D485">
        <v>222.03</v>
      </c>
      <c r="E485">
        <v>222.24</v>
      </c>
      <c r="F485">
        <v>217.89</v>
      </c>
      <c r="G485">
        <v>219.57</v>
      </c>
      <c r="H485">
        <v>222.17</v>
      </c>
    </row>
    <row r="486" spans="1:8" x14ac:dyDescent="0.3">
      <c r="A486" t="s">
        <v>594</v>
      </c>
      <c r="B486" t="s">
        <v>27</v>
      </c>
      <c r="C486">
        <v>45931</v>
      </c>
      <c r="D486">
        <v>217.36</v>
      </c>
      <c r="E486">
        <v>222.15</v>
      </c>
      <c r="F486">
        <v>216.61</v>
      </c>
      <c r="G486">
        <v>220.63</v>
      </c>
      <c r="H486">
        <v>219.57</v>
      </c>
    </row>
    <row r="487" spans="1:8" x14ac:dyDescent="0.3">
      <c r="A487" t="s">
        <v>595</v>
      </c>
      <c r="B487" t="s">
        <v>27</v>
      </c>
      <c r="C487">
        <v>45932</v>
      </c>
      <c r="D487">
        <v>221.01</v>
      </c>
      <c r="E487">
        <v>222.81</v>
      </c>
      <c r="F487">
        <v>218.94499999999999</v>
      </c>
      <c r="G487">
        <v>222.41</v>
      </c>
      <c r="H487">
        <v>220.63</v>
      </c>
    </row>
    <row r="488" spans="1:8" x14ac:dyDescent="0.3">
      <c r="A488" t="s">
        <v>596</v>
      </c>
      <c r="B488" t="s">
        <v>27</v>
      </c>
      <c r="C488">
        <v>45933</v>
      </c>
      <c r="D488">
        <v>223.44</v>
      </c>
      <c r="E488">
        <v>224.2</v>
      </c>
      <c r="F488">
        <v>219.34</v>
      </c>
      <c r="G488">
        <v>219.51</v>
      </c>
      <c r="H488">
        <v>222.41</v>
      </c>
    </row>
    <row r="489" spans="1:8" x14ac:dyDescent="0.3">
      <c r="A489" t="s">
        <v>597</v>
      </c>
      <c r="B489" t="s">
        <v>27</v>
      </c>
      <c r="C489">
        <v>45936</v>
      </c>
      <c r="D489">
        <v>221</v>
      </c>
      <c r="E489">
        <v>221.73</v>
      </c>
      <c r="F489">
        <v>216.03</v>
      </c>
      <c r="G489">
        <v>220.9</v>
      </c>
      <c r="H489">
        <v>219.51</v>
      </c>
    </row>
    <row r="490" spans="1:8" x14ac:dyDescent="0.3">
      <c r="A490" t="s">
        <v>598</v>
      </c>
      <c r="B490" t="s">
        <v>27</v>
      </c>
      <c r="C490">
        <v>45937</v>
      </c>
      <c r="D490">
        <v>220.88</v>
      </c>
      <c r="E490">
        <v>222.89</v>
      </c>
      <c r="F490">
        <v>220.17</v>
      </c>
      <c r="G490">
        <v>221.78</v>
      </c>
      <c r="H490">
        <v>220.9</v>
      </c>
    </row>
    <row r="491" spans="1:8" x14ac:dyDescent="0.3">
      <c r="A491" t="s">
        <v>599</v>
      </c>
      <c r="B491" t="s">
        <v>27</v>
      </c>
      <c r="C491">
        <v>45938</v>
      </c>
      <c r="D491">
        <v>222.92</v>
      </c>
      <c r="E491">
        <v>226.73</v>
      </c>
      <c r="F491">
        <v>221.19</v>
      </c>
      <c r="G491">
        <v>225.22</v>
      </c>
      <c r="H491">
        <v>221.78</v>
      </c>
    </row>
    <row r="492" spans="1:8" x14ac:dyDescent="0.3">
      <c r="A492" t="s">
        <v>600</v>
      </c>
      <c r="B492" t="s">
        <v>27</v>
      </c>
      <c r="C492">
        <v>45939</v>
      </c>
      <c r="D492">
        <v>224.995</v>
      </c>
      <c r="E492">
        <v>228.21</v>
      </c>
      <c r="F492">
        <v>221.75</v>
      </c>
      <c r="G492">
        <v>227.74</v>
      </c>
      <c r="H492">
        <v>225.22</v>
      </c>
    </row>
    <row r="493" spans="1:8" x14ac:dyDescent="0.3">
      <c r="A493" t="s">
        <v>601</v>
      </c>
      <c r="B493" t="s">
        <v>27</v>
      </c>
      <c r="C493">
        <v>45940</v>
      </c>
      <c r="D493">
        <v>226.21</v>
      </c>
      <c r="E493">
        <v>228.25</v>
      </c>
      <c r="F493">
        <v>216</v>
      </c>
      <c r="G493">
        <v>216.37</v>
      </c>
      <c r="H493">
        <v>227.74</v>
      </c>
    </row>
    <row r="494" spans="1:8" x14ac:dyDescent="0.3">
      <c r="A494" t="s">
        <v>602</v>
      </c>
      <c r="B494" t="s">
        <v>27</v>
      </c>
      <c r="C494">
        <v>45943</v>
      </c>
      <c r="D494">
        <v>217.7</v>
      </c>
      <c r="E494">
        <v>220.68</v>
      </c>
      <c r="F494">
        <v>217.04</v>
      </c>
      <c r="G494">
        <v>220.07</v>
      </c>
      <c r="H494">
        <v>216.37</v>
      </c>
    </row>
    <row r="495" spans="1:8" x14ac:dyDescent="0.3">
      <c r="A495" t="s">
        <v>603</v>
      </c>
      <c r="B495" t="s">
        <v>27</v>
      </c>
      <c r="C495">
        <v>45944</v>
      </c>
      <c r="D495">
        <v>215.55500000000001</v>
      </c>
      <c r="E495">
        <v>219.32</v>
      </c>
      <c r="F495">
        <v>212.6</v>
      </c>
      <c r="G495">
        <v>216.39</v>
      </c>
      <c r="H495">
        <v>220.07</v>
      </c>
    </row>
    <row r="496" spans="1:8" x14ac:dyDescent="0.3">
      <c r="A496" t="s">
        <v>604</v>
      </c>
      <c r="B496" t="s">
        <v>27</v>
      </c>
      <c r="C496">
        <v>45945</v>
      </c>
      <c r="D496">
        <v>216.62</v>
      </c>
      <c r="E496">
        <v>217.71</v>
      </c>
      <c r="F496">
        <v>212.66</v>
      </c>
      <c r="G496">
        <v>215.57</v>
      </c>
      <c r="H496">
        <v>216.39</v>
      </c>
    </row>
    <row r="497" spans="1:8" x14ac:dyDescent="0.3">
      <c r="A497" t="s">
        <v>605</v>
      </c>
      <c r="B497" t="s">
        <v>27</v>
      </c>
      <c r="C497">
        <v>45946</v>
      </c>
      <c r="D497">
        <v>215.67</v>
      </c>
      <c r="E497">
        <v>218.59</v>
      </c>
      <c r="F497">
        <v>212.81010000000001</v>
      </c>
      <c r="G497">
        <v>214.47</v>
      </c>
      <c r="H497">
        <v>215.57</v>
      </c>
    </row>
    <row r="498" spans="1:8" x14ac:dyDescent="0.3">
      <c r="A498" t="s">
        <v>606</v>
      </c>
      <c r="B498" t="s">
        <v>27</v>
      </c>
      <c r="C498">
        <v>45947</v>
      </c>
      <c r="D498">
        <v>214.56</v>
      </c>
      <c r="E498">
        <v>214.8</v>
      </c>
      <c r="F498">
        <v>211.03</v>
      </c>
      <c r="G498">
        <v>213.04</v>
      </c>
      <c r="H498">
        <v>214.47</v>
      </c>
    </row>
    <row r="499" spans="1:8" x14ac:dyDescent="0.3">
      <c r="A499" t="s">
        <v>607</v>
      </c>
      <c r="B499" t="s">
        <v>27</v>
      </c>
      <c r="C499">
        <v>45950</v>
      </c>
      <c r="D499">
        <v>213.88</v>
      </c>
      <c r="E499">
        <v>216.69</v>
      </c>
      <c r="F499">
        <v>213.59</v>
      </c>
      <c r="G499">
        <v>216.48</v>
      </c>
      <c r="H499">
        <v>213.04</v>
      </c>
    </row>
    <row r="500" spans="1:8" x14ac:dyDescent="0.3">
      <c r="A500" t="s">
        <v>608</v>
      </c>
      <c r="B500" t="s">
        <v>27</v>
      </c>
      <c r="C500">
        <v>45951</v>
      </c>
      <c r="D500">
        <v>218.43</v>
      </c>
      <c r="E500">
        <v>223.32</v>
      </c>
      <c r="F500">
        <v>217.99</v>
      </c>
      <c r="G500">
        <v>222.03</v>
      </c>
      <c r="H500">
        <v>216.48</v>
      </c>
    </row>
    <row r="501" spans="1:8" x14ac:dyDescent="0.3">
      <c r="A501" t="s">
        <v>609</v>
      </c>
      <c r="B501" t="s">
        <v>27</v>
      </c>
      <c r="C501">
        <v>45952</v>
      </c>
      <c r="D501">
        <v>219.3</v>
      </c>
      <c r="E501">
        <v>220.005</v>
      </c>
      <c r="F501">
        <v>216.52</v>
      </c>
      <c r="G501">
        <v>217.95</v>
      </c>
      <c r="H501">
        <v>222.03</v>
      </c>
    </row>
    <row r="502" spans="1:8" x14ac:dyDescent="0.3">
      <c r="A502" t="s">
        <v>610</v>
      </c>
      <c r="B502" t="s">
        <v>27</v>
      </c>
      <c r="C502">
        <v>45953</v>
      </c>
      <c r="D502">
        <v>219</v>
      </c>
      <c r="E502">
        <v>221.3</v>
      </c>
      <c r="F502">
        <v>218.18</v>
      </c>
      <c r="G502">
        <v>221.09</v>
      </c>
      <c r="H502">
        <v>217.95</v>
      </c>
    </row>
    <row r="503" spans="1:8" x14ac:dyDescent="0.3">
      <c r="A503" t="s">
        <v>611</v>
      </c>
      <c r="B503" t="s">
        <v>27</v>
      </c>
      <c r="C503">
        <v>45954</v>
      </c>
      <c r="D503">
        <v>221.97</v>
      </c>
      <c r="E503">
        <v>225.4</v>
      </c>
      <c r="F503">
        <v>221.9</v>
      </c>
      <c r="G503">
        <v>224.21</v>
      </c>
      <c r="H503">
        <v>221.09</v>
      </c>
    </row>
    <row r="504" spans="1:8" x14ac:dyDescent="0.3">
      <c r="A504" t="s">
        <v>612</v>
      </c>
      <c r="B504" t="s">
        <v>27</v>
      </c>
      <c r="C504">
        <v>45957</v>
      </c>
      <c r="D504">
        <v>227.66</v>
      </c>
      <c r="E504">
        <v>228.4</v>
      </c>
      <c r="F504">
        <v>225.54</v>
      </c>
      <c r="G504">
        <v>226.97</v>
      </c>
      <c r="H504">
        <v>224.21</v>
      </c>
    </row>
    <row r="505" spans="1:8" x14ac:dyDescent="0.3">
      <c r="A505" t="s">
        <v>613</v>
      </c>
      <c r="B505" t="s">
        <v>27</v>
      </c>
      <c r="C505">
        <v>45958</v>
      </c>
      <c r="D505">
        <v>228.215</v>
      </c>
      <c r="E505">
        <v>231.48500000000001</v>
      </c>
      <c r="F505">
        <v>226.21</v>
      </c>
      <c r="G505">
        <v>229.25</v>
      </c>
      <c r="H505">
        <v>226.97</v>
      </c>
    </row>
    <row r="506" spans="1:8" x14ac:dyDescent="0.3">
      <c r="A506" t="s">
        <v>614</v>
      </c>
      <c r="B506" t="s">
        <v>27</v>
      </c>
      <c r="C506">
        <v>45959</v>
      </c>
      <c r="D506">
        <v>231.672</v>
      </c>
      <c r="E506">
        <v>232.82</v>
      </c>
      <c r="F506">
        <v>227.76</v>
      </c>
      <c r="G506">
        <v>230.3</v>
      </c>
      <c r="H506">
        <v>229.25</v>
      </c>
    </row>
    <row r="507" spans="1:8" x14ac:dyDescent="0.3">
      <c r="A507" t="s">
        <v>615</v>
      </c>
      <c r="B507" t="s">
        <v>27</v>
      </c>
      <c r="C507">
        <v>45960</v>
      </c>
      <c r="D507">
        <v>227.06</v>
      </c>
      <c r="E507">
        <v>228.44</v>
      </c>
      <c r="F507">
        <v>222.75</v>
      </c>
      <c r="G507">
        <v>222.86</v>
      </c>
      <c r="H507">
        <v>230.3</v>
      </c>
    </row>
    <row r="508" spans="1:8" x14ac:dyDescent="0.3">
      <c r="A508" t="s">
        <v>616</v>
      </c>
      <c r="B508" t="s">
        <v>27</v>
      </c>
      <c r="C508">
        <v>45961</v>
      </c>
      <c r="D508">
        <v>250.1</v>
      </c>
      <c r="E508">
        <v>250.5</v>
      </c>
      <c r="F508">
        <v>243.98</v>
      </c>
      <c r="G508">
        <v>244.22</v>
      </c>
      <c r="H508">
        <v>222.86</v>
      </c>
    </row>
    <row r="509" spans="1:8" x14ac:dyDescent="0.3">
      <c r="A509" t="s">
        <v>617</v>
      </c>
      <c r="B509" t="s">
        <v>27</v>
      </c>
      <c r="C509">
        <v>45964</v>
      </c>
      <c r="D509">
        <v>255.36</v>
      </c>
      <c r="E509">
        <v>258.60000000000002</v>
      </c>
      <c r="F509">
        <v>252.9</v>
      </c>
      <c r="G509">
        <v>254</v>
      </c>
      <c r="H509">
        <v>244.22</v>
      </c>
    </row>
    <row r="510" spans="1:8" x14ac:dyDescent="0.3">
      <c r="A510" t="s">
        <v>618</v>
      </c>
      <c r="B510" t="s">
        <v>27</v>
      </c>
      <c r="C510">
        <v>45965</v>
      </c>
      <c r="D510">
        <v>250.38</v>
      </c>
      <c r="E510">
        <v>257.01</v>
      </c>
      <c r="F510">
        <v>248.66</v>
      </c>
      <c r="G510">
        <v>249.32</v>
      </c>
      <c r="H510">
        <v>254</v>
      </c>
    </row>
    <row r="511" spans="1:8" x14ac:dyDescent="0.3">
      <c r="A511" t="s">
        <v>619</v>
      </c>
      <c r="B511" t="s">
        <v>27</v>
      </c>
      <c r="C511">
        <v>45966</v>
      </c>
      <c r="D511">
        <v>249.03</v>
      </c>
      <c r="E511">
        <v>251</v>
      </c>
      <c r="F511">
        <v>246.16</v>
      </c>
      <c r="G511">
        <v>250.2</v>
      </c>
      <c r="H511">
        <v>249.32</v>
      </c>
    </row>
    <row r="512" spans="1:8" x14ac:dyDescent="0.3">
      <c r="A512" t="s">
        <v>620</v>
      </c>
      <c r="B512" t="s">
        <v>27</v>
      </c>
      <c r="C512">
        <v>45967</v>
      </c>
      <c r="D512">
        <v>249.155</v>
      </c>
      <c r="E512">
        <v>250.38</v>
      </c>
      <c r="F512">
        <v>242.17</v>
      </c>
      <c r="G512">
        <v>243.04</v>
      </c>
      <c r="H512">
        <v>250.2</v>
      </c>
    </row>
    <row r="513" spans="1:8" x14ac:dyDescent="0.3">
      <c r="A513" t="s">
        <v>621</v>
      </c>
      <c r="B513" t="s">
        <v>27</v>
      </c>
      <c r="C513">
        <v>45968</v>
      </c>
      <c r="D513">
        <v>242.9</v>
      </c>
      <c r="E513">
        <v>244.9</v>
      </c>
      <c r="F513">
        <v>238.49</v>
      </c>
      <c r="G513">
        <v>244.41</v>
      </c>
      <c r="H513">
        <v>243.04</v>
      </c>
    </row>
    <row r="514" spans="1:8" x14ac:dyDescent="0.3">
      <c r="A514" t="s">
        <v>622</v>
      </c>
      <c r="B514" t="s">
        <v>27</v>
      </c>
      <c r="C514">
        <v>45971</v>
      </c>
      <c r="D514">
        <v>248.34</v>
      </c>
      <c r="E514">
        <v>251.75</v>
      </c>
      <c r="F514">
        <v>245.59</v>
      </c>
      <c r="G514">
        <v>248.4</v>
      </c>
      <c r="H514">
        <v>244.41</v>
      </c>
    </row>
    <row r="515" spans="1:8" x14ac:dyDescent="0.3">
      <c r="A515" t="s">
        <v>623</v>
      </c>
      <c r="B515" t="s">
        <v>27</v>
      </c>
      <c r="C515">
        <v>45972</v>
      </c>
      <c r="D515">
        <v>248.41</v>
      </c>
      <c r="E515">
        <v>249.7499</v>
      </c>
      <c r="F515">
        <v>247.23</v>
      </c>
      <c r="G515">
        <v>249.1</v>
      </c>
      <c r="H515">
        <v>248.4</v>
      </c>
    </row>
    <row r="516" spans="1:8" x14ac:dyDescent="0.3">
      <c r="A516" t="s">
        <v>624</v>
      </c>
      <c r="B516" t="s">
        <v>27</v>
      </c>
      <c r="C516">
        <v>45973</v>
      </c>
      <c r="D516">
        <v>250.23500000000001</v>
      </c>
      <c r="E516">
        <v>250.37</v>
      </c>
      <c r="F516">
        <v>243.75</v>
      </c>
      <c r="G516">
        <v>244.2</v>
      </c>
      <c r="H516">
        <v>249.1</v>
      </c>
    </row>
    <row r="517" spans="1:8" x14ac:dyDescent="0.3">
      <c r="A517" t="s">
        <v>625</v>
      </c>
      <c r="B517" t="s">
        <v>27</v>
      </c>
      <c r="C517">
        <v>45974</v>
      </c>
      <c r="D517">
        <v>243.05</v>
      </c>
      <c r="E517">
        <v>243.75</v>
      </c>
      <c r="F517">
        <v>236.5</v>
      </c>
      <c r="G517">
        <v>237.58</v>
      </c>
      <c r="H517">
        <v>244.2</v>
      </c>
    </row>
    <row r="518" spans="1:8" x14ac:dyDescent="0.3">
      <c r="A518" t="s">
        <v>626</v>
      </c>
      <c r="B518" t="s">
        <v>27</v>
      </c>
      <c r="C518">
        <v>45975</v>
      </c>
      <c r="D518">
        <v>235.06</v>
      </c>
      <c r="E518">
        <v>238.73</v>
      </c>
      <c r="F518">
        <v>232.89</v>
      </c>
      <c r="G518">
        <v>234.69</v>
      </c>
      <c r="H518">
        <v>237.58</v>
      </c>
    </row>
    <row r="519" spans="1:8" x14ac:dyDescent="0.3">
      <c r="A519" t="s">
        <v>627</v>
      </c>
      <c r="B519" t="s">
        <v>27</v>
      </c>
      <c r="C519">
        <v>45978</v>
      </c>
      <c r="D519">
        <v>233.25</v>
      </c>
      <c r="E519">
        <v>234.6</v>
      </c>
      <c r="F519">
        <v>229.19</v>
      </c>
      <c r="G519">
        <v>232.87</v>
      </c>
      <c r="H519">
        <v>234.69</v>
      </c>
    </row>
    <row r="520" spans="1:8" x14ac:dyDescent="0.3">
      <c r="A520" t="s">
        <v>628</v>
      </c>
      <c r="B520" t="s">
        <v>27</v>
      </c>
      <c r="C520">
        <v>45979</v>
      </c>
      <c r="D520">
        <v>228.1</v>
      </c>
      <c r="E520">
        <v>230.2</v>
      </c>
      <c r="F520">
        <v>222.42</v>
      </c>
      <c r="G520">
        <v>222.55</v>
      </c>
      <c r="H520">
        <v>232.87</v>
      </c>
    </row>
    <row r="521" spans="1:8" x14ac:dyDescent="0.3">
      <c r="A521" t="s">
        <v>629</v>
      </c>
      <c r="B521" t="s">
        <v>27</v>
      </c>
      <c r="C521">
        <v>45980</v>
      </c>
      <c r="D521">
        <v>223.73500000000001</v>
      </c>
      <c r="E521">
        <v>223.73500000000001</v>
      </c>
      <c r="F521">
        <v>218.52</v>
      </c>
      <c r="G521">
        <v>222.69</v>
      </c>
      <c r="H521">
        <v>222.55</v>
      </c>
    </row>
    <row r="522" spans="1:8" x14ac:dyDescent="0.3">
      <c r="A522" t="s">
        <v>630</v>
      </c>
      <c r="B522" t="s">
        <v>27</v>
      </c>
      <c r="C522">
        <v>45981</v>
      </c>
      <c r="D522">
        <v>227.05</v>
      </c>
      <c r="E522">
        <v>227.41</v>
      </c>
      <c r="F522">
        <v>216.74</v>
      </c>
      <c r="G522">
        <v>217.14</v>
      </c>
      <c r="H522">
        <v>222.69</v>
      </c>
    </row>
    <row r="523" spans="1:8" x14ac:dyDescent="0.3">
      <c r="A523" t="s">
        <v>631</v>
      </c>
      <c r="B523" t="s">
        <v>27</v>
      </c>
      <c r="C523">
        <v>45982</v>
      </c>
      <c r="D523">
        <v>216.345</v>
      </c>
      <c r="E523">
        <v>222.21</v>
      </c>
      <c r="F523">
        <v>215.18</v>
      </c>
      <c r="G523">
        <v>220.69</v>
      </c>
      <c r="H523">
        <v>217.14</v>
      </c>
    </row>
    <row r="524" spans="1:8" x14ac:dyDescent="0.3">
      <c r="A524" t="s">
        <v>632</v>
      </c>
      <c r="B524" t="s">
        <v>27</v>
      </c>
      <c r="C524">
        <v>45985</v>
      </c>
      <c r="D524">
        <v>222.55500000000001</v>
      </c>
      <c r="E524">
        <v>227.33</v>
      </c>
      <c r="F524">
        <v>222.27</v>
      </c>
      <c r="G524">
        <v>226.28</v>
      </c>
      <c r="H524">
        <v>220.69</v>
      </c>
    </row>
    <row r="525" spans="1:8" x14ac:dyDescent="0.3">
      <c r="A525" t="s">
        <v>633</v>
      </c>
      <c r="B525" t="s">
        <v>27</v>
      </c>
      <c r="C525">
        <v>45986</v>
      </c>
      <c r="D525">
        <v>226.38</v>
      </c>
      <c r="E525">
        <v>230.52</v>
      </c>
      <c r="F525">
        <v>223.8</v>
      </c>
      <c r="G525">
        <v>229.67</v>
      </c>
      <c r="H525">
        <v>226.28</v>
      </c>
    </row>
    <row r="526" spans="1:8" x14ac:dyDescent="0.3">
      <c r="A526" t="s">
        <v>634</v>
      </c>
      <c r="B526" t="s">
        <v>27</v>
      </c>
      <c r="C526">
        <v>45987</v>
      </c>
      <c r="D526">
        <v>230.74</v>
      </c>
      <c r="E526">
        <v>231.7474</v>
      </c>
      <c r="F526">
        <v>228.77</v>
      </c>
      <c r="G526">
        <v>229.16</v>
      </c>
      <c r="H526">
        <v>229.67</v>
      </c>
    </row>
    <row r="527" spans="1:8" x14ac:dyDescent="0.3">
      <c r="A527" t="s">
        <v>635</v>
      </c>
      <c r="B527" t="s">
        <v>27</v>
      </c>
      <c r="C527">
        <v>45989</v>
      </c>
      <c r="D527">
        <v>231.24</v>
      </c>
      <c r="E527">
        <v>233.285</v>
      </c>
      <c r="F527">
        <v>230.22</v>
      </c>
      <c r="G527">
        <v>233.22</v>
      </c>
      <c r="H527">
        <v>229.16</v>
      </c>
    </row>
    <row r="528" spans="1:8" x14ac:dyDescent="0.3">
      <c r="A528" t="s">
        <v>636</v>
      </c>
      <c r="B528" t="s">
        <v>27</v>
      </c>
      <c r="C528">
        <v>45992</v>
      </c>
      <c r="D528">
        <v>233.22</v>
      </c>
      <c r="E528">
        <v>235.797</v>
      </c>
      <c r="F528">
        <v>232.25</v>
      </c>
      <c r="G528">
        <v>233.88</v>
      </c>
      <c r="H528">
        <v>233.22</v>
      </c>
    </row>
    <row r="529" spans="1:8" x14ac:dyDescent="0.3">
      <c r="A529" t="s">
        <v>637</v>
      </c>
      <c r="B529" t="s">
        <v>27</v>
      </c>
      <c r="C529">
        <v>45993</v>
      </c>
      <c r="D529">
        <v>235.005</v>
      </c>
      <c r="E529">
        <v>238.97</v>
      </c>
      <c r="F529">
        <v>233.55</v>
      </c>
      <c r="G529">
        <v>234.42</v>
      </c>
      <c r="H529">
        <v>233.88</v>
      </c>
    </row>
    <row r="530" spans="1:8" x14ac:dyDescent="0.3">
      <c r="A530" t="s">
        <v>638</v>
      </c>
      <c r="B530" t="s">
        <v>27</v>
      </c>
      <c r="C530">
        <v>45994</v>
      </c>
      <c r="D530">
        <v>233.35</v>
      </c>
      <c r="E530">
        <v>233.38</v>
      </c>
      <c r="F530">
        <v>230.61</v>
      </c>
      <c r="G530">
        <v>232.38</v>
      </c>
      <c r="H530">
        <v>234.42</v>
      </c>
    </row>
    <row r="531" spans="1:8" x14ac:dyDescent="0.3">
      <c r="A531" t="s">
        <v>639</v>
      </c>
      <c r="B531" t="s">
        <v>27</v>
      </c>
      <c r="C531">
        <v>45995</v>
      </c>
      <c r="D531">
        <v>232.77</v>
      </c>
      <c r="E531">
        <v>233.5</v>
      </c>
      <c r="F531">
        <v>226.8</v>
      </c>
      <c r="G531">
        <v>229.11</v>
      </c>
      <c r="H531">
        <v>232.38</v>
      </c>
    </row>
    <row r="532" spans="1:8" x14ac:dyDescent="0.3">
      <c r="A532" t="s">
        <v>640</v>
      </c>
      <c r="B532" t="s">
        <v>27</v>
      </c>
      <c r="C532">
        <v>45996</v>
      </c>
      <c r="D532">
        <v>230.32</v>
      </c>
      <c r="E532">
        <v>231.24</v>
      </c>
      <c r="F532">
        <v>228.547</v>
      </c>
      <c r="G532">
        <v>229.53</v>
      </c>
      <c r="H532">
        <v>229.11</v>
      </c>
    </row>
    <row r="533" spans="1:8" x14ac:dyDescent="0.3">
      <c r="A533" t="s">
        <v>641</v>
      </c>
      <c r="B533" t="s">
        <v>27</v>
      </c>
      <c r="C533">
        <v>45999</v>
      </c>
      <c r="D533">
        <v>229.59</v>
      </c>
      <c r="E533">
        <v>230.83</v>
      </c>
      <c r="F533">
        <v>226.27</v>
      </c>
      <c r="G533">
        <v>226.89</v>
      </c>
      <c r="H533">
        <v>229.53</v>
      </c>
    </row>
    <row r="534" spans="1:8" x14ac:dyDescent="0.3">
      <c r="A534" t="s">
        <v>642</v>
      </c>
      <c r="B534" t="s">
        <v>27</v>
      </c>
      <c r="C534">
        <v>46000</v>
      </c>
      <c r="D534">
        <v>226.84</v>
      </c>
      <c r="E534">
        <v>228.57</v>
      </c>
      <c r="F534">
        <v>225.11</v>
      </c>
      <c r="G534">
        <v>227.92</v>
      </c>
      <c r="H534">
        <v>226.89</v>
      </c>
    </row>
    <row r="535" spans="1:8" x14ac:dyDescent="0.3">
      <c r="A535" t="s">
        <v>643</v>
      </c>
      <c r="B535" t="s">
        <v>27</v>
      </c>
      <c r="C535">
        <v>46001</v>
      </c>
      <c r="D535">
        <v>228.80500000000001</v>
      </c>
      <c r="E535">
        <v>232.42</v>
      </c>
      <c r="F535">
        <v>228.46</v>
      </c>
      <c r="G535">
        <v>231.78</v>
      </c>
      <c r="H535">
        <v>227.92</v>
      </c>
    </row>
    <row r="536" spans="1:8" x14ac:dyDescent="0.3">
      <c r="A536" t="s">
        <v>644</v>
      </c>
      <c r="B536" t="s">
        <v>27</v>
      </c>
      <c r="C536">
        <v>46002</v>
      </c>
      <c r="D536">
        <v>230.71</v>
      </c>
      <c r="E536">
        <v>232.11</v>
      </c>
      <c r="F536">
        <v>228.6901</v>
      </c>
      <c r="G536">
        <v>230.28</v>
      </c>
      <c r="H536">
        <v>231.78</v>
      </c>
    </row>
    <row r="537" spans="1:8" x14ac:dyDescent="0.3">
      <c r="A537" t="s">
        <v>645</v>
      </c>
      <c r="B537" t="s">
        <v>27</v>
      </c>
      <c r="C537">
        <v>46003</v>
      </c>
      <c r="D537">
        <v>229.87</v>
      </c>
      <c r="E537">
        <v>230.08</v>
      </c>
      <c r="F537">
        <v>225.12</v>
      </c>
      <c r="G537">
        <v>226.19</v>
      </c>
      <c r="H537">
        <v>230.28</v>
      </c>
    </row>
    <row r="538" spans="1:8" x14ac:dyDescent="0.3">
      <c r="A538" t="s">
        <v>646</v>
      </c>
      <c r="B538" t="s">
        <v>27</v>
      </c>
      <c r="C538">
        <v>46006</v>
      </c>
      <c r="D538">
        <v>227.93</v>
      </c>
      <c r="E538">
        <v>227.93</v>
      </c>
      <c r="F538">
        <v>221.5</v>
      </c>
      <c r="G538">
        <v>222.54</v>
      </c>
      <c r="H538">
        <v>226.19</v>
      </c>
    </row>
    <row r="539" spans="1:8" x14ac:dyDescent="0.3">
      <c r="A539" t="s">
        <v>647</v>
      </c>
      <c r="B539" t="s">
        <v>27</v>
      </c>
      <c r="C539">
        <v>46007</v>
      </c>
      <c r="D539">
        <v>223.035</v>
      </c>
      <c r="E539">
        <v>223.66</v>
      </c>
      <c r="F539">
        <v>221.13040000000001</v>
      </c>
      <c r="G539">
        <v>222.56</v>
      </c>
      <c r="H539">
        <v>222.54</v>
      </c>
    </row>
    <row r="540" spans="1:8" x14ac:dyDescent="0.3">
      <c r="A540" t="s">
        <v>648</v>
      </c>
      <c r="B540" t="s">
        <v>27</v>
      </c>
      <c r="C540">
        <v>46008</v>
      </c>
      <c r="D540">
        <v>224.655</v>
      </c>
      <c r="E540">
        <v>225.19</v>
      </c>
      <c r="F540">
        <v>220.99</v>
      </c>
      <c r="G540">
        <v>221.27</v>
      </c>
      <c r="H540">
        <v>222.56</v>
      </c>
    </row>
    <row r="541" spans="1:8" x14ac:dyDescent="0.3">
      <c r="A541" t="s">
        <v>649</v>
      </c>
      <c r="B541" t="s">
        <v>27</v>
      </c>
      <c r="C541">
        <v>46009</v>
      </c>
      <c r="D541">
        <v>225.70500000000001</v>
      </c>
      <c r="E541">
        <v>229.22499999999999</v>
      </c>
      <c r="F541">
        <v>224.41</v>
      </c>
      <c r="G541">
        <v>226.76</v>
      </c>
      <c r="H541">
        <v>221.27</v>
      </c>
    </row>
    <row r="542" spans="1:8" x14ac:dyDescent="0.3">
      <c r="A542" t="s">
        <v>650</v>
      </c>
      <c r="B542" t="s">
        <v>27</v>
      </c>
      <c r="C542">
        <v>46010</v>
      </c>
      <c r="D542">
        <v>226.76</v>
      </c>
      <c r="E542">
        <v>229.125</v>
      </c>
      <c r="F542">
        <v>225.58</v>
      </c>
      <c r="G542">
        <v>227.35</v>
      </c>
      <c r="H542">
        <v>226.76</v>
      </c>
    </row>
    <row r="543" spans="1:8" x14ac:dyDescent="0.3">
      <c r="A543" t="s">
        <v>651</v>
      </c>
      <c r="B543" t="s">
        <v>27</v>
      </c>
      <c r="C543">
        <v>46013</v>
      </c>
      <c r="D543">
        <v>228.61</v>
      </c>
      <c r="E543">
        <v>229.48</v>
      </c>
      <c r="F543">
        <v>226.71</v>
      </c>
      <c r="G543">
        <v>228.43</v>
      </c>
      <c r="H543">
        <v>227.35</v>
      </c>
    </row>
    <row r="544" spans="1:8" x14ac:dyDescent="0.3">
      <c r="A544" t="s">
        <v>652</v>
      </c>
      <c r="B544" t="s">
        <v>27</v>
      </c>
      <c r="C544">
        <v>46014</v>
      </c>
      <c r="D544">
        <v>229.05500000000001</v>
      </c>
      <c r="E544">
        <v>232.44499999999999</v>
      </c>
      <c r="F544">
        <v>228.73</v>
      </c>
      <c r="G544">
        <v>232.14</v>
      </c>
      <c r="H544">
        <v>228.43</v>
      </c>
    </row>
    <row r="545" spans="1:8" x14ac:dyDescent="0.3">
      <c r="A545" t="s">
        <v>653</v>
      </c>
      <c r="B545" t="s">
        <v>27</v>
      </c>
      <c r="C545">
        <v>46015</v>
      </c>
      <c r="D545">
        <v>232.13</v>
      </c>
      <c r="E545">
        <v>232.95</v>
      </c>
      <c r="F545">
        <v>231.33</v>
      </c>
      <c r="G545">
        <v>232.38</v>
      </c>
      <c r="H545">
        <v>232.14</v>
      </c>
    </row>
    <row r="546" spans="1:8" x14ac:dyDescent="0.3">
      <c r="A546" t="s">
        <v>654</v>
      </c>
      <c r="B546" t="s">
        <v>27</v>
      </c>
      <c r="C546">
        <v>46017</v>
      </c>
      <c r="D546">
        <v>232.035</v>
      </c>
      <c r="E546">
        <v>232.99</v>
      </c>
      <c r="F546">
        <v>231.18</v>
      </c>
      <c r="G546">
        <v>232.52</v>
      </c>
      <c r="H546">
        <v>232.38</v>
      </c>
    </row>
    <row r="547" spans="1:8" x14ac:dyDescent="0.3">
      <c r="A547" t="s">
        <v>655</v>
      </c>
      <c r="B547" t="s">
        <v>27</v>
      </c>
      <c r="C547">
        <v>46020</v>
      </c>
      <c r="D547">
        <v>231.94</v>
      </c>
      <c r="E547">
        <v>232.6</v>
      </c>
      <c r="F547">
        <v>230.77</v>
      </c>
      <c r="G547">
        <v>232.07</v>
      </c>
      <c r="H547">
        <v>232.52</v>
      </c>
    </row>
    <row r="548" spans="1:8" x14ac:dyDescent="0.3">
      <c r="A548" t="s">
        <v>656</v>
      </c>
      <c r="B548" t="s">
        <v>27</v>
      </c>
      <c r="C548">
        <v>46021</v>
      </c>
      <c r="D548">
        <v>231.20500000000001</v>
      </c>
      <c r="E548">
        <v>232.77</v>
      </c>
      <c r="F548">
        <v>230.2</v>
      </c>
      <c r="G548">
        <v>232.53</v>
      </c>
      <c r="H548">
        <v>232.07</v>
      </c>
    </row>
    <row r="549" spans="1:8" x14ac:dyDescent="0.3">
      <c r="A549" t="s">
        <v>103</v>
      </c>
      <c r="B549" t="s">
        <v>27</v>
      </c>
      <c r="C549">
        <v>46022</v>
      </c>
      <c r="D549">
        <v>232.905</v>
      </c>
      <c r="E549">
        <v>232.99</v>
      </c>
      <c r="F549">
        <v>230.12</v>
      </c>
      <c r="G549">
        <v>230.82</v>
      </c>
      <c r="H549">
        <v>232.53</v>
      </c>
    </row>
    <row r="550" spans="1:8" x14ac:dyDescent="0.3">
      <c r="A550" t="s">
        <v>657</v>
      </c>
      <c r="B550" t="s">
        <v>27</v>
      </c>
      <c r="C550">
        <v>46024</v>
      </c>
      <c r="D550">
        <v>231.34</v>
      </c>
      <c r="E550">
        <v>235.458</v>
      </c>
      <c r="F550">
        <v>224.7</v>
      </c>
      <c r="G550">
        <v>226.5</v>
      </c>
      <c r="H550">
        <v>230.82</v>
      </c>
    </row>
    <row r="551" spans="1:8" x14ac:dyDescent="0.3">
      <c r="A551" t="s">
        <v>658</v>
      </c>
      <c r="B551" t="s">
        <v>27</v>
      </c>
      <c r="C551">
        <v>46027</v>
      </c>
      <c r="D551">
        <v>228.84</v>
      </c>
      <c r="E551">
        <v>234</v>
      </c>
      <c r="F551">
        <v>227.18</v>
      </c>
      <c r="G551">
        <v>233.06</v>
      </c>
      <c r="H551">
        <v>226.5</v>
      </c>
    </row>
    <row r="552" spans="1:8" x14ac:dyDescent="0.3">
      <c r="A552" t="s">
        <v>659</v>
      </c>
      <c r="B552" t="s">
        <v>27</v>
      </c>
      <c r="C552">
        <v>46028</v>
      </c>
      <c r="D552">
        <v>232.1</v>
      </c>
      <c r="E552">
        <v>243.18</v>
      </c>
      <c r="F552">
        <v>232.07</v>
      </c>
      <c r="G552">
        <v>240.93</v>
      </c>
      <c r="H552">
        <v>233.06</v>
      </c>
    </row>
    <row r="553" spans="1:8" x14ac:dyDescent="0.3">
      <c r="A553" t="s">
        <v>660</v>
      </c>
      <c r="B553" t="s">
        <v>27</v>
      </c>
      <c r="C553">
        <v>46029</v>
      </c>
      <c r="D553">
        <v>239.61</v>
      </c>
      <c r="E553">
        <v>245.29</v>
      </c>
      <c r="F553">
        <v>239.52</v>
      </c>
      <c r="G553">
        <v>241.56</v>
      </c>
      <c r="H553">
        <v>240.93</v>
      </c>
    </row>
    <row r="554" spans="1:8" x14ac:dyDescent="0.3">
      <c r="A554" t="s">
        <v>661</v>
      </c>
      <c r="B554" t="s">
        <v>27</v>
      </c>
      <c r="C554">
        <v>46030</v>
      </c>
      <c r="D554">
        <v>243.06</v>
      </c>
      <c r="E554">
        <v>246.41</v>
      </c>
      <c r="F554">
        <v>241.88</v>
      </c>
      <c r="G554">
        <v>246.29</v>
      </c>
      <c r="H554">
        <v>241.56</v>
      </c>
    </row>
    <row r="555" spans="1:8" x14ac:dyDescent="0.3">
      <c r="A555" t="s">
        <v>662</v>
      </c>
      <c r="B555" t="s">
        <v>27</v>
      </c>
      <c r="C555">
        <v>46031</v>
      </c>
      <c r="D555">
        <v>244.56800000000001</v>
      </c>
      <c r="E555">
        <v>247.86</v>
      </c>
      <c r="F555">
        <v>242.24</v>
      </c>
      <c r="G555">
        <v>247.38</v>
      </c>
      <c r="H555">
        <v>246.29</v>
      </c>
    </row>
    <row r="556" spans="1:8" x14ac:dyDescent="0.3">
      <c r="A556" t="s">
        <v>663</v>
      </c>
      <c r="B556" t="s">
        <v>27</v>
      </c>
      <c r="C556">
        <v>46034</v>
      </c>
      <c r="D556">
        <v>246.73</v>
      </c>
      <c r="E556">
        <v>248.94</v>
      </c>
      <c r="F556">
        <v>245.96</v>
      </c>
      <c r="G556">
        <v>246.47</v>
      </c>
      <c r="H556">
        <v>247.38</v>
      </c>
    </row>
    <row r="557" spans="1:8" x14ac:dyDescent="0.3">
      <c r="A557" t="s">
        <v>664</v>
      </c>
      <c r="B557" t="s">
        <v>27</v>
      </c>
      <c r="C557">
        <v>46035</v>
      </c>
      <c r="D557">
        <v>246.53</v>
      </c>
      <c r="E557">
        <v>247.66</v>
      </c>
      <c r="F557">
        <v>240.25</v>
      </c>
      <c r="G557">
        <v>242.6</v>
      </c>
      <c r="H557">
        <v>246.47</v>
      </c>
    </row>
    <row r="558" spans="1:8" x14ac:dyDescent="0.3">
      <c r="A558" t="s">
        <v>665</v>
      </c>
      <c r="B558" t="s">
        <v>27</v>
      </c>
      <c r="C558">
        <v>46036</v>
      </c>
      <c r="D558">
        <v>241.15</v>
      </c>
      <c r="E558">
        <v>241.28</v>
      </c>
      <c r="F558">
        <v>236.22</v>
      </c>
      <c r="G558">
        <v>236.65</v>
      </c>
      <c r="H558">
        <v>242.6</v>
      </c>
    </row>
    <row r="559" spans="1:8" x14ac:dyDescent="0.3">
      <c r="A559" t="s">
        <v>666</v>
      </c>
      <c r="B559" t="s">
        <v>27</v>
      </c>
      <c r="C559">
        <v>46037</v>
      </c>
      <c r="D559">
        <v>239.31</v>
      </c>
      <c r="E559">
        <v>240.65</v>
      </c>
      <c r="F559">
        <v>236.63</v>
      </c>
      <c r="G559">
        <v>238.18</v>
      </c>
      <c r="H559">
        <v>236.65</v>
      </c>
    </row>
    <row r="560" spans="1:8" x14ac:dyDescent="0.3">
      <c r="A560" t="s">
        <v>667</v>
      </c>
      <c r="B560" t="s">
        <v>27</v>
      </c>
      <c r="C560">
        <v>46038</v>
      </c>
      <c r="D560">
        <v>239.08500000000001</v>
      </c>
      <c r="E560">
        <v>239.57</v>
      </c>
      <c r="F560">
        <v>236.41</v>
      </c>
      <c r="G560">
        <v>239.12</v>
      </c>
      <c r="H560">
        <v>238.18</v>
      </c>
    </row>
    <row r="561" spans="1:8" x14ac:dyDescent="0.3">
      <c r="A561" t="s">
        <v>668</v>
      </c>
      <c r="B561" t="s">
        <v>27</v>
      </c>
      <c r="C561">
        <v>46042</v>
      </c>
      <c r="D561">
        <v>233.76</v>
      </c>
      <c r="E561">
        <v>235.09</v>
      </c>
      <c r="F561">
        <v>229.34</v>
      </c>
      <c r="G561">
        <v>231</v>
      </c>
      <c r="H561">
        <v>239.12</v>
      </c>
    </row>
    <row r="562" spans="1:8" x14ac:dyDescent="0.3">
      <c r="A562" t="s">
        <v>669</v>
      </c>
      <c r="B562" t="s">
        <v>27</v>
      </c>
      <c r="C562">
        <v>46043</v>
      </c>
      <c r="D562">
        <v>231.08500000000001</v>
      </c>
      <c r="E562">
        <v>232.3</v>
      </c>
      <c r="F562">
        <v>226.88</v>
      </c>
      <c r="G562">
        <v>231.31</v>
      </c>
      <c r="H562">
        <v>231</v>
      </c>
    </row>
    <row r="563" spans="1:8" x14ac:dyDescent="0.3">
      <c r="A563" t="s">
        <v>670</v>
      </c>
      <c r="B563" t="s">
        <v>27</v>
      </c>
      <c r="C563">
        <v>46044</v>
      </c>
      <c r="D563">
        <v>234.04499999999999</v>
      </c>
      <c r="E563">
        <v>235.72</v>
      </c>
      <c r="F563">
        <v>230.9</v>
      </c>
      <c r="G563">
        <v>234.34</v>
      </c>
      <c r="H563">
        <v>231.31</v>
      </c>
    </row>
    <row r="564" spans="1:8" x14ac:dyDescent="0.3">
      <c r="A564" t="s">
        <v>671</v>
      </c>
      <c r="B564" t="s">
        <v>27</v>
      </c>
      <c r="C564">
        <v>46045</v>
      </c>
      <c r="D564">
        <v>234.95500000000001</v>
      </c>
      <c r="E564">
        <v>240.45</v>
      </c>
      <c r="F564">
        <v>234.57</v>
      </c>
      <c r="G564">
        <v>239.16</v>
      </c>
      <c r="H564">
        <v>234.34</v>
      </c>
    </row>
    <row r="565" spans="1:8" x14ac:dyDescent="0.3">
      <c r="A565" t="s">
        <v>672</v>
      </c>
      <c r="B565" t="s">
        <v>27</v>
      </c>
      <c r="C565">
        <v>46048</v>
      </c>
      <c r="D565">
        <v>239.98</v>
      </c>
      <c r="E565">
        <v>240.95</v>
      </c>
      <c r="F565">
        <v>237.54</v>
      </c>
      <c r="G565">
        <v>238.42</v>
      </c>
      <c r="H565">
        <v>239.16</v>
      </c>
    </row>
    <row r="566" spans="1:8" x14ac:dyDescent="0.3">
      <c r="A566" t="s">
        <v>673</v>
      </c>
      <c r="B566" t="s">
        <v>27</v>
      </c>
      <c r="C566">
        <v>46049</v>
      </c>
      <c r="D566">
        <v>239.685</v>
      </c>
      <c r="E566">
        <v>244.88</v>
      </c>
      <c r="F566">
        <v>238.08</v>
      </c>
      <c r="G566">
        <v>244.68</v>
      </c>
      <c r="H566">
        <v>238.42</v>
      </c>
    </row>
    <row r="567" spans="1:8" x14ac:dyDescent="0.3">
      <c r="A567" t="s">
        <v>674</v>
      </c>
      <c r="B567" t="s">
        <v>27</v>
      </c>
      <c r="C567">
        <v>46050</v>
      </c>
      <c r="D567">
        <v>246.36500000000001</v>
      </c>
      <c r="E567">
        <v>247.77500000000001</v>
      </c>
      <c r="F567">
        <v>241.53</v>
      </c>
      <c r="G567">
        <v>243.01</v>
      </c>
      <c r="H567">
        <v>244.68</v>
      </c>
    </row>
    <row r="568" spans="1:8" x14ac:dyDescent="0.3">
      <c r="A568" t="s">
        <v>675</v>
      </c>
      <c r="B568" t="s">
        <v>27</v>
      </c>
      <c r="C568">
        <v>46051</v>
      </c>
      <c r="D568">
        <v>242.82</v>
      </c>
      <c r="E568">
        <v>243</v>
      </c>
      <c r="F568">
        <v>236.74199999999999</v>
      </c>
      <c r="G568">
        <v>241.73</v>
      </c>
      <c r="H568">
        <v>243.01</v>
      </c>
    </row>
    <row r="569" spans="1:8" x14ac:dyDescent="0.3">
      <c r="A569" t="s">
        <v>676</v>
      </c>
      <c r="B569" t="s">
        <v>27</v>
      </c>
      <c r="C569">
        <v>46052</v>
      </c>
      <c r="D569">
        <v>239.89</v>
      </c>
      <c r="E569">
        <v>243.315</v>
      </c>
      <c r="F569">
        <v>237.64</v>
      </c>
      <c r="G569">
        <v>239.3</v>
      </c>
      <c r="H569">
        <v>241.73</v>
      </c>
    </row>
    <row r="570" spans="1:8" x14ac:dyDescent="0.3">
      <c r="A570" t="s">
        <v>677</v>
      </c>
      <c r="B570" t="s">
        <v>27</v>
      </c>
      <c r="C570">
        <v>46055</v>
      </c>
      <c r="D570">
        <v>238.31</v>
      </c>
      <c r="E570">
        <v>245.62989999999999</v>
      </c>
      <c r="F570">
        <v>238.17</v>
      </c>
      <c r="G570">
        <v>242.96</v>
      </c>
      <c r="H570">
        <v>239.3</v>
      </c>
    </row>
    <row r="571" spans="1:8" x14ac:dyDescent="0.3">
      <c r="A571" t="s">
        <v>678</v>
      </c>
      <c r="B571" t="s">
        <v>27</v>
      </c>
      <c r="C571">
        <v>46056</v>
      </c>
      <c r="D571">
        <v>244.97499999999999</v>
      </c>
      <c r="E571">
        <v>246.35</v>
      </c>
      <c r="F571">
        <v>235.45</v>
      </c>
      <c r="G571">
        <v>238.62</v>
      </c>
      <c r="H571">
        <v>242.96</v>
      </c>
    </row>
    <row r="572" spans="1:8" x14ac:dyDescent="0.3">
      <c r="A572" t="s">
        <v>679</v>
      </c>
      <c r="B572" t="s">
        <v>27</v>
      </c>
      <c r="C572">
        <v>46057</v>
      </c>
      <c r="D572">
        <v>238.86</v>
      </c>
      <c r="E572">
        <v>238.86</v>
      </c>
      <c r="F572">
        <v>231.82</v>
      </c>
      <c r="G572">
        <v>232.99</v>
      </c>
      <c r="H572">
        <v>238.62</v>
      </c>
    </row>
    <row r="573" spans="1:8" x14ac:dyDescent="0.3">
      <c r="A573" t="s">
        <v>680</v>
      </c>
      <c r="B573" t="s">
        <v>27</v>
      </c>
      <c r="C573">
        <v>46058</v>
      </c>
      <c r="D573">
        <v>224.91</v>
      </c>
      <c r="E573">
        <v>226.31</v>
      </c>
      <c r="F573">
        <v>220.38</v>
      </c>
      <c r="G573">
        <v>222.69</v>
      </c>
      <c r="H573">
        <v>232.99</v>
      </c>
    </row>
    <row r="574" spans="1:8" x14ac:dyDescent="0.3">
      <c r="A574" t="s">
        <v>681</v>
      </c>
      <c r="B574" t="s">
        <v>27</v>
      </c>
      <c r="C574">
        <v>46059</v>
      </c>
      <c r="D574">
        <v>202.7</v>
      </c>
      <c r="E574">
        <v>211.44</v>
      </c>
      <c r="F574">
        <v>200.31</v>
      </c>
      <c r="G574">
        <v>210.32</v>
      </c>
      <c r="H574">
        <v>222.69</v>
      </c>
    </row>
    <row r="575" spans="1:8" x14ac:dyDescent="0.3">
      <c r="A575" t="s">
        <v>682</v>
      </c>
      <c r="B575" t="s">
        <v>27</v>
      </c>
      <c r="C575">
        <v>46062</v>
      </c>
      <c r="D575">
        <v>208.97</v>
      </c>
      <c r="E575">
        <v>212.81</v>
      </c>
      <c r="F575">
        <v>203.35</v>
      </c>
      <c r="G575">
        <v>208.72</v>
      </c>
      <c r="H575">
        <v>210.32</v>
      </c>
    </row>
    <row r="576" spans="1:8" x14ac:dyDescent="0.3">
      <c r="A576" t="s">
        <v>683</v>
      </c>
      <c r="B576" t="s">
        <v>27</v>
      </c>
      <c r="C576">
        <v>46063</v>
      </c>
      <c r="D576">
        <v>208.79499999999999</v>
      </c>
      <c r="E576">
        <v>212.6499</v>
      </c>
      <c r="F576">
        <v>206.411</v>
      </c>
      <c r="G576">
        <v>206.96</v>
      </c>
      <c r="H576">
        <v>208.72</v>
      </c>
    </row>
    <row r="577" spans="1:8" x14ac:dyDescent="0.3">
      <c r="A577" t="s">
        <v>684</v>
      </c>
      <c r="B577" t="s">
        <v>27</v>
      </c>
      <c r="C577">
        <v>46064</v>
      </c>
      <c r="D577">
        <v>208.06</v>
      </c>
      <c r="E577">
        <v>208.57</v>
      </c>
      <c r="F577">
        <v>202.49</v>
      </c>
      <c r="G577">
        <v>204.08</v>
      </c>
      <c r="H577">
        <v>206.96</v>
      </c>
    </row>
    <row r="578" spans="1:8" x14ac:dyDescent="0.3">
      <c r="A578" t="s">
        <v>685</v>
      </c>
      <c r="B578" t="s">
        <v>27</v>
      </c>
      <c r="C578">
        <v>46065</v>
      </c>
      <c r="D578">
        <v>203.96</v>
      </c>
      <c r="E578">
        <v>203.96</v>
      </c>
      <c r="F578">
        <v>197.56</v>
      </c>
      <c r="G578">
        <v>199.6</v>
      </c>
      <c r="H578">
        <v>204.08</v>
      </c>
    </row>
    <row r="579" spans="1:8" x14ac:dyDescent="0.3">
      <c r="A579" t="s">
        <v>686</v>
      </c>
      <c r="B579" t="s">
        <v>27</v>
      </c>
      <c r="C579">
        <v>46066</v>
      </c>
      <c r="D579">
        <v>198.88</v>
      </c>
      <c r="E579">
        <v>201.16</v>
      </c>
      <c r="F579">
        <v>197.27500000000001</v>
      </c>
      <c r="G579">
        <v>198.79</v>
      </c>
      <c r="H579">
        <v>199.6</v>
      </c>
    </row>
    <row r="580" spans="1:8" x14ac:dyDescent="0.3">
      <c r="A580" t="s">
        <v>687</v>
      </c>
      <c r="B580" t="s">
        <v>27</v>
      </c>
      <c r="C580">
        <v>46070</v>
      </c>
      <c r="D580">
        <v>198.125</v>
      </c>
      <c r="E580">
        <v>201.7362</v>
      </c>
      <c r="F580">
        <v>196</v>
      </c>
      <c r="G580">
        <v>201.15</v>
      </c>
      <c r="H580">
        <v>198.79</v>
      </c>
    </row>
    <row r="581" spans="1:8" x14ac:dyDescent="0.3">
      <c r="A581" t="s">
        <v>688</v>
      </c>
      <c r="B581" t="s">
        <v>27</v>
      </c>
      <c r="C581">
        <v>46071</v>
      </c>
      <c r="D581">
        <v>202.07</v>
      </c>
      <c r="E581">
        <v>206.86</v>
      </c>
      <c r="F581">
        <v>201.51</v>
      </c>
      <c r="G581">
        <v>204.79</v>
      </c>
      <c r="H581">
        <v>201.15</v>
      </c>
    </row>
    <row r="582" spans="1:8" x14ac:dyDescent="0.3">
      <c r="A582" t="s">
        <v>689</v>
      </c>
      <c r="B582" t="s">
        <v>27</v>
      </c>
      <c r="C582">
        <v>46072</v>
      </c>
      <c r="D582">
        <v>203.8</v>
      </c>
      <c r="E582">
        <v>205.6396</v>
      </c>
      <c r="F582">
        <v>202.81</v>
      </c>
      <c r="G582">
        <v>204.86</v>
      </c>
      <c r="H582">
        <v>204.79</v>
      </c>
    </row>
    <row r="583" spans="1:8" x14ac:dyDescent="0.3">
      <c r="A583" t="s">
        <v>690</v>
      </c>
      <c r="B583" t="s">
        <v>27</v>
      </c>
      <c r="C583">
        <v>46073</v>
      </c>
      <c r="D583">
        <v>204.76</v>
      </c>
      <c r="E583">
        <v>211.17</v>
      </c>
      <c r="F583">
        <v>203.75</v>
      </c>
      <c r="G583">
        <v>210.11</v>
      </c>
      <c r="H583">
        <v>204.86</v>
      </c>
    </row>
    <row r="584" spans="1:8" x14ac:dyDescent="0.3">
      <c r="A584" t="s">
        <v>691</v>
      </c>
      <c r="B584" t="s">
        <v>27</v>
      </c>
      <c r="C584">
        <v>46076</v>
      </c>
      <c r="D584">
        <v>208.095</v>
      </c>
      <c r="E584">
        <v>208.43</v>
      </c>
      <c r="F584">
        <v>203.11</v>
      </c>
      <c r="G584">
        <v>205.27</v>
      </c>
      <c r="H584">
        <v>210.11</v>
      </c>
    </row>
    <row r="585" spans="1:8" x14ac:dyDescent="0.3">
      <c r="A585" t="s">
        <v>692</v>
      </c>
      <c r="B585" t="s">
        <v>27</v>
      </c>
      <c r="C585">
        <v>46077</v>
      </c>
      <c r="D585">
        <v>205.47</v>
      </c>
      <c r="E585">
        <v>210.36</v>
      </c>
      <c r="F585">
        <v>203.25</v>
      </c>
      <c r="G585">
        <v>208.56</v>
      </c>
      <c r="H585">
        <v>205.27</v>
      </c>
    </row>
    <row r="586" spans="1:8" x14ac:dyDescent="0.3">
      <c r="A586" t="s">
        <v>693</v>
      </c>
      <c r="B586" t="s">
        <v>25</v>
      </c>
      <c r="C586">
        <v>45650</v>
      </c>
      <c r="D586">
        <v>194.84</v>
      </c>
      <c r="E586">
        <v>196.11</v>
      </c>
      <c r="F586">
        <v>193.78</v>
      </c>
      <c r="G586">
        <v>196.11</v>
      </c>
      <c r="H586">
        <v>194.63</v>
      </c>
    </row>
    <row r="587" spans="1:8" x14ac:dyDescent="0.3">
      <c r="A587" t="s">
        <v>694</v>
      </c>
      <c r="B587" t="s">
        <v>25</v>
      </c>
      <c r="C587">
        <v>45652</v>
      </c>
      <c r="D587">
        <v>195.15</v>
      </c>
      <c r="E587">
        <v>196.74799999999999</v>
      </c>
      <c r="F587">
        <v>194.375</v>
      </c>
      <c r="G587">
        <v>195.6</v>
      </c>
      <c r="H587">
        <v>196.11</v>
      </c>
    </row>
    <row r="588" spans="1:8" x14ac:dyDescent="0.3">
      <c r="A588" t="s">
        <v>695</v>
      </c>
      <c r="B588" t="s">
        <v>25</v>
      </c>
      <c r="C588">
        <v>45653</v>
      </c>
      <c r="D588">
        <v>194.95</v>
      </c>
      <c r="E588">
        <v>195.32</v>
      </c>
      <c r="F588">
        <v>190.65</v>
      </c>
      <c r="G588">
        <v>192.76</v>
      </c>
      <c r="H588">
        <v>195.6</v>
      </c>
    </row>
    <row r="589" spans="1:8" x14ac:dyDescent="0.3">
      <c r="A589" t="s">
        <v>696</v>
      </c>
      <c r="B589" t="s">
        <v>25</v>
      </c>
      <c r="C589">
        <v>45656</v>
      </c>
      <c r="D589">
        <v>189.8</v>
      </c>
      <c r="E589">
        <v>192.55</v>
      </c>
      <c r="F589">
        <v>189.12</v>
      </c>
      <c r="G589">
        <v>191.24</v>
      </c>
      <c r="H589">
        <v>192.76</v>
      </c>
    </row>
    <row r="590" spans="1:8" x14ac:dyDescent="0.3">
      <c r="A590" t="s">
        <v>697</v>
      </c>
      <c r="B590" t="s">
        <v>25</v>
      </c>
      <c r="C590">
        <v>45657</v>
      </c>
      <c r="D590">
        <v>191.07499999999999</v>
      </c>
      <c r="E590">
        <v>191.96</v>
      </c>
      <c r="F590">
        <v>188.51</v>
      </c>
      <c r="G590">
        <v>189.3</v>
      </c>
      <c r="H590">
        <v>191.24</v>
      </c>
    </row>
    <row r="591" spans="1:8" x14ac:dyDescent="0.3">
      <c r="A591" t="s">
        <v>698</v>
      </c>
      <c r="B591" t="s">
        <v>25</v>
      </c>
      <c r="C591">
        <v>45659</v>
      </c>
      <c r="D591">
        <v>190.65</v>
      </c>
      <c r="E591">
        <v>192</v>
      </c>
      <c r="F591">
        <v>187.5</v>
      </c>
      <c r="G591">
        <v>189.43</v>
      </c>
      <c r="H591">
        <v>189.3</v>
      </c>
    </row>
    <row r="592" spans="1:8" x14ac:dyDescent="0.3">
      <c r="A592" t="s">
        <v>699</v>
      </c>
      <c r="B592" t="s">
        <v>25</v>
      </c>
      <c r="C592">
        <v>45660</v>
      </c>
      <c r="D592">
        <v>191.37</v>
      </c>
      <c r="E592">
        <v>193.21</v>
      </c>
      <c r="F592">
        <v>189.97499999999999</v>
      </c>
      <c r="G592">
        <v>191.79</v>
      </c>
      <c r="H592">
        <v>189.43</v>
      </c>
    </row>
    <row r="593" spans="1:8" x14ac:dyDescent="0.3">
      <c r="A593" t="s">
        <v>700</v>
      </c>
      <c r="B593" t="s">
        <v>25</v>
      </c>
      <c r="C593">
        <v>45663</v>
      </c>
      <c r="D593">
        <v>193.98</v>
      </c>
      <c r="E593">
        <v>198.22219999999999</v>
      </c>
      <c r="F593">
        <v>193.85</v>
      </c>
      <c r="G593">
        <v>196.87</v>
      </c>
      <c r="H593">
        <v>191.79</v>
      </c>
    </row>
    <row r="594" spans="1:8" x14ac:dyDescent="0.3">
      <c r="A594" t="s">
        <v>701</v>
      </c>
      <c r="B594" t="s">
        <v>25</v>
      </c>
      <c r="C594">
        <v>45664</v>
      </c>
      <c r="D594">
        <v>197.11</v>
      </c>
      <c r="E594">
        <v>201</v>
      </c>
      <c r="F594">
        <v>194.6</v>
      </c>
      <c r="G594">
        <v>195.49</v>
      </c>
      <c r="H594">
        <v>196.87</v>
      </c>
    </row>
    <row r="595" spans="1:8" x14ac:dyDescent="0.3">
      <c r="A595" t="s">
        <v>702</v>
      </c>
      <c r="B595" t="s">
        <v>25</v>
      </c>
      <c r="C595">
        <v>45665</v>
      </c>
      <c r="D595">
        <v>192.57</v>
      </c>
      <c r="E595">
        <v>196.29</v>
      </c>
      <c r="F595">
        <v>192.38</v>
      </c>
      <c r="G595">
        <v>193.95</v>
      </c>
      <c r="H595">
        <v>195.49</v>
      </c>
    </row>
    <row r="596" spans="1:8" x14ac:dyDescent="0.3">
      <c r="A596" t="s">
        <v>703</v>
      </c>
      <c r="B596" t="s">
        <v>25</v>
      </c>
      <c r="C596">
        <v>45667</v>
      </c>
      <c r="D596">
        <v>194.29499999999999</v>
      </c>
      <c r="E596">
        <v>196.52</v>
      </c>
      <c r="F596">
        <v>190.31</v>
      </c>
      <c r="G596">
        <v>192.04</v>
      </c>
      <c r="H596">
        <v>193.95</v>
      </c>
    </row>
    <row r="597" spans="1:8" x14ac:dyDescent="0.3">
      <c r="A597" t="s">
        <v>704</v>
      </c>
      <c r="B597" t="s">
        <v>25</v>
      </c>
      <c r="C597">
        <v>45670</v>
      </c>
      <c r="D597">
        <v>190.07</v>
      </c>
      <c r="E597">
        <v>191.18</v>
      </c>
      <c r="F597">
        <v>187.36</v>
      </c>
      <c r="G597">
        <v>191.01</v>
      </c>
      <c r="H597">
        <v>192.04</v>
      </c>
    </row>
    <row r="598" spans="1:8" x14ac:dyDescent="0.3">
      <c r="A598" t="s">
        <v>705</v>
      </c>
      <c r="B598" t="s">
        <v>25</v>
      </c>
      <c r="C598">
        <v>45671</v>
      </c>
      <c r="D598">
        <v>191.24</v>
      </c>
      <c r="E598">
        <v>191.98</v>
      </c>
      <c r="F598">
        <v>188.3082</v>
      </c>
      <c r="G598">
        <v>189.66</v>
      </c>
      <c r="H598">
        <v>191.01</v>
      </c>
    </row>
    <row r="599" spans="1:8" x14ac:dyDescent="0.3">
      <c r="A599" t="s">
        <v>706</v>
      </c>
      <c r="B599" t="s">
        <v>25</v>
      </c>
      <c r="C599">
        <v>45672</v>
      </c>
      <c r="D599">
        <v>193.09</v>
      </c>
      <c r="E599">
        <v>196.36</v>
      </c>
      <c r="F599">
        <v>191.86</v>
      </c>
      <c r="G599">
        <v>195.55</v>
      </c>
      <c r="H599">
        <v>189.66</v>
      </c>
    </row>
    <row r="600" spans="1:8" x14ac:dyDescent="0.3">
      <c r="A600" t="s">
        <v>707</v>
      </c>
      <c r="B600" t="s">
        <v>25</v>
      </c>
      <c r="C600">
        <v>45673</v>
      </c>
      <c r="D600">
        <v>194.14</v>
      </c>
      <c r="E600">
        <v>195.48</v>
      </c>
      <c r="F600">
        <v>192.81</v>
      </c>
      <c r="G600">
        <v>192.91</v>
      </c>
      <c r="H600">
        <v>195.55</v>
      </c>
    </row>
    <row r="601" spans="1:8" x14ac:dyDescent="0.3">
      <c r="A601" t="s">
        <v>708</v>
      </c>
      <c r="B601" t="s">
        <v>25</v>
      </c>
      <c r="C601">
        <v>45674</v>
      </c>
      <c r="D601">
        <v>196.53</v>
      </c>
      <c r="E601">
        <v>197.23</v>
      </c>
      <c r="F601">
        <v>193.75</v>
      </c>
      <c r="G601">
        <v>196</v>
      </c>
      <c r="H601">
        <v>192.91</v>
      </c>
    </row>
    <row r="602" spans="1:8" x14ac:dyDescent="0.3">
      <c r="A602" t="s">
        <v>709</v>
      </c>
      <c r="B602" t="s">
        <v>25</v>
      </c>
      <c r="C602">
        <v>45678</v>
      </c>
      <c r="D602">
        <v>199.07</v>
      </c>
      <c r="E602">
        <v>202.29</v>
      </c>
      <c r="F602">
        <v>197.87</v>
      </c>
      <c r="G602">
        <v>198.05</v>
      </c>
      <c r="H602">
        <v>196</v>
      </c>
    </row>
    <row r="603" spans="1:8" x14ac:dyDescent="0.3">
      <c r="A603" t="s">
        <v>710</v>
      </c>
      <c r="B603" t="s">
        <v>25</v>
      </c>
      <c r="C603">
        <v>45679</v>
      </c>
      <c r="D603">
        <v>199.06</v>
      </c>
      <c r="E603">
        <v>200.48</v>
      </c>
      <c r="F603">
        <v>197.53</v>
      </c>
      <c r="G603">
        <v>198.37</v>
      </c>
      <c r="H603">
        <v>198.05</v>
      </c>
    </row>
    <row r="604" spans="1:8" x14ac:dyDescent="0.3">
      <c r="A604" t="s">
        <v>711</v>
      </c>
      <c r="B604" t="s">
        <v>25</v>
      </c>
      <c r="C604">
        <v>45680</v>
      </c>
      <c r="D604">
        <v>198.14</v>
      </c>
      <c r="E604">
        <v>200.3</v>
      </c>
      <c r="F604">
        <v>195.2</v>
      </c>
      <c r="G604">
        <v>197.98</v>
      </c>
      <c r="H604">
        <v>198.37</v>
      </c>
    </row>
    <row r="605" spans="1:8" x14ac:dyDescent="0.3">
      <c r="A605" t="s">
        <v>712</v>
      </c>
      <c r="B605" t="s">
        <v>25</v>
      </c>
      <c r="C605">
        <v>45681</v>
      </c>
      <c r="D605">
        <v>198.1</v>
      </c>
      <c r="E605">
        <v>200.9</v>
      </c>
      <c r="F605">
        <v>198</v>
      </c>
      <c r="G605">
        <v>200.21</v>
      </c>
      <c r="H605">
        <v>197.98</v>
      </c>
    </row>
    <row r="606" spans="1:8" x14ac:dyDescent="0.3">
      <c r="A606" t="s">
        <v>713</v>
      </c>
      <c r="B606" t="s">
        <v>25</v>
      </c>
      <c r="C606">
        <v>45684</v>
      </c>
      <c r="D606">
        <v>192.41</v>
      </c>
      <c r="E606">
        <v>196.88</v>
      </c>
      <c r="F606">
        <v>190.73</v>
      </c>
      <c r="G606">
        <v>191.81</v>
      </c>
      <c r="H606">
        <v>200.21</v>
      </c>
    </row>
    <row r="607" spans="1:8" x14ac:dyDescent="0.3">
      <c r="A607" t="s">
        <v>714</v>
      </c>
      <c r="B607" t="s">
        <v>25</v>
      </c>
      <c r="C607">
        <v>45685</v>
      </c>
      <c r="D607">
        <v>192.745</v>
      </c>
      <c r="E607">
        <v>195.48</v>
      </c>
      <c r="F607">
        <v>190.68</v>
      </c>
      <c r="G607">
        <v>195.3</v>
      </c>
      <c r="H607">
        <v>191.81</v>
      </c>
    </row>
    <row r="608" spans="1:8" x14ac:dyDescent="0.3">
      <c r="A608" t="s">
        <v>715</v>
      </c>
      <c r="B608" t="s">
        <v>25</v>
      </c>
      <c r="C608">
        <v>45686</v>
      </c>
      <c r="D608">
        <v>195.55500000000001</v>
      </c>
      <c r="E608">
        <v>196.785</v>
      </c>
      <c r="F608">
        <v>193.43</v>
      </c>
      <c r="G608">
        <v>195.41</v>
      </c>
      <c r="H608">
        <v>195.3</v>
      </c>
    </row>
    <row r="609" spans="1:8" x14ac:dyDescent="0.3">
      <c r="A609" t="s">
        <v>716</v>
      </c>
      <c r="B609" t="s">
        <v>25</v>
      </c>
      <c r="C609">
        <v>45687</v>
      </c>
      <c r="D609">
        <v>198</v>
      </c>
      <c r="E609">
        <v>201.4</v>
      </c>
      <c r="F609">
        <v>197.67</v>
      </c>
      <c r="G609">
        <v>200.87</v>
      </c>
      <c r="H609">
        <v>195.41</v>
      </c>
    </row>
    <row r="610" spans="1:8" x14ac:dyDescent="0.3">
      <c r="A610" t="s">
        <v>717</v>
      </c>
      <c r="B610" t="s">
        <v>25</v>
      </c>
      <c r="C610">
        <v>45688</v>
      </c>
      <c r="D610">
        <v>202</v>
      </c>
      <c r="E610">
        <v>205.48</v>
      </c>
      <c r="F610">
        <v>201.8</v>
      </c>
      <c r="G610">
        <v>204.02</v>
      </c>
      <c r="H610">
        <v>200.87</v>
      </c>
    </row>
    <row r="611" spans="1:8" x14ac:dyDescent="0.3">
      <c r="A611" t="s">
        <v>718</v>
      </c>
      <c r="B611" t="s">
        <v>25</v>
      </c>
      <c r="C611">
        <v>45691</v>
      </c>
      <c r="D611">
        <v>200.69</v>
      </c>
      <c r="E611">
        <v>203.75</v>
      </c>
      <c r="F611">
        <v>200.1</v>
      </c>
      <c r="G611">
        <v>201.23</v>
      </c>
      <c r="H611">
        <v>204.02</v>
      </c>
    </row>
    <row r="612" spans="1:8" x14ac:dyDescent="0.3">
      <c r="A612" t="s">
        <v>719</v>
      </c>
      <c r="B612" t="s">
        <v>25</v>
      </c>
      <c r="C612">
        <v>45692</v>
      </c>
      <c r="D612">
        <v>203.39</v>
      </c>
      <c r="E612">
        <v>207.05</v>
      </c>
      <c r="F612">
        <v>202.81</v>
      </c>
      <c r="G612">
        <v>206.38</v>
      </c>
      <c r="H612">
        <v>201.23</v>
      </c>
    </row>
    <row r="613" spans="1:8" x14ac:dyDescent="0.3">
      <c r="A613" t="s">
        <v>720</v>
      </c>
      <c r="B613" t="s">
        <v>25</v>
      </c>
      <c r="C613">
        <v>45693</v>
      </c>
      <c r="D613">
        <v>191.07</v>
      </c>
      <c r="E613">
        <v>192.75</v>
      </c>
      <c r="F613">
        <v>188.03</v>
      </c>
      <c r="G613">
        <v>191.33</v>
      </c>
      <c r="H613">
        <v>206.38</v>
      </c>
    </row>
    <row r="614" spans="1:8" x14ac:dyDescent="0.3">
      <c r="A614" t="s">
        <v>721</v>
      </c>
      <c r="B614" t="s">
        <v>25</v>
      </c>
      <c r="C614">
        <v>45694</v>
      </c>
      <c r="D614">
        <v>189.5</v>
      </c>
      <c r="E614">
        <v>192.1</v>
      </c>
      <c r="F614">
        <v>188.72</v>
      </c>
      <c r="G614">
        <v>191.6</v>
      </c>
      <c r="H614">
        <v>191.33</v>
      </c>
    </row>
    <row r="615" spans="1:8" x14ac:dyDescent="0.3">
      <c r="A615" t="s">
        <v>722</v>
      </c>
      <c r="B615" t="s">
        <v>25</v>
      </c>
      <c r="C615">
        <v>45695</v>
      </c>
      <c r="D615">
        <v>191.05</v>
      </c>
      <c r="E615">
        <v>191.18</v>
      </c>
      <c r="F615">
        <v>183.24</v>
      </c>
      <c r="G615">
        <v>185.34</v>
      </c>
      <c r="H615">
        <v>191.6</v>
      </c>
    </row>
    <row r="616" spans="1:8" x14ac:dyDescent="0.3">
      <c r="A616" t="s">
        <v>723</v>
      </c>
      <c r="B616" t="s">
        <v>25</v>
      </c>
      <c r="C616">
        <v>45698</v>
      </c>
      <c r="D616">
        <v>187.35</v>
      </c>
      <c r="E616">
        <v>188.2</v>
      </c>
      <c r="F616">
        <v>185.86</v>
      </c>
      <c r="G616">
        <v>186.47</v>
      </c>
      <c r="H616">
        <v>185.34</v>
      </c>
    </row>
    <row r="617" spans="1:8" x14ac:dyDescent="0.3">
      <c r="A617" t="s">
        <v>724</v>
      </c>
      <c r="B617" t="s">
        <v>25</v>
      </c>
      <c r="C617">
        <v>45699</v>
      </c>
      <c r="D617">
        <v>185.03</v>
      </c>
      <c r="E617">
        <v>186.94</v>
      </c>
      <c r="F617">
        <v>184.28</v>
      </c>
      <c r="G617">
        <v>185.32</v>
      </c>
      <c r="H617">
        <v>186.47</v>
      </c>
    </row>
    <row r="618" spans="1:8" x14ac:dyDescent="0.3">
      <c r="A618" t="s">
        <v>725</v>
      </c>
      <c r="B618" t="s">
        <v>25</v>
      </c>
      <c r="C618">
        <v>45700</v>
      </c>
      <c r="D618">
        <v>183.22</v>
      </c>
      <c r="E618">
        <v>185.11</v>
      </c>
      <c r="F618">
        <v>181.83</v>
      </c>
      <c r="G618">
        <v>183.61</v>
      </c>
      <c r="H618">
        <v>185.32</v>
      </c>
    </row>
    <row r="619" spans="1:8" x14ac:dyDescent="0.3">
      <c r="A619" t="s">
        <v>726</v>
      </c>
      <c r="B619" t="s">
        <v>25</v>
      </c>
      <c r="C619">
        <v>45701</v>
      </c>
      <c r="D619">
        <v>184.32</v>
      </c>
      <c r="E619">
        <v>186.28</v>
      </c>
      <c r="F619">
        <v>183.14</v>
      </c>
      <c r="G619">
        <v>186.14</v>
      </c>
      <c r="H619">
        <v>183.61</v>
      </c>
    </row>
    <row r="620" spans="1:8" x14ac:dyDescent="0.3">
      <c r="A620" t="s">
        <v>727</v>
      </c>
      <c r="B620" t="s">
        <v>25</v>
      </c>
      <c r="C620">
        <v>45702</v>
      </c>
      <c r="D620">
        <v>185.05500000000001</v>
      </c>
      <c r="E620">
        <v>186.4</v>
      </c>
      <c r="F620">
        <v>184.32</v>
      </c>
      <c r="G620">
        <v>185.23</v>
      </c>
      <c r="H620">
        <v>186.14</v>
      </c>
    </row>
    <row r="621" spans="1:8" x14ac:dyDescent="0.3">
      <c r="A621" t="s">
        <v>728</v>
      </c>
      <c r="B621" t="s">
        <v>25</v>
      </c>
      <c r="C621">
        <v>45706</v>
      </c>
      <c r="D621">
        <v>185.6</v>
      </c>
      <c r="E621">
        <v>185.96</v>
      </c>
      <c r="F621">
        <v>181.74010000000001</v>
      </c>
      <c r="G621">
        <v>183.77</v>
      </c>
      <c r="H621">
        <v>185.23</v>
      </c>
    </row>
    <row r="622" spans="1:8" x14ac:dyDescent="0.3">
      <c r="A622" t="s">
        <v>729</v>
      </c>
      <c r="B622" t="s">
        <v>25</v>
      </c>
      <c r="C622">
        <v>45707</v>
      </c>
      <c r="D622">
        <v>184.07</v>
      </c>
      <c r="E622">
        <v>185.46</v>
      </c>
      <c r="F622">
        <v>183.59</v>
      </c>
      <c r="G622">
        <v>185.27</v>
      </c>
      <c r="H622">
        <v>183.77</v>
      </c>
    </row>
    <row r="623" spans="1:8" x14ac:dyDescent="0.3">
      <c r="A623" t="s">
        <v>730</v>
      </c>
      <c r="B623" t="s">
        <v>25</v>
      </c>
      <c r="C623">
        <v>45708</v>
      </c>
      <c r="D623">
        <v>184.8</v>
      </c>
      <c r="E623">
        <v>185.31</v>
      </c>
      <c r="F623">
        <v>182.72</v>
      </c>
      <c r="G623">
        <v>184.56</v>
      </c>
      <c r="H623">
        <v>185.27</v>
      </c>
    </row>
    <row r="624" spans="1:8" x14ac:dyDescent="0.3">
      <c r="A624" t="s">
        <v>731</v>
      </c>
      <c r="B624" t="s">
        <v>25</v>
      </c>
      <c r="C624">
        <v>45709</v>
      </c>
      <c r="D624">
        <v>185.15</v>
      </c>
      <c r="E624">
        <v>185.34</v>
      </c>
      <c r="F624">
        <v>179.08</v>
      </c>
      <c r="G624">
        <v>179.66</v>
      </c>
      <c r="H624">
        <v>184.56</v>
      </c>
    </row>
    <row r="625" spans="1:8" x14ac:dyDescent="0.3">
      <c r="A625" t="s">
        <v>732</v>
      </c>
      <c r="B625" t="s">
        <v>25</v>
      </c>
      <c r="C625">
        <v>45712</v>
      </c>
      <c r="D625">
        <v>181.99</v>
      </c>
      <c r="E625">
        <v>183.12</v>
      </c>
      <c r="F625">
        <v>178.88499999999999</v>
      </c>
      <c r="G625">
        <v>179.25</v>
      </c>
      <c r="H625">
        <v>179.66</v>
      </c>
    </row>
    <row r="626" spans="1:8" x14ac:dyDescent="0.3">
      <c r="A626" t="s">
        <v>733</v>
      </c>
      <c r="B626" t="s">
        <v>25</v>
      </c>
      <c r="C626">
        <v>45713</v>
      </c>
      <c r="D626">
        <v>178.04</v>
      </c>
      <c r="E626">
        <v>178.74</v>
      </c>
      <c r="F626">
        <v>174.69390000000001</v>
      </c>
      <c r="G626">
        <v>175.42</v>
      </c>
      <c r="H626">
        <v>179.25</v>
      </c>
    </row>
    <row r="627" spans="1:8" x14ac:dyDescent="0.3">
      <c r="A627" t="s">
        <v>734</v>
      </c>
      <c r="B627" t="s">
        <v>25</v>
      </c>
      <c r="C627">
        <v>45714</v>
      </c>
      <c r="D627">
        <v>175.07</v>
      </c>
      <c r="E627">
        <v>176.08</v>
      </c>
      <c r="F627">
        <v>171.58070000000001</v>
      </c>
      <c r="G627">
        <v>172.73</v>
      </c>
      <c r="H627">
        <v>175.42</v>
      </c>
    </row>
    <row r="628" spans="1:8" x14ac:dyDescent="0.3">
      <c r="A628" t="s">
        <v>735</v>
      </c>
      <c r="B628" t="s">
        <v>25</v>
      </c>
      <c r="C628">
        <v>45715</v>
      </c>
      <c r="D628">
        <v>173.99</v>
      </c>
      <c r="E628">
        <v>174.56</v>
      </c>
      <c r="F628">
        <v>167.94</v>
      </c>
      <c r="G628">
        <v>168.5</v>
      </c>
      <c r="H628">
        <v>172.73</v>
      </c>
    </row>
    <row r="629" spans="1:8" x14ac:dyDescent="0.3">
      <c r="A629" t="s">
        <v>736</v>
      </c>
      <c r="B629" t="s">
        <v>25</v>
      </c>
      <c r="C629">
        <v>45716</v>
      </c>
      <c r="D629">
        <v>168.68</v>
      </c>
      <c r="E629">
        <v>170.61</v>
      </c>
      <c r="F629">
        <v>166.77</v>
      </c>
      <c r="G629">
        <v>170.28</v>
      </c>
      <c r="H629">
        <v>168.5</v>
      </c>
    </row>
    <row r="630" spans="1:8" x14ac:dyDescent="0.3">
      <c r="A630" t="s">
        <v>737</v>
      </c>
      <c r="B630" t="s">
        <v>25</v>
      </c>
      <c r="C630">
        <v>45719</v>
      </c>
      <c r="D630">
        <v>171.92500000000001</v>
      </c>
      <c r="E630">
        <v>173.37</v>
      </c>
      <c r="F630">
        <v>165.93</v>
      </c>
      <c r="G630">
        <v>167.01</v>
      </c>
      <c r="H630">
        <v>170.28</v>
      </c>
    </row>
    <row r="631" spans="1:8" x14ac:dyDescent="0.3">
      <c r="A631" t="s">
        <v>738</v>
      </c>
      <c r="B631" t="s">
        <v>25</v>
      </c>
      <c r="C631">
        <v>45720</v>
      </c>
      <c r="D631">
        <v>166.24</v>
      </c>
      <c r="E631">
        <v>173.2946</v>
      </c>
      <c r="F631">
        <v>165.8</v>
      </c>
      <c r="G631">
        <v>170.92</v>
      </c>
      <c r="H631">
        <v>167.01</v>
      </c>
    </row>
    <row r="632" spans="1:8" x14ac:dyDescent="0.3">
      <c r="A632" t="s">
        <v>739</v>
      </c>
      <c r="B632" t="s">
        <v>25</v>
      </c>
      <c r="C632">
        <v>45721</v>
      </c>
      <c r="D632">
        <v>170.52</v>
      </c>
      <c r="E632">
        <v>173.78</v>
      </c>
      <c r="F632">
        <v>169.06</v>
      </c>
      <c r="G632">
        <v>173.02</v>
      </c>
      <c r="H632">
        <v>170.92</v>
      </c>
    </row>
    <row r="633" spans="1:8" x14ac:dyDescent="0.3">
      <c r="A633" t="s">
        <v>740</v>
      </c>
      <c r="B633" t="s">
        <v>25</v>
      </c>
      <c r="C633">
        <v>45722</v>
      </c>
      <c r="D633">
        <v>170.53</v>
      </c>
      <c r="E633">
        <v>174.81</v>
      </c>
      <c r="F633">
        <v>170.5</v>
      </c>
      <c r="G633">
        <v>172.35</v>
      </c>
      <c r="H633">
        <v>173.02</v>
      </c>
    </row>
    <row r="634" spans="1:8" x14ac:dyDescent="0.3">
      <c r="A634" t="s">
        <v>741</v>
      </c>
      <c r="B634" t="s">
        <v>25</v>
      </c>
      <c r="C634">
        <v>45723</v>
      </c>
      <c r="D634">
        <v>171.26</v>
      </c>
      <c r="E634">
        <v>174.97</v>
      </c>
      <c r="F634">
        <v>170.27</v>
      </c>
      <c r="G634">
        <v>173.86</v>
      </c>
      <c r="H634">
        <v>172.35</v>
      </c>
    </row>
    <row r="635" spans="1:8" x14ac:dyDescent="0.3">
      <c r="A635" t="s">
        <v>742</v>
      </c>
      <c r="B635" t="s">
        <v>25</v>
      </c>
      <c r="C635">
        <v>45726</v>
      </c>
      <c r="D635">
        <v>168.26</v>
      </c>
      <c r="E635">
        <v>168.46</v>
      </c>
      <c r="F635">
        <v>163.69</v>
      </c>
      <c r="G635">
        <v>165.87</v>
      </c>
      <c r="H635">
        <v>173.86</v>
      </c>
    </row>
    <row r="636" spans="1:8" x14ac:dyDescent="0.3">
      <c r="A636" t="s">
        <v>743</v>
      </c>
      <c r="B636" t="s">
        <v>25</v>
      </c>
      <c r="C636">
        <v>45727</v>
      </c>
      <c r="D636">
        <v>164.91</v>
      </c>
      <c r="E636">
        <v>166.75</v>
      </c>
      <c r="F636">
        <v>161.37</v>
      </c>
      <c r="G636">
        <v>164.04</v>
      </c>
      <c r="H636">
        <v>165.87</v>
      </c>
    </row>
    <row r="637" spans="1:8" x14ac:dyDescent="0.3">
      <c r="A637" t="s">
        <v>744</v>
      </c>
      <c r="B637" t="s">
        <v>25</v>
      </c>
      <c r="C637">
        <v>45728</v>
      </c>
      <c r="D637">
        <v>166.58</v>
      </c>
      <c r="E637">
        <v>167.63990000000001</v>
      </c>
      <c r="F637">
        <v>163.53</v>
      </c>
      <c r="G637">
        <v>167.11</v>
      </c>
      <c r="H637">
        <v>164.04</v>
      </c>
    </row>
    <row r="638" spans="1:8" x14ac:dyDescent="0.3">
      <c r="A638" t="s">
        <v>745</v>
      </c>
      <c r="B638" t="s">
        <v>25</v>
      </c>
      <c r="C638">
        <v>45729</v>
      </c>
      <c r="D638">
        <v>166.035</v>
      </c>
      <c r="E638">
        <v>166.13</v>
      </c>
      <c r="F638">
        <v>162.11000000000001</v>
      </c>
      <c r="G638">
        <v>162.76</v>
      </c>
      <c r="H638">
        <v>167.11</v>
      </c>
    </row>
    <row r="639" spans="1:8" x14ac:dyDescent="0.3">
      <c r="A639" t="s">
        <v>746</v>
      </c>
      <c r="B639" t="s">
        <v>25</v>
      </c>
      <c r="C639">
        <v>45730</v>
      </c>
      <c r="D639">
        <v>163.27000000000001</v>
      </c>
      <c r="E639">
        <v>166.49</v>
      </c>
      <c r="F639">
        <v>162.44999999999999</v>
      </c>
      <c r="G639">
        <v>165.49</v>
      </c>
      <c r="H639">
        <v>162.76</v>
      </c>
    </row>
    <row r="640" spans="1:8" x14ac:dyDescent="0.3">
      <c r="A640" t="s">
        <v>747</v>
      </c>
      <c r="B640" t="s">
        <v>25</v>
      </c>
      <c r="C640">
        <v>45733</v>
      </c>
      <c r="D640">
        <v>165.03</v>
      </c>
      <c r="E640">
        <v>166.3</v>
      </c>
      <c r="F640">
        <v>163.66999999999999</v>
      </c>
      <c r="G640">
        <v>164.29</v>
      </c>
      <c r="H640">
        <v>165.49</v>
      </c>
    </row>
    <row r="641" spans="1:8" x14ac:dyDescent="0.3">
      <c r="A641" t="s">
        <v>748</v>
      </c>
      <c r="B641" t="s">
        <v>25</v>
      </c>
      <c r="C641">
        <v>45734</v>
      </c>
      <c r="D641">
        <v>163.67500000000001</v>
      </c>
      <c r="E641">
        <v>164.25</v>
      </c>
      <c r="F641">
        <v>156.72</v>
      </c>
      <c r="G641">
        <v>160.66999999999999</v>
      </c>
      <c r="H641">
        <v>164.29</v>
      </c>
    </row>
    <row r="642" spans="1:8" x14ac:dyDescent="0.3">
      <c r="A642" t="s">
        <v>749</v>
      </c>
      <c r="B642" t="s">
        <v>25</v>
      </c>
      <c r="C642">
        <v>45735</v>
      </c>
      <c r="D642">
        <v>161.76</v>
      </c>
      <c r="E642">
        <v>165.87</v>
      </c>
      <c r="F642">
        <v>161</v>
      </c>
      <c r="G642">
        <v>163.89</v>
      </c>
      <c r="H642">
        <v>160.66999999999999</v>
      </c>
    </row>
    <row r="643" spans="1:8" x14ac:dyDescent="0.3">
      <c r="A643" t="s">
        <v>750</v>
      </c>
      <c r="B643" t="s">
        <v>25</v>
      </c>
      <c r="C643">
        <v>45736</v>
      </c>
      <c r="D643">
        <v>161.57</v>
      </c>
      <c r="E643">
        <v>164.89</v>
      </c>
      <c r="F643">
        <v>160.96</v>
      </c>
      <c r="G643">
        <v>162.80000000000001</v>
      </c>
      <c r="H643">
        <v>163.89</v>
      </c>
    </row>
    <row r="644" spans="1:8" x14ac:dyDescent="0.3">
      <c r="A644" t="s">
        <v>751</v>
      </c>
      <c r="B644" t="s">
        <v>25</v>
      </c>
      <c r="C644">
        <v>45737</v>
      </c>
      <c r="D644">
        <v>161.20500000000001</v>
      </c>
      <c r="E644">
        <v>164.24</v>
      </c>
      <c r="F644">
        <v>160.89009999999999</v>
      </c>
      <c r="G644">
        <v>163.99</v>
      </c>
      <c r="H644">
        <v>162.80000000000001</v>
      </c>
    </row>
    <row r="645" spans="1:8" x14ac:dyDescent="0.3">
      <c r="A645" t="s">
        <v>752</v>
      </c>
      <c r="B645" t="s">
        <v>25</v>
      </c>
      <c r="C645">
        <v>45740</v>
      </c>
      <c r="D645">
        <v>167.065</v>
      </c>
      <c r="E645">
        <v>168.32</v>
      </c>
      <c r="F645">
        <v>165.14</v>
      </c>
      <c r="G645">
        <v>167.68</v>
      </c>
      <c r="H645">
        <v>163.99</v>
      </c>
    </row>
    <row r="646" spans="1:8" x14ac:dyDescent="0.3">
      <c r="A646" t="s">
        <v>753</v>
      </c>
      <c r="B646" t="s">
        <v>25</v>
      </c>
      <c r="C646">
        <v>45741</v>
      </c>
      <c r="D646">
        <v>168.98</v>
      </c>
      <c r="E646">
        <v>170.63</v>
      </c>
      <c r="F646">
        <v>168.315</v>
      </c>
      <c r="G646">
        <v>170.56</v>
      </c>
      <c r="H646">
        <v>167.68</v>
      </c>
    </row>
    <row r="647" spans="1:8" x14ac:dyDescent="0.3">
      <c r="A647" t="s">
        <v>754</v>
      </c>
      <c r="B647" t="s">
        <v>25</v>
      </c>
      <c r="C647">
        <v>45742</v>
      </c>
      <c r="D647">
        <v>169</v>
      </c>
      <c r="E647">
        <v>169.61</v>
      </c>
      <c r="F647">
        <v>164.84</v>
      </c>
      <c r="G647">
        <v>165.06</v>
      </c>
      <c r="H647">
        <v>170.56</v>
      </c>
    </row>
    <row r="648" spans="1:8" x14ac:dyDescent="0.3">
      <c r="A648" t="s">
        <v>755</v>
      </c>
      <c r="B648" t="s">
        <v>25</v>
      </c>
      <c r="C648">
        <v>45743</v>
      </c>
      <c r="D648">
        <v>164.63</v>
      </c>
      <c r="E648">
        <v>165.42</v>
      </c>
      <c r="F648">
        <v>162</v>
      </c>
      <c r="G648">
        <v>162.24</v>
      </c>
      <c r="H648">
        <v>165.06</v>
      </c>
    </row>
    <row r="649" spans="1:8" x14ac:dyDescent="0.3">
      <c r="A649" t="s">
        <v>756</v>
      </c>
      <c r="B649" t="s">
        <v>25</v>
      </c>
      <c r="C649">
        <v>45744</v>
      </c>
      <c r="D649">
        <v>160.49</v>
      </c>
      <c r="E649">
        <v>161.82</v>
      </c>
      <c r="F649">
        <v>153.63</v>
      </c>
      <c r="G649">
        <v>154.33000000000001</v>
      </c>
      <c r="H649">
        <v>162.24</v>
      </c>
    </row>
    <row r="650" spans="1:8" x14ac:dyDescent="0.3">
      <c r="A650" t="s">
        <v>102</v>
      </c>
      <c r="B650" t="s">
        <v>25</v>
      </c>
      <c r="C650">
        <v>45747</v>
      </c>
      <c r="D650">
        <v>153.11000000000001</v>
      </c>
      <c r="E650">
        <v>155.54</v>
      </c>
      <c r="F650">
        <v>150.66200000000001</v>
      </c>
      <c r="G650">
        <v>154.63999999999999</v>
      </c>
      <c r="H650">
        <v>154.33000000000001</v>
      </c>
    </row>
    <row r="651" spans="1:8" x14ac:dyDescent="0.3">
      <c r="A651" t="s">
        <v>757</v>
      </c>
      <c r="B651" t="s">
        <v>25</v>
      </c>
      <c r="C651">
        <v>45748</v>
      </c>
      <c r="D651">
        <v>153.62</v>
      </c>
      <c r="E651">
        <v>158.1</v>
      </c>
      <c r="F651">
        <v>153.62</v>
      </c>
      <c r="G651">
        <v>157.07</v>
      </c>
      <c r="H651">
        <v>154.63999999999999</v>
      </c>
    </row>
    <row r="652" spans="1:8" x14ac:dyDescent="0.3">
      <c r="A652" t="s">
        <v>758</v>
      </c>
      <c r="B652" t="s">
        <v>25</v>
      </c>
      <c r="C652">
        <v>45749</v>
      </c>
      <c r="D652">
        <v>155.15</v>
      </c>
      <c r="E652">
        <v>158.40520000000001</v>
      </c>
      <c r="F652">
        <v>154.69999999999999</v>
      </c>
      <c r="G652">
        <v>157.04</v>
      </c>
      <c r="H652">
        <v>157.07</v>
      </c>
    </row>
    <row r="653" spans="1:8" x14ac:dyDescent="0.3">
      <c r="A653" t="s">
        <v>759</v>
      </c>
      <c r="B653" t="s">
        <v>25</v>
      </c>
      <c r="C653">
        <v>45750</v>
      </c>
      <c r="D653">
        <v>151.11000000000001</v>
      </c>
      <c r="E653">
        <v>152.7799</v>
      </c>
      <c r="F653">
        <v>150.38999999999999</v>
      </c>
      <c r="G653">
        <v>150.72</v>
      </c>
      <c r="H653">
        <v>157.04</v>
      </c>
    </row>
    <row r="654" spans="1:8" x14ac:dyDescent="0.3">
      <c r="A654" t="s">
        <v>760</v>
      </c>
      <c r="B654" t="s">
        <v>25</v>
      </c>
      <c r="C654">
        <v>45751</v>
      </c>
      <c r="D654">
        <v>148.01</v>
      </c>
      <c r="E654">
        <v>151.07</v>
      </c>
      <c r="F654">
        <v>145.38</v>
      </c>
      <c r="G654">
        <v>145.6</v>
      </c>
      <c r="H654">
        <v>150.72</v>
      </c>
    </row>
    <row r="655" spans="1:8" x14ac:dyDescent="0.3">
      <c r="A655" t="s">
        <v>761</v>
      </c>
      <c r="B655" t="s">
        <v>25</v>
      </c>
      <c r="C655">
        <v>45754</v>
      </c>
      <c r="D655">
        <v>141.55000000000001</v>
      </c>
      <c r="E655">
        <v>152.85</v>
      </c>
      <c r="F655">
        <v>140.53</v>
      </c>
      <c r="G655">
        <v>146.75</v>
      </c>
      <c r="H655">
        <v>145.6</v>
      </c>
    </row>
    <row r="656" spans="1:8" x14ac:dyDescent="0.3">
      <c r="A656" t="s">
        <v>762</v>
      </c>
      <c r="B656" t="s">
        <v>25</v>
      </c>
      <c r="C656">
        <v>45755</v>
      </c>
      <c r="D656">
        <v>151.22</v>
      </c>
      <c r="E656">
        <v>152.24</v>
      </c>
      <c r="F656">
        <v>143.03</v>
      </c>
      <c r="G656">
        <v>144.69999999999999</v>
      </c>
      <c r="H656">
        <v>146.75</v>
      </c>
    </row>
    <row r="657" spans="1:8" x14ac:dyDescent="0.3">
      <c r="A657" t="s">
        <v>763</v>
      </c>
      <c r="B657" t="s">
        <v>25</v>
      </c>
      <c r="C657">
        <v>45756</v>
      </c>
      <c r="D657">
        <v>144.41499999999999</v>
      </c>
      <c r="E657">
        <v>159.55000000000001</v>
      </c>
      <c r="F657">
        <v>143.905</v>
      </c>
      <c r="G657">
        <v>158.71</v>
      </c>
      <c r="H657">
        <v>144.69999999999999</v>
      </c>
    </row>
    <row r="658" spans="1:8" x14ac:dyDescent="0.3">
      <c r="A658" t="s">
        <v>764</v>
      </c>
      <c r="B658" t="s">
        <v>25</v>
      </c>
      <c r="C658">
        <v>45757</v>
      </c>
      <c r="D658">
        <v>156.54</v>
      </c>
      <c r="E658">
        <v>157.72</v>
      </c>
      <c r="F658">
        <v>149.93</v>
      </c>
      <c r="G658">
        <v>152.82</v>
      </c>
      <c r="H658">
        <v>158.71</v>
      </c>
    </row>
    <row r="659" spans="1:8" x14ac:dyDescent="0.3">
      <c r="A659" t="s">
        <v>765</v>
      </c>
      <c r="B659" t="s">
        <v>25</v>
      </c>
      <c r="C659">
        <v>45758</v>
      </c>
      <c r="D659">
        <v>152.9</v>
      </c>
      <c r="E659">
        <v>157.66999999999999</v>
      </c>
      <c r="F659">
        <v>152.82</v>
      </c>
      <c r="G659">
        <v>157.13999999999999</v>
      </c>
      <c r="H659">
        <v>152.82</v>
      </c>
    </row>
    <row r="660" spans="1:8" x14ac:dyDescent="0.3">
      <c r="A660" t="s">
        <v>766</v>
      </c>
      <c r="B660" t="s">
        <v>25</v>
      </c>
      <c r="C660">
        <v>45761</v>
      </c>
      <c r="D660">
        <v>159.995</v>
      </c>
      <c r="E660">
        <v>161.72</v>
      </c>
      <c r="F660">
        <v>157.56</v>
      </c>
      <c r="G660">
        <v>159.07</v>
      </c>
      <c r="H660">
        <v>157.13999999999999</v>
      </c>
    </row>
    <row r="661" spans="1:8" x14ac:dyDescent="0.3">
      <c r="A661" t="s">
        <v>767</v>
      </c>
      <c r="B661" t="s">
        <v>25</v>
      </c>
      <c r="C661">
        <v>45762</v>
      </c>
      <c r="D661">
        <v>159.125</v>
      </c>
      <c r="E661">
        <v>159.65</v>
      </c>
      <c r="F661">
        <v>155.21</v>
      </c>
      <c r="G661">
        <v>156.31</v>
      </c>
      <c r="H661">
        <v>159.07</v>
      </c>
    </row>
    <row r="662" spans="1:8" x14ac:dyDescent="0.3">
      <c r="A662" t="s">
        <v>768</v>
      </c>
      <c r="B662" t="s">
        <v>25</v>
      </c>
      <c r="C662">
        <v>45763</v>
      </c>
      <c r="D662">
        <v>153.1</v>
      </c>
      <c r="E662">
        <v>155.88999999999999</v>
      </c>
      <c r="F662">
        <v>151.51</v>
      </c>
      <c r="G662">
        <v>153.33000000000001</v>
      </c>
      <c r="H662">
        <v>156.31</v>
      </c>
    </row>
    <row r="663" spans="1:8" x14ac:dyDescent="0.3">
      <c r="A663" t="s">
        <v>769</v>
      </c>
      <c r="B663" t="s">
        <v>25</v>
      </c>
      <c r="C663">
        <v>45764</v>
      </c>
      <c r="D663">
        <v>154.29</v>
      </c>
      <c r="E663">
        <v>154.68</v>
      </c>
      <c r="F663">
        <v>148.5</v>
      </c>
      <c r="G663">
        <v>151.16</v>
      </c>
      <c r="H663">
        <v>153.33000000000001</v>
      </c>
    </row>
    <row r="664" spans="1:8" x14ac:dyDescent="0.3">
      <c r="A664" t="s">
        <v>770</v>
      </c>
      <c r="B664" t="s">
        <v>25</v>
      </c>
      <c r="C664">
        <v>45768</v>
      </c>
      <c r="D664">
        <v>148.88</v>
      </c>
      <c r="E664">
        <v>148.94499999999999</v>
      </c>
      <c r="F664">
        <v>146.1</v>
      </c>
      <c r="G664">
        <v>147.66999999999999</v>
      </c>
      <c r="H664">
        <v>151.16</v>
      </c>
    </row>
    <row r="665" spans="1:8" x14ac:dyDescent="0.3">
      <c r="A665" t="s">
        <v>771</v>
      </c>
      <c r="B665" t="s">
        <v>25</v>
      </c>
      <c r="C665">
        <v>45769</v>
      </c>
      <c r="D665">
        <v>148.88999999999999</v>
      </c>
      <c r="E665">
        <v>152.19</v>
      </c>
      <c r="F665">
        <v>148.54</v>
      </c>
      <c r="G665">
        <v>151.47</v>
      </c>
      <c r="H665">
        <v>147.66999999999999</v>
      </c>
    </row>
    <row r="666" spans="1:8" x14ac:dyDescent="0.3">
      <c r="A666" t="s">
        <v>772</v>
      </c>
      <c r="B666" t="s">
        <v>25</v>
      </c>
      <c r="C666">
        <v>45770</v>
      </c>
      <c r="D666">
        <v>155.61000000000001</v>
      </c>
      <c r="E666">
        <v>157.52500000000001</v>
      </c>
      <c r="F666">
        <v>153.81</v>
      </c>
      <c r="G666">
        <v>155.35</v>
      </c>
      <c r="H666">
        <v>151.47</v>
      </c>
    </row>
    <row r="667" spans="1:8" x14ac:dyDescent="0.3">
      <c r="A667" t="s">
        <v>773</v>
      </c>
      <c r="B667" t="s">
        <v>25</v>
      </c>
      <c r="C667">
        <v>45771</v>
      </c>
      <c r="D667">
        <v>156.15</v>
      </c>
      <c r="E667">
        <v>159.59</v>
      </c>
      <c r="F667">
        <v>155.79</v>
      </c>
      <c r="G667">
        <v>159.28</v>
      </c>
      <c r="H667">
        <v>155.35</v>
      </c>
    </row>
    <row r="668" spans="1:8" x14ac:dyDescent="0.3">
      <c r="A668" t="s">
        <v>774</v>
      </c>
      <c r="B668" t="s">
        <v>25</v>
      </c>
      <c r="C668">
        <v>45772</v>
      </c>
      <c r="D668">
        <v>165.07</v>
      </c>
      <c r="E668">
        <v>166.1</v>
      </c>
      <c r="F668">
        <v>161.04</v>
      </c>
      <c r="G668">
        <v>161.96</v>
      </c>
      <c r="H668">
        <v>159.28</v>
      </c>
    </row>
    <row r="669" spans="1:8" x14ac:dyDescent="0.3">
      <c r="A669" t="s">
        <v>775</v>
      </c>
      <c r="B669" t="s">
        <v>25</v>
      </c>
      <c r="C669">
        <v>45775</v>
      </c>
      <c r="D669">
        <v>162.42500000000001</v>
      </c>
      <c r="E669">
        <v>163.15</v>
      </c>
      <c r="F669">
        <v>158.6</v>
      </c>
      <c r="G669">
        <v>160.61000000000001</v>
      </c>
      <c r="H669">
        <v>161.96</v>
      </c>
    </row>
    <row r="670" spans="1:8" x14ac:dyDescent="0.3">
      <c r="A670" t="s">
        <v>776</v>
      </c>
      <c r="B670" t="s">
        <v>25</v>
      </c>
      <c r="C670">
        <v>45776</v>
      </c>
      <c r="D670">
        <v>160.32499999999999</v>
      </c>
      <c r="E670">
        <v>160.74</v>
      </c>
      <c r="F670">
        <v>157.52000000000001</v>
      </c>
      <c r="G670">
        <v>160.16</v>
      </c>
      <c r="H670">
        <v>160.61000000000001</v>
      </c>
    </row>
    <row r="671" spans="1:8" x14ac:dyDescent="0.3">
      <c r="A671" t="s">
        <v>777</v>
      </c>
      <c r="B671" t="s">
        <v>25</v>
      </c>
      <c r="C671">
        <v>45777</v>
      </c>
      <c r="D671">
        <v>157.97499999999999</v>
      </c>
      <c r="E671">
        <v>159.27000000000001</v>
      </c>
      <c r="F671">
        <v>155.4</v>
      </c>
      <c r="G671">
        <v>158.80000000000001</v>
      </c>
      <c r="H671">
        <v>160.16</v>
      </c>
    </row>
    <row r="672" spans="1:8" x14ac:dyDescent="0.3">
      <c r="A672" t="s">
        <v>778</v>
      </c>
      <c r="B672" t="s">
        <v>25</v>
      </c>
      <c r="C672">
        <v>45778</v>
      </c>
      <c r="D672">
        <v>160.44999999999999</v>
      </c>
      <c r="E672">
        <v>161.94999999999999</v>
      </c>
      <c r="F672">
        <v>158.91</v>
      </c>
      <c r="G672">
        <v>161.30000000000001</v>
      </c>
      <c r="H672">
        <v>158.80000000000001</v>
      </c>
    </row>
    <row r="673" spans="1:8" x14ac:dyDescent="0.3">
      <c r="A673" t="s">
        <v>779</v>
      </c>
      <c r="B673" t="s">
        <v>25</v>
      </c>
      <c r="C673">
        <v>45779</v>
      </c>
      <c r="D673">
        <v>163.405</v>
      </c>
      <c r="E673">
        <v>164.97</v>
      </c>
      <c r="F673">
        <v>161.87</v>
      </c>
      <c r="G673">
        <v>164.03</v>
      </c>
      <c r="H673">
        <v>161.30000000000001</v>
      </c>
    </row>
    <row r="674" spans="1:8" x14ac:dyDescent="0.3">
      <c r="A674" t="s">
        <v>780</v>
      </c>
      <c r="B674" t="s">
        <v>25</v>
      </c>
      <c r="C674">
        <v>45782</v>
      </c>
      <c r="D674">
        <v>163</v>
      </c>
      <c r="E674">
        <v>165.39</v>
      </c>
      <c r="F674">
        <v>162.72</v>
      </c>
      <c r="G674">
        <v>164.21</v>
      </c>
      <c r="H674">
        <v>164.03</v>
      </c>
    </row>
    <row r="675" spans="1:8" x14ac:dyDescent="0.3">
      <c r="A675" t="s">
        <v>781</v>
      </c>
      <c r="B675" t="s">
        <v>25</v>
      </c>
      <c r="C675">
        <v>45783</v>
      </c>
      <c r="D675">
        <v>162.16999999999999</v>
      </c>
      <c r="E675">
        <v>164.8</v>
      </c>
      <c r="F675">
        <v>161.19</v>
      </c>
      <c r="G675">
        <v>163.22999999999999</v>
      </c>
      <c r="H675">
        <v>164.21</v>
      </c>
    </row>
    <row r="676" spans="1:8" x14ac:dyDescent="0.3">
      <c r="A676" t="s">
        <v>782</v>
      </c>
      <c r="B676" t="s">
        <v>25</v>
      </c>
      <c r="C676">
        <v>45784</v>
      </c>
      <c r="D676">
        <v>164.08</v>
      </c>
      <c r="E676">
        <v>165</v>
      </c>
      <c r="F676">
        <v>147.84</v>
      </c>
      <c r="G676">
        <v>151.38</v>
      </c>
      <c r="H676">
        <v>163.22999999999999</v>
      </c>
    </row>
    <row r="677" spans="1:8" x14ac:dyDescent="0.3">
      <c r="A677" t="s">
        <v>783</v>
      </c>
      <c r="B677" t="s">
        <v>25</v>
      </c>
      <c r="C677">
        <v>45785</v>
      </c>
      <c r="D677">
        <v>155</v>
      </c>
      <c r="E677">
        <v>155.93</v>
      </c>
      <c r="F677">
        <v>152.9</v>
      </c>
      <c r="G677">
        <v>154.28</v>
      </c>
      <c r="H677">
        <v>151.38</v>
      </c>
    </row>
    <row r="678" spans="1:8" x14ac:dyDescent="0.3">
      <c r="A678" t="s">
        <v>784</v>
      </c>
      <c r="B678" t="s">
        <v>25</v>
      </c>
      <c r="C678">
        <v>45786</v>
      </c>
      <c r="D678">
        <v>154.16999999999999</v>
      </c>
      <c r="E678">
        <v>155.05000000000001</v>
      </c>
      <c r="F678">
        <v>152.19999999999999</v>
      </c>
      <c r="G678">
        <v>152.75</v>
      </c>
      <c r="H678">
        <v>154.28</v>
      </c>
    </row>
    <row r="679" spans="1:8" x14ac:dyDescent="0.3">
      <c r="A679" t="s">
        <v>785</v>
      </c>
      <c r="B679" t="s">
        <v>25</v>
      </c>
      <c r="C679">
        <v>45789</v>
      </c>
      <c r="D679">
        <v>157.48500000000001</v>
      </c>
      <c r="E679">
        <v>159.1</v>
      </c>
      <c r="F679">
        <v>156.25</v>
      </c>
      <c r="G679">
        <v>158.46</v>
      </c>
      <c r="H679">
        <v>152.75</v>
      </c>
    </row>
    <row r="680" spans="1:8" x14ac:dyDescent="0.3">
      <c r="A680" t="s">
        <v>786</v>
      </c>
      <c r="B680" t="s">
        <v>25</v>
      </c>
      <c r="C680">
        <v>45790</v>
      </c>
      <c r="D680">
        <v>158.79</v>
      </c>
      <c r="E680">
        <v>160.57</v>
      </c>
      <c r="F680">
        <v>156.16</v>
      </c>
      <c r="G680">
        <v>159.53</v>
      </c>
      <c r="H680">
        <v>158.46</v>
      </c>
    </row>
    <row r="681" spans="1:8" x14ac:dyDescent="0.3">
      <c r="A681" t="s">
        <v>787</v>
      </c>
      <c r="B681" t="s">
        <v>25</v>
      </c>
      <c r="C681">
        <v>45791</v>
      </c>
      <c r="D681">
        <v>159.96</v>
      </c>
      <c r="E681">
        <v>167</v>
      </c>
      <c r="F681">
        <v>159.61000000000001</v>
      </c>
      <c r="G681">
        <v>165.37</v>
      </c>
      <c r="H681">
        <v>159.53</v>
      </c>
    </row>
    <row r="682" spans="1:8" x14ac:dyDescent="0.3">
      <c r="A682" t="s">
        <v>788</v>
      </c>
      <c r="B682" t="s">
        <v>25</v>
      </c>
      <c r="C682">
        <v>45792</v>
      </c>
      <c r="D682">
        <v>165.84</v>
      </c>
      <c r="E682">
        <v>166.20500000000001</v>
      </c>
      <c r="F682">
        <v>162.3732</v>
      </c>
      <c r="G682">
        <v>163.96</v>
      </c>
      <c r="H682">
        <v>165.37</v>
      </c>
    </row>
    <row r="683" spans="1:8" x14ac:dyDescent="0.3">
      <c r="A683" t="s">
        <v>789</v>
      </c>
      <c r="B683" t="s">
        <v>25</v>
      </c>
      <c r="C683">
        <v>45793</v>
      </c>
      <c r="D683">
        <v>167.72499999999999</v>
      </c>
      <c r="E683">
        <v>169.35</v>
      </c>
      <c r="F683">
        <v>165.62</v>
      </c>
      <c r="G683">
        <v>166.19</v>
      </c>
      <c r="H683">
        <v>163.96</v>
      </c>
    </row>
    <row r="684" spans="1:8" x14ac:dyDescent="0.3">
      <c r="A684" t="s">
        <v>790</v>
      </c>
      <c r="B684" t="s">
        <v>25</v>
      </c>
      <c r="C684">
        <v>45796</v>
      </c>
      <c r="D684">
        <v>164.51</v>
      </c>
      <c r="E684">
        <v>166.64</v>
      </c>
      <c r="F684">
        <v>164.22</v>
      </c>
      <c r="G684">
        <v>166.54</v>
      </c>
      <c r="H684">
        <v>166.19</v>
      </c>
    </row>
    <row r="685" spans="1:8" x14ac:dyDescent="0.3">
      <c r="A685" t="s">
        <v>791</v>
      </c>
      <c r="B685" t="s">
        <v>25</v>
      </c>
      <c r="C685">
        <v>45797</v>
      </c>
      <c r="D685">
        <v>166.43</v>
      </c>
      <c r="E685">
        <v>168.5</v>
      </c>
      <c r="F685">
        <v>162.9</v>
      </c>
      <c r="G685">
        <v>163.98</v>
      </c>
      <c r="H685">
        <v>166.54</v>
      </c>
    </row>
    <row r="686" spans="1:8" x14ac:dyDescent="0.3">
      <c r="A686" t="s">
        <v>792</v>
      </c>
      <c r="B686" t="s">
        <v>25</v>
      </c>
      <c r="C686">
        <v>45798</v>
      </c>
      <c r="D686">
        <v>163.69</v>
      </c>
      <c r="E686">
        <v>173.14</v>
      </c>
      <c r="F686">
        <v>163.56</v>
      </c>
      <c r="G686">
        <v>168.56</v>
      </c>
      <c r="H686">
        <v>163.98</v>
      </c>
    </row>
    <row r="687" spans="1:8" x14ac:dyDescent="0.3">
      <c r="A687" t="s">
        <v>793</v>
      </c>
      <c r="B687" t="s">
        <v>25</v>
      </c>
      <c r="C687">
        <v>45799</v>
      </c>
      <c r="D687">
        <v>171.85</v>
      </c>
      <c r="E687">
        <v>176.77</v>
      </c>
      <c r="F687">
        <v>170.71</v>
      </c>
      <c r="G687">
        <v>170.87</v>
      </c>
      <c r="H687">
        <v>168.56</v>
      </c>
    </row>
    <row r="688" spans="1:8" x14ac:dyDescent="0.3">
      <c r="A688" t="s">
        <v>794</v>
      </c>
      <c r="B688" t="s">
        <v>25</v>
      </c>
      <c r="C688">
        <v>45800</v>
      </c>
      <c r="D688">
        <v>169.05500000000001</v>
      </c>
      <c r="E688">
        <v>169.96</v>
      </c>
      <c r="F688">
        <v>167.89</v>
      </c>
      <c r="G688">
        <v>168.47</v>
      </c>
      <c r="H688">
        <v>170.87</v>
      </c>
    </row>
    <row r="689" spans="1:8" x14ac:dyDescent="0.3">
      <c r="A689" t="s">
        <v>795</v>
      </c>
      <c r="B689" t="s">
        <v>25</v>
      </c>
      <c r="C689">
        <v>45804</v>
      </c>
      <c r="D689">
        <v>170.16</v>
      </c>
      <c r="E689">
        <v>173.17</v>
      </c>
      <c r="F689">
        <v>170</v>
      </c>
      <c r="G689">
        <v>172.9</v>
      </c>
      <c r="H689">
        <v>168.47</v>
      </c>
    </row>
    <row r="690" spans="1:8" x14ac:dyDescent="0.3">
      <c r="A690" t="s">
        <v>796</v>
      </c>
      <c r="B690" t="s">
        <v>25</v>
      </c>
      <c r="C690">
        <v>45805</v>
      </c>
      <c r="D690">
        <v>173.16</v>
      </c>
      <c r="E690">
        <v>175.26499999999999</v>
      </c>
      <c r="F690">
        <v>171.91069999999999</v>
      </c>
      <c r="G690">
        <v>172.36</v>
      </c>
      <c r="H690">
        <v>172.9</v>
      </c>
    </row>
    <row r="691" spans="1:8" x14ac:dyDescent="0.3">
      <c r="A691" t="s">
        <v>797</v>
      </c>
      <c r="B691" t="s">
        <v>25</v>
      </c>
      <c r="C691">
        <v>45806</v>
      </c>
      <c r="D691">
        <v>174</v>
      </c>
      <c r="E691">
        <v>174.41929999999999</v>
      </c>
      <c r="F691">
        <v>170.63</v>
      </c>
      <c r="G691">
        <v>171.86</v>
      </c>
      <c r="H691">
        <v>172.36</v>
      </c>
    </row>
    <row r="692" spans="1:8" x14ac:dyDescent="0.3">
      <c r="A692" t="s">
        <v>798</v>
      </c>
      <c r="B692" t="s">
        <v>25</v>
      </c>
      <c r="C692">
        <v>45807</v>
      </c>
      <c r="D692">
        <v>171.35</v>
      </c>
      <c r="E692">
        <v>172.20500000000001</v>
      </c>
      <c r="F692">
        <v>167.44</v>
      </c>
      <c r="G692">
        <v>171.74</v>
      </c>
      <c r="H692">
        <v>171.86</v>
      </c>
    </row>
    <row r="693" spans="1:8" x14ac:dyDescent="0.3">
      <c r="A693" t="s">
        <v>799</v>
      </c>
      <c r="B693" t="s">
        <v>25</v>
      </c>
      <c r="C693">
        <v>45810</v>
      </c>
      <c r="D693">
        <v>167.84</v>
      </c>
      <c r="E693">
        <v>169.87</v>
      </c>
      <c r="F693">
        <v>167.39</v>
      </c>
      <c r="G693">
        <v>169.03</v>
      </c>
      <c r="H693">
        <v>171.74</v>
      </c>
    </row>
    <row r="694" spans="1:8" x14ac:dyDescent="0.3">
      <c r="A694" t="s">
        <v>800</v>
      </c>
      <c r="B694" t="s">
        <v>25</v>
      </c>
      <c r="C694">
        <v>45811</v>
      </c>
      <c r="D694">
        <v>167.49</v>
      </c>
      <c r="E694">
        <v>168.47499999999999</v>
      </c>
      <c r="F694">
        <v>165.28</v>
      </c>
      <c r="G694">
        <v>166.18</v>
      </c>
      <c r="H694">
        <v>169.03</v>
      </c>
    </row>
    <row r="695" spans="1:8" x14ac:dyDescent="0.3">
      <c r="A695" t="s">
        <v>801</v>
      </c>
      <c r="B695" t="s">
        <v>25</v>
      </c>
      <c r="C695">
        <v>45812</v>
      </c>
      <c r="D695">
        <v>166.73500000000001</v>
      </c>
      <c r="E695">
        <v>168.215</v>
      </c>
      <c r="F695">
        <v>166.36</v>
      </c>
      <c r="G695">
        <v>168.05</v>
      </c>
      <c r="H695">
        <v>166.18</v>
      </c>
    </row>
    <row r="696" spans="1:8" x14ac:dyDescent="0.3">
      <c r="A696" t="s">
        <v>802</v>
      </c>
      <c r="B696" t="s">
        <v>25</v>
      </c>
      <c r="C696">
        <v>45813</v>
      </c>
      <c r="D696">
        <v>170.34</v>
      </c>
      <c r="E696">
        <v>170.93</v>
      </c>
      <c r="F696">
        <v>167.59</v>
      </c>
      <c r="G696">
        <v>168.21</v>
      </c>
      <c r="H696">
        <v>168.05</v>
      </c>
    </row>
    <row r="697" spans="1:8" x14ac:dyDescent="0.3">
      <c r="A697" t="s">
        <v>803</v>
      </c>
      <c r="B697" t="s">
        <v>25</v>
      </c>
      <c r="C697">
        <v>45814</v>
      </c>
      <c r="D697">
        <v>170.83</v>
      </c>
      <c r="E697">
        <v>174.5</v>
      </c>
      <c r="F697">
        <v>170.83</v>
      </c>
      <c r="G697">
        <v>173.68</v>
      </c>
      <c r="H697">
        <v>168.21</v>
      </c>
    </row>
    <row r="698" spans="1:8" x14ac:dyDescent="0.3">
      <c r="A698" t="s">
        <v>804</v>
      </c>
      <c r="B698" t="s">
        <v>25</v>
      </c>
      <c r="C698">
        <v>45817</v>
      </c>
      <c r="D698">
        <v>174.54</v>
      </c>
      <c r="E698">
        <v>176.47</v>
      </c>
      <c r="F698">
        <v>174.37</v>
      </c>
      <c r="G698">
        <v>176.09</v>
      </c>
      <c r="H698">
        <v>173.68</v>
      </c>
    </row>
    <row r="699" spans="1:8" x14ac:dyDescent="0.3">
      <c r="A699" t="s">
        <v>805</v>
      </c>
      <c r="B699" t="s">
        <v>25</v>
      </c>
      <c r="C699">
        <v>45818</v>
      </c>
      <c r="D699">
        <v>176.2</v>
      </c>
      <c r="E699">
        <v>181.10499999999999</v>
      </c>
      <c r="F699">
        <v>174.91</v>
      </c>
      <c r="G699">
        <v>178.6</v>
      </c>
      <c r="H699">
        <v>176.09</v>
      </c>
    </row>
    <row r="700" spans="1:8" x14ac:dyDescent="0.3">
      <c r="A700" t="s">
        <v>806</v>
      </c>
      <c r="B700" t="s">
        <v>25</v>
      </c>
      <c r="C700">
        <v>45819</v>
      </c>
      <c r="D700">
        <v>179.77</v>
      </c>
      <c r="E700">
        <v>180.37</v>
      </c>
      <c r="F700">
        <v>176.75</v>
      </c>
      <c r="G700">
        <v>177.35</v>
      </c>
      <c r="H700">
        <v>178.6</v>
      </c>
    </row>
    <row r="701" spans="1:8" x14ac:dyDescent="0.3">
      <c r="A701" t="s">
        <v>807</v>
      </c>
      <c r="B701" t="s">
        <v>25</v>
      </c>
      <c r="C701">
        <v>45820</v>
      </c>
      <c r="D701">
        <v>176.18</v>
      </c>
      <c r="E701">
        <v>176.72</v>
      </c>
      <c r="F701">
        <v>174.745</v>
      </c>
      <c r="G701">
        <v>175.7</v>
      </c>
      <c r="H701">
        <v>177.35</v>
      </c>
    </row>
    <row r="702" spans="1:8" x14ac:dyDescent="0.3">
      <c r="A702" t="s">
        <v>808</v>
      </c>
      <c r="B702" t="s">
        <v>25</v>
      </c>
      <c r="C702">
        <v>45821</v>
      </c>
      <c r="D702">
        <v>172.44</v>
      </c>
      <c r="E702">
        <v>177.13</v>
      </c>
      <c r="F702">
        <v>172.38499999999999</v>
      </c>
      <c r="G702">
        <v>174.67</v>
      </c>
      <c r="H702">
        <v>175.7</v>
      </c>
    </row>
    <row r="703" spans="1:8" x14ac:dyDescent="0.3">
      <c r="A703" t="s">
        <v>809</v>
      </c>
      <c r="B703" t="s">
        <v>25</v>
      </c>
      <c r="C703">
        <v>45824</v>
      </c>
      <c r="D703">
        <v>174.73</v>
      </c>
      <c r="E703">
        <v>176.94</v>
      </c>
      <c r="F703">
        <v>174.65</v>
      </c>
      <c r="G703">
        <v>176.77</v>
      </c>
      <c r="H703">
        <v>174.67</v>
      </c>
    </row>
    <row r="704" spans="1:8" x14ac:dyDescent="0.3">
      <c r="A704" t="s">
        <v>810</v>
      </c>
      <c r="B704" t="s">
        <v>25</v>
      </c>
      <c r="C704">
        <v>45825</v>
      </c>
      <c r="D704">
        <v>175.7</v>
      </c>
      <c r="E704">
        <v>177.3648</v>
      </c>
      <c r="F704">
        <v>174.58</v>
      </c>
      <c r="G704">
        <v>175.95</v>
      </c>
      <c r="H704">
        <v>176.77</v>
      </c>
    </row>
    <row r="705" spans="1:8" x14ac:dyDescent="0.3">
      <c r="A705" t="s">
        <v>811</v>
      </c>
      <c r="B705" t="s">
        <v>25</v>
      </c>
      <c r="C705">
        <v>45826</v>
      </c>
      <c r="D705">
        <v>176.01</v>
      </c>
      <c r="E705">
        <v>176.56</v>
      </c>
      <c r="F705">
        <v>173.2</v>
      </c>
      <c r="G705">
        <v>173.32</v>
      </c>
      <c r="H705">
        <v>175.95</v>
      </c>
    </row>
    <row r="706" spans="1:8" x14ac:dyDescent="0.3">
      <c r="A706" t="s">
        <v>812</v>
      </c>
      <c r="B706" t="s">
        <v>25</v>
      </c>
      <c r="C706">
        <v>45828</v>
      </c>
      <c r="D706">
        <v>173.94499999999999</v>
      </c>
      <c r="E706">
        <v>174.34</v>
      </c>
      <c r="F706">
        <v>165.46</v>
      </c>
      <c r="G706">
        <v>166.64</v>
      </c>
      <c r="H706">
        <v>173.32</v>
      </c>
    </row>
    <row r="707" spans="1:8" x14ac:dyDescent="0.3">
      <c r="A707" t="s">
        <v>813</v>
      </c>
      <c r="B707" t="s">
        <v>25</v>
      </c>
      <c r="C707">
        <v>45831</v>
      </c>
      <c r="D707">
        <v>166.27</v>
      </c>
      <c r="E707">
        <v>167.34</v>
      </c>
      <c r="F707">
        <v>162</v>
      </c>
      <c r="G707">
        <v>165.19</v>
      </c>
      <c r="H707">
        <v>166.64</v>
      </c>
    </row>
    <row r="708" spans="1:8" x14ac:dyDescent="0.3">
      <c r="A708" t="s">
        <v>814</v>
      </c>
      <c r="B708" t="s">
        <v>25</v>
      </c>
      <c r="C708">
        <v>45832</v>
      </c>
      <c r="D708">
        <v>166.92</v>
      </c>
      <c r="E708">
        <v>168.22</v>
      </c>
      <c r="F708">
        <v>166.13</v>
      </c>
      <c r="G708">
        <v>166.77</v>
      </c>
      <c r="H708">
        <v>165.19</v>
      </c>
    </row>
    <row r="709" spans="1:8" x14ac:dyDescent="0.3">
      <c r="A709" t="s">
        <v>815</v>
      </c>
      <c r="B709" t="s">
        <v>25</v>
      </c>
      <c r="C709">
        <v>45833</v>
      </c>
      <c r="D709">
        <v>167.63</v>
      </c>
      <c r="E709">
        <v>172.36</v>
      </c>
      <c r="F709">
        <v>167.55</v>
      </c>
      <c r="G709">
        <v>170.68</v>
      </c>
      <c r="H709">
        <v>166.77</v>
      </c>
    </row>
    <row r="710" spans="1:8" x14ac:dyDescent="0.3">
      <c r="A710" t="s">
        <v>816</v>
      </c>
      <c r="B710" t="s">
        <v>25</v>
      </c>
      <c r="C710">
        <v>45834</v>
      </c>
      <c r="D710">
        <v>172.43</v>
      </c>
      <c r="E710">
        <v>173.69</v>
      </c>
      <c r="F710">
        <v>169.94</v>
      </c>
      <c r="G710">
        <v>173.54</v>
      </c>
      <c r="H710">
        <v>170.68</v>
      </c>
    </row>
    <row r="711" spans="1:8" x14ac:dyDescent="0.3">
      <c r="A711" t="s">
        <v>817</v>
      </c>
      <c r="B711" t="s">
        <v>25</v>
      </c>
      <c r="C711">
        <v>45835</v>
      </c>
      <c r="D711">
        <v>173.54</v>
      </c>
      <c r="E711">
        <v>178.68</v>
      </c>
      <c r="F711">
        <v>171.73</v>
      </c>
      <c r="G711">
        <v>178.53</v>
      </c>
      <c r="H711">
        <v>173.54</v>
      </c>
    </row>
    <row r="712" spans="1:8" x14ac:dyDescent="0.3">
      <c r="A712" t="s">
        <v>101</v>
      </c>
      <c r="B712" t="s">
        <v>25</v>
      </c>
      <c r="C712">
        <v>45838</v>
      </c>
      <c r="D712">
        <v>180.78</v>
      </c>
      <c r="E712">
        <v>181.23</v>
      </c>
      <c r="F712">
        <v>174.58</v>
      </c>
      <c r="G712">
        <v>176.23</v>
      </c>
      <c r="H712">
        <v>178.53</v>
      </c>
    </row>
    <row r="713" spans="1:8" x14ac:dyDescent="0.3">
      <c r="A713" t="s">
        <v>818</v>
      </c>
      <c r="B713" t="s">
        <v>25</v>
      </c>
      <c r="C713">
        <v>45839</v>
      </c>
      <c r="D713">
        <v>175.73500000000001</v>
      </c>
      <c r="E713">
        <v>176.09</v>
      </c>
      <c r="F713">
        <v>173.53</v>
      </c>
      <c r="G713">
        <v>175.84</v>
      </c>
      <c r="H713">
        <v>176.23</v>
      </c>
    </row>
    <row r="714" spans="1:8" x14ac:dyDescent="0.3">
      <c r="A714" t="s">
        <v>819</v>
      </c>
      <c r="B714" t="s">
        <v>25</v>
      </c>
      <c r="C714">
        <v>45840</v>
      </c>
      <c r="D714">
        <v>175.54</v>
      </c>
      <c r="E714">
        <v>178.86</v>
      </c>
      <c r="F714">
        <v>175.07</v>
      </c>
      <c r="G714">
        <v>178.64</v>
      </c>
      <c r="H714">
        <v>175.84</v>
      </c>
    </row>
    <row r="715" spans="1:8" x14ac:dyDescent="0.3">
      <c r="A715" t="s">
        <v>820</v>
      </c>
      <c r="B715" t="s">
        <v>25</v>
      </c>
      <c r="C715">
        <v>45841</v>
      </c>
      <c r="D715">
        <v>178.5</v>
      </c>
      <c r="E715">
        <v>179.67</v>
      </c>
      <c r="F715">
        <v>177.05</v>
      </c>
      <c r="G715">
        <v>179.53</v>
      </c>
      <c r="H715">
        <v>178.64</v>
      </c>
    </row>
    <row r="716" spans="1:8" x14ac:dyDescent="0.3">
      <c r="A716" t="s">
        <v>821</v>
      </c>
      <c r="B716" t="s">
        <v>25</v>
      </c>
      <c r="C716">
        <v>45845</v>
      </c>
      <c r="D716">
        <v>179.06</v>
      </c>
      <c r="E716">
        <v>179.297</v>
      </c>
      <c r="F716">
        <v>175.68</v>
      </c>
      <c r="G716">
        <v>176.79</v>
      </c>
      <c r="H716">
        <v>179.53</v>
      </c>
    </row>
    <row r="717" spans="1:8" x14ac:dyDescent="0.3">
      <c r="A717" t="s">
        <v>822</v>
      </c>
      <c r="B717" t="s">
        <v>25</v>
      </c>
      <c r="C717">
        <v>45846</v>
      </c>
      <c r="D717">
        <v>177.85</v>
      </c>
      <c r="E717">
        <v>177.95</v>
      </c>
      <c r="F717">
        <v>172.81</v>
      </c>
      <c r="G717">
        <v>174.36</v>
      </c>
      <c r="H717">
        <v>176.79</v>
      </c>
    </row>
    <row r="718" spans="1:8" x14ac:dyDescent="0.3">
      <c r="A718" t="s">
        <v>823</v>
      </c>
      <c r="B718" t="s">
        <v>25</v>
      </c>
      <c r="C718">
        <v>45847</v>
      </c>
      <c r="D718">
        <v>175.25</v>
      </c>
      <c r="E718">
        <v>179.44</v>
      </c>
      <c r="F718">
        <v>172.77</v>
      </c>
      <c r="G718">
        <v>176.62</v>
      </c>
      <c r="H718">
        <v>174.36</v>
      </c>
    </row>
    <row r="719" spans="1:8" x14ac:dyDescent="0.3">
      <c r="A719" t="s">
        <v>824</v>
      </c>
      <c r="B719" t="s">
        <v>25</v>
      </c>
      <c r="C719">
        <v>45848</v>
      </c>
      <c r="D719">
        <v>175.63</v>
      </c>
      <c r="E719">
        <v>178.429</v>
      </c>
      <c r="F719">
        <v>174.38</v>
      </c>
      <c r="G719">
        <v>177.62</v>
      </c>
      <c r="H719">
        <v>176.62</v>
      </c>
    </row>
    <row r="720" spans="1:8" x14ac:dyDescent="0.3">
      <c r="A720" t="s">
        <v>825</v>
      </c>
      <c r="B720" t="s">
        <v>25</v>
      </c>
      <c r="C720">
        <v>45849</v>
      </c>
      <c r="D720">
        <v>176.785</v>
      </c>
      <c r="E720">
        <v>181.43</v>
      </c>
      <c r="F720">
        <v>176.48</v>
      </c>
      <c r="G720">
        <v>180.19</v>
      </c>
      <c r="H720">
        <v>177.62</v>
      </c>
    </row>
    <row r="721" spans="1:8" x14ac:dyDescent="0.3">
      <c r="A721" t="s">
        <v>826</v>
      </c>
      <c r="B721" t="s">
        <v>25</v>
      </c>
      <c r="C721">
        <v>45852</v>
      </c>
      <c r="D721">
        <v>181.01</v>
      </c>
      <c r="E721">
        <v>183.67</v>
      </c>
      <c r="F721">
        <v>179.68</v>
      </c>
      <c r="G721">
        <v>181.56</v>
      </c>
      <c r="H721">
        <v>180.19</v>
      </c>
    </row>
    <row r="722" spans="1:8" x14ac:dyDescent="0.3">
      <c r="A722" t="s">
        <v>827</v>
      </c>
      <c r="B722" t="s">
        <v>25</v>
      </c>
      <c r="C722">
        <v>45853</v>
      </c>
      <c r="D722">
        <v>182.81</v>
      </c>
      <c r="E722">
        <v>184.22</v>
      </c>
      <c r="F722">
        <v>181.6</v>
      </c>
      <c r="G722">
        <v>182</v>
      </c>
      <c r="H722">
        <v>181.56</v>
      </c>
    </row>
    <row r="723" spans="1:8" x14ac:dyDescent="0.3">
      <c r="A723" t="s">
        <v>828</v>
      </c>
      <c r="B723" t="s">
        <v>25</v>
      </c>
      <c r="C723">
        <v>45854</v>
      </c>
      <c r="D723">
        <v>183.23500000000001</v>
      </c>
      <c r="E723">
        <v>184.327</v>
      </c>
      <c r="F723">
        <v>182.03</v>
      </c>
      <c r="G723">
        <v>182.97</v>
      </c>
      <c r="H723">
        <v>182</v>
      </c>
    </row>
    <row r="724" spans="1:8" x14ac:dyDescent="0.3">
      <c r="A724" t="s">
        <v>829</v>
      </c>
      <c r="B724" t="s">
        <v>25</v>
      </c>
      <c r="C724">
        <v>45855</v>
      </c>
      <c r="D724">
        <v>182.14</v>
      </c>
      <c r="E724">
        <v>184.06</v>
      </c>
      <c r="F724">
        <v>180.48</v>
      </c>
      <c r="G724">
        <v>183.58</v>
      </c>
      <c r="H724">
        <v>182.97</v>
      </c>
    </row>
    <row r="725" spans="1:8" x14ac:dyDescent="0.3">
      <c r="A725" t="s">
        <v>830</v>
      </c>
      <c r="B725" t="s">
        <v>25</v>
      </c>
      <c r="C725">
        <v>45856</v>
      </c>
      <c r="D725">
        <v>185.4</v>
      </c>
      <c r="E725">
        <v>186.42</v>
      </c>
      <c r="F725">
        <v>183.71</v>
      </c>
      <c r="G725">
        <v>185.06</v>
      </c>
      <c r="H725">
        <v>183.58</v>
      </c>
    </row>
    <row r="726" spans="1:8" x14ac:dyDescent="0.3">
      <c r="A726" t="s">
        <v>831</v>
      </c>
      <c r="B726" t="s">
        <v>25</v>
      </c>
      <c r="C726">
        <v>45859</v>
      </c>
      <c r="D726">
        <v>186.25</v>
      </c>
      <c r="E726">
        <v>190.285</v>
      </c>
      <c r="F726">
        <v>186.15</v>
      </c>
      <c r="G726">
        <v>190.1</v>
      </c>
      <c r="H726">
        <v>185.06</v>
      </c>
    </row>
    <row r="727" spans="1:8" x14ac:dyDescent="0.3">
      <c r="A727" t="s">
        <v>832</v>
      </c>
      <c r="B727" t="s">
        <v>25</v>
      </c>
      <c r="C727">
        <v>45860</v>
      </c>
      <c r="D727">
        <v>191.495</v>
      </c>
      <c r="E727">
        <v>191.64500000000001</v>
      </c>
      <c r="F727">
        <v>187.46</v>
      </c>
      <c r="G727">
        <v>191.34</v>
      </c>
      <c r="H727">
        <v>190.1</v>
      </c>
    </row>
    <row r="728" spans="1:8" x14ac:dyDescent="0.3">
      <c r="A728" t="s">
        <v>833</v>
      </c>
      <c r="B728" t="s">
        <v>25</v>
      </c>
      <c r="C728">
        <v>45861</v>
      </c>
      <c r="D728">
        <v>191.5</v>
      </c>
      <c r="E728">
        <v>192.53</v>
      </c>
      <c r="F728">
        <v>189.18</v>
      </c>
      <c r="G728">
        <v>190.23</v>
      </c>
      <c r="H728">
        <v>191.34</v>
      </c>
    </row>
    <row r="729" spans="1:8" x14ac:dyDescent="0.3">
      <c r="A729" t="s">
        <v>834</v>
      </c>
      <c r="B729" t="s">
        <v>25</v>
      </c>
      <c r="C729">
        <v>45862</v>
      </c>
      <c r="D729">
        <v>197.03</v>
      </c>
      <c r="E729">
        <v>197.95</v>
      </c>
      <c r="F729">
        <v>191</v>
      </c>
      <c r="G729">
        <v>192.17</v>
      </c>
      <c r="H729">
        <v>190.23</v>
      </c>
    </row>
    <row r="730" spans="1:8" x14ac:dyDescent="0.3">
      <c r="A730" t="s">
        <v>835</v>
      </c>
      <c r="B730" t="s">
        <v>25</v>
      </c>
      <c r="C730">
        <v>45863</v>
      </c>
      <c r="D730">
        <v>191.98</v>
      </c>
      <c r="E730">
        <v>194.33</v>
      </c>
      <c r="F730">
        <v>191.26</v>
      </c>
      <c r="G730">
        <v>193.18</v>
      </c>
      <c r="H730">
        <v>192.17</v>
      </c>
    </row>
    <row r="731" spans="1:8" x14ac:dyDescent="0.3">
      <c r="A731" t="s">
        <v>836</v>
      </c>
      <c r="B731" t="s">
        <v>25</v>
      </c>
      <c r="C731">
        <v>45866</v>
      </c>
      <c r="D731">
        <v>193.65</v>
      </c>
      <c r="E731">
        <v>194.05</v>
      </c>
      <c r="F731">
        <v>190.84</v>
      </c>
      <c r="G731">
        <v>192.58</v>
      </c>
      <c r="H731">
        <v>193.18</v>
      </c>
    </row>
    <row r="732" spans="1:8" x14ac:dyDescent="0.3">
      <c r="A732" t="s">
        <v>837</v>
      </c>
      <c r="B732" t="s">
        <v>25</v>
      </c>
      <c r="C732">
        <v>45867</v>
      </c>
      <c r="D732">
        <v>192.43</v>
      </c>
      <c r="E732">
        <v>195.92</v>
      </c>
      <c r="F732">
        <v>192.08</v>
      </c>
      <c r="G732">
        <v>195.75</v>
      </c>
      <c r="H732">
        <v>192.58</v>
      </c>
    </row>
    <row r="733" spans="1:8" x14ac:dyDescent="0.3">
      <c r="A733" t="s">
        <v>838</v>
      </c>
      <c r="B733" t="s">
        <v>25</v>
      </c>
      <c r="C733">
        <v>45868</v>
      </c>
      <c r="D733">
        <v>195.6</v>
      </c>
      <c r="E733">
        <v>197.59989999999999</v>
      </c>
      <c r="F733">
        <v>194.685</v>
      </c>
      <c r="G733">
        <v>196.53</v>
      </c>
      <c r="H733">
        <v>195.75</v>
      </c>
    </row>
    <row r="734" spans="1:8" x14ac:dyDescent="0.3">
      <c r="A734" t="s">
        <v>839</v>
      </c>
      <c r="B734" t="s">
        <v>25</v>
      </c>
      <c r="C734">
        <v>45869</v>
      </c>
      <c r="D734">
        <v>195.71</v>
      </c>
      <c r="E734">
        <v>195.99</v>
      </c>
      <c r="F734">
        <v>191.09</v>
      </c>
      <c r="G734">
        <v>191.9</v>
      </c>
      <c r="H734">
        <v>196.53</v>
      </c>
    </row>
    <row r="735" spans="1:8" x14ac:dyDescent="0.3">
      <c r="A735" t="s">
        <v>840</v>
      </c>
      <c r="B735" t="s">
        <v>25</v>
      </c>
      <c r="C735">
        <v>45870</v>
      </c>
      <c r="D735">
        <v>189.02500000000001</v>
      </c>
      <c r="E735">
        <v>190.83</v>
      </c>
      <c r="F735">
        <v>187.82</v>
      </c>
      <c r="G735">
        <v>189.13</v>
      </c>
      <c r="H735">
        <v>191.9</v>
      </c>
    </row>
    <row r="736" spans="1:8" x14ac:dyDescent="0.3">
      <c r="A736" t="s">
        <v>841</v>
      </c>
      <c r="B736" t="s">
        <v>25</v>
      </c>
      <c r="C736">
        <v>45873</v>
      </c>
      <c r="D736">
        <v>190.29</v>
      </c>
      <c r="E736">
        <v>195.27</v>
      </c>
      <c r="F736">
        <v>190.12</v>
      </c>
      <c r="G736">
        <v>195.04</v>
      </c>
      <c r="H736">
        <v>189.13</v>
      </c>
    </row>
    <row r="737" spans="1:8" x14ac:dyDescent="0.3">
      <c r="A737" t="s">
        <v>842</v>
      </c>
      <c r="B737" t="s">
        <v>25</v>
      </c>
      <c r="C737">
        <v>45874</v>
      </c>
      <c r="D737">
        <v>194.71</v>
      </c>
      <c r="E737">
        <v>197.85990000000001</v>
      </c>
      <c r="F737">
        <v>193.88499999999999</v>
      </c>
      <c r="G737">
        <v>194.67</v>
      </c>
      <c r="H737">
        <v>195.04</v>
      </c>
    </row>
    <row r="738" spans="1:8" x14ac:dyDescent="0.3">
      <c r="A738" t="s">
        <v>843</v>
      </c>
      <c r="B738" t="s">
        <v>25</v>
      </c>
      <c r="C738">
        <v>45875</v>
      </c>
      <c r="D738">
        <v>194.5</v>
      </c>
      <c r="E738">
        <v>196.63</v>
      </c>
      <c r="F738">
        <v>193.67</v>
      </c>
      <c r="G738">
        <v>196.09</v>
      </c>
      <c r="H738">
        <v>194.67</v>
      </c>
    </row>
    <row r="739" spans="1:8" x14ac:dyDescent="0.3">
      <c r="A739" t="s">
        <v>844</v>
      </c>
      <c r="B739" t="s">
        <v>25</v>
      </c>
      <c r="C739">
        <v>45876</v>
      </c>
      <c r="D739">
        <v>197.06</v>
      </c>
      <c r="E739">
        <v>197.54</v>
      </c>
      <c r="F739">
        <v>194.33</v>
      </c>
      <c r="G739">
        <v>196.52</v>
      </c>
      <c r="H739">
        <v>196.09</v>
      </c>
    </row>
    <row r="740" spans="1:8" x14ac:dyDescent="0.3">
      <c r="A740" t="s">
        <v>845</v>
      </c>
      <c r="B740" t="s">
        <v>25</v>
      </c>
      <c r="C740">
        <v>45877</v>
      </c>
      <c r="D740">
        <v>197.22</v>
      </c>
      <c r="E740">
        <v>202.61</v>
      </c>
      <c r="F740">
        <v>197.17</v>
      </c>
      <c r="G740">
        <v>201.42</v>
      </c>
      <c r="H740">
        <v>196.52</v>
      </c>
    </row>
    <row r="741" spans="1:8" x14ac:dyDescent="0.3">
      <c r="A741" t="s">
        <v>846</v>
      </c>
      <c r="B741" t="s">
        <v>25</v>
      </c>
      <c r="C741">
        <v>45880</v>
      </c>
      <c r="D741">
        <v>200.935</v>
      </c>
      <c r="E741">
        <v>201.47499999999999</v>
      </c>
      <c r="F741">
        <v>199.07</v>
      </c>
      <c r="G741">
        <v>201</v>
      </c>
      <c r="H741">
        <v>201.42</v>
      </c>
    </row>
    <row r="742" spans="1:8" x14ac:dyDescent="0.3">
      <c r="A742" t="s">
        <v>847</v>
      </c>
      <c r="B742" t="s">
        <v>25</v>
      </c>
      <c r="C742">
        <v>45881</v>
      </c>
      <c r="D742">
        <v>201.36500000000001</v>
      </c>
      <c r="E742">
        <v>204.5</v>
      </c>
      <c r="F742">
        <v>200.59</v>
      </c>
      <c r="G742">
        <v>203.34</v>
      </c>
      <c r="H742">
        <v>201</v>
      </c>
    </row>
    <row r="743" spans="1:8" x14ac:dyDescent="0.3">
      <c r="A743" t="s">
        <v>848</v>
      </c>
      <c r="B743" t="s">
        <v>25</v>
      </c>
      <c r="C743">
        <v>45882</v>
      </c>
      <c r="D743">
        <v>204.13</v>
      </c>
      <c r="E743">
        <v>204.53</v>
      </c>
      <c r="F743">
        <v>197.51009999999999</v>
      </c>
      <c r="G743">
        <v>201.96</v>
      </c>
      <c r="H743">
        <v>203.34</v>
      </c>
    </row>
    <row r="744" spans="1:8" x14ac:dyDescent="0.3">
      <c r="A744" t="s">
        <v>849</v>
      </c>
      <c r="B744" t="s">
        <v>25</v>
      </c>
      <c r="C744">
        <v>45883</v>
      </c>
      <c r="D744">
        <v>201.5</v>
      </c>
      <c r="E744">
        <v>204.44</v>
      </c>
      <c r="F744">
        <v>201.22499999999999</v>
      </c>
      <c r="G744">
        <v>202.94</v>
      </c>
      <c r="H744">
        <v>201.96</v>
      </c>
    </row>
    <row r="745" spans="1:8" x14ac:dyDescent="0.3">
      <c r="A745" t="s">
        <v>850</v>
      </c>
      <c r="B745" t="s">
        <v>25</v>
      </c>
      <c r="C745">
        <v>45884</v>
      </c>
      <c r="D745">
        <v>203.85</v>
      </c>
      <c r="E745">
        <v>206.44</v>
      </c>
      <c r="F745">
        <v>201.28</v>
      </c>
      <c r="G745">
        <v>203.9</v>
      </c>
      <c r="H745">
        <v>202.94</v>
      </c>
    </row>
    <row r="746" spans="1:8" x14ac:dyDescent="0.3">
      <c r="A746" t="s">
        <v>851</v>
      </c>
      <c r="B746" t="s">
        <v>25</v>
      </c>
      <c r="C746">
        <v>45887</v>
      </c>
      <c r="D746">
        <v>204.2</v>
      </c>
      <c r="E746">
        <v>205.26499999999999</v>
      </c>
      <c r="F746">
        <v>202.49</v>
      </c>
      <c r="G746">
        <v>203.5</v>
      </c>
      <c r="H746">
        <v>203.9</v>
      </c>
    </row>
    <row r="747" spans="1:8" x14ac:dyDescent="0.3">
      <c r="A747" t="s">
        <v>852</v>
      </c>
      <c r="B747" t="s">
        <v>25</v>
      </c>
      <c r="C747">
        <v>45888</v>
      </c>
      <c r="D747">
        <v>203.03</v>
      </c>
      <c r="E747">
        <v>203.44</v>
      </c>
      <c r="F747">
        <v>199.96</v>
      </c>
      <c r="G747">
        <v>201.57</v>
      </c>
      <c r="H747">
        <v>203.5</v>
      </c>
    </row>
    <row r="748" spans="1:8" x14ac:dyDescent="0.3">
      <c r="A748" t="s">
        <v>853</v>
      </c>
      <c r="B748" t="s">
        <v>25</v>
      </c>
      <c r="C748">
        <v>45889</v>
      </c>
      <c r="D748">
        <v>200.73</v>
      </c>
      <c r="E748">
        <v>201.28</v>
      </c>
      <c r="F748">
        <v>196.595</v>
      </c>
      <c r="G748">
        <v>199.32</v>
      </c>
      <c r="H748">
        <v>201.57</v>
      </c>
    </row>
    <row r="749" spans="1:8" x14ac:dyDescent="0.3">
      <c r="A749" t="s">
        <v>854</v>
      </c>
      <c r="B749" t="s">
        <v>25</v>
      </c>
      <c r="C749">
        <v>45890</v>
      </c>
      <c r="D749">
        <v>199.745</v>
      </c>
      <c r="E749">
        <v>202.48</v>
      </c>
      <c r="F749">
        <v>199.43</v>
      </c>
      <c r="G749">
        <v>199.75</v>
      </c>
      <c r="H749">
        <v>199.32</v>
      </c>
    </row>
    <row r="750" spans="1:8" x14ac:dyDescent="0.3">
      <c r="A750" t="s">
        <v>855</v>
      </c>
      <c r="B750" t="s">
        <v>25</v>
      </c>
      <c r="C750">
        <v>45891</v>
      </c>
      <c r="D750">
        <v>202.73</v>
      </c>
      <c r="E750">
        <v>208.54</v>
      </c>
      <c r="F750">
        <v>201.3</v>
      </c>
      <c r="G750">
        <v>206.09</v>
      </c>
      <c r="H750">
        <v>199.75</v>
      </c>
    </row>
    <row r="751" spans="1:8" x14ac:dyDescent="0.3">
      <c r="A751" t="s">
        <v>856</v>
      </c>
      <c r="B751" t="s">
        <v>25</v>
      </c>
      <c r="C751">
        <v>45894</v>
      </c>
      <c r="D751">
        <v>206.43</v>
      </c>
      <c r="E751">
        <v>210.52</v>
      </c>
      <c r="F751">
        <v>205.28</v>
      </c>
      <c r="G751">
        <v>208.49</v>
      </c>
      <c r="H751">
        <v>206.09</v>
      </c>
    </row>
    <row r="752" spans="1:8" x14ac:dyDescent="0.3">
      <c r="A752" t="s">
        <v>857</v>
      </c>
      <c r="B752" t="s">
        <v>25</v>
      </c>
      <c r="C752">
        <v>45895</v>
      </c>
      <c r="D752">
        <v>207.51</v>
      </c>
      <c r="E752">
        <v>207.85</v>
      </c>
      <c r="F752">
        <v>205.7</v>
      </c>
      <c r="G752">
        <v>207.14</v>
      </c>
      <c r="H752">
        <v>208.49</v>
      </c>
    </row>
    <row r="753" spans="1:8" x14ac:dyDescent="0.3">
      <c r="A753" t="s">
        <v>858</v>
      </c>
      <c r="B753" t="s">
        <v>25</v>
      </c>
      <c r="C753">
        <v>45896</v>
      </c>
      <c r="D753">
        <v>205.7</v>
      </c>
      <c r="E753">
        <v>208.91</v>
      </c>
      <c r="F753">
        <v>205.65</v>
      </c>
      <c r="G753">
        <v>207.48</v>
      </c>
      <c r="H753">
        <v>207.14</v>
      </c>
    </row>
    <row r="754" spans="1:8" x14ac:dyDescent="0.3">
      <c r="A754" t="s">
        <v>859</v>
      </c>
      <c r="B754" t="s">
        <v>25</v>
      </c>
      <c r="C754">
        <v>45897</v>
      </c>
      <c r="D754">
        <v>207.25</v>
      </c>
      <c r="E754">
        <v>212.22</v>
      </c>
      <c r="F754">
        <v>206.9</v>
      </c>
      <c r="G754">
        <v>211.64</v>
      </c>
      <c r="H754">
        <v>207.48</v>
      </c>
    </row>
    <row r="755" spans="1:8" x14ac:dyDescent="0.3">
      <c r="A755" t="s">
        <v>860</v>
      </c>
      <c r="B755" t="s">
        <v>25</v>
      </c>
      <c r="C755">
        <v>45898</v>
      </c>
      <c r="D755">
        <v>210.51</v>
      </c>
      <c r="E755">
        <v>214.64500000000001</v>
      </c>
      <c r="F755">
        <v>210.2</v>
      </c>
      <c r="G755">
        <v>212.91</v>
      </c>
      <c r="H755">
        <v>211.64</v>
      </c>
    </row>
    <row r="756" spans="1:8" x14ac:dyDescent="0.3">
      <c r="A756" t="s">
        <v>861</v>
      </c>
      <c r="B756" t="s">
        <v>25</v>
      </c>
      <c r="C756">
        <v>45902</v>
      </c>
      <c r="D756">
        <v>208.44</v>
      </c>
      <c r="E756">
        <v>211.67500000000001</v>
      </c>
      <c r="F756">
        <v>206.19499999999999</v>
      </c>
      <c r="G756">
        <v>211.35</v>
      </c>
      <c r="H756">
        <v>212.91</v>
      </c>
    </row>
    <row r="757" spans="1:8" x14ac:dyDescent="0.3">
      <c r="A757" t="s">
        <v>862</v>
      </c>
      <c r="B757" t="s">
        <v>25</v>
      </c>
      <c r="C757">
        <v>45903</v>
      </c>
      <c r="D757">
        <v>226.21</v>
      </c>
      <c r="E757">
        <v>231.31</v>
      </c>
      <c r="F757">
        <v>224.79</v>
      </c>
      <c r="G757">
        <v>230.66</v>
      </c>
      <c r="H757">
        <v>211.35</v>
      </c>
    </row>
    <row r="758" spans="1:8" x14ac:dyDescent="0.3">
      <c r="A758" t="s">
        <v>863</v>
      </c>
      <c r="B758" t="s">
        <v>25</v>
      </c>
      <c r="C758">
        <v>45904</v>
      </c>
      <c r="D758">
        <v>229.65</v>
      </c>
      <c r="E758">
        <v>232.37</v>
      </c>
      <c r="F758">
        <v>226.11</v>
      </c>
      <c r="G758">
        <v>232.3</v>
      </c>
      <c r="H758">
        <v>230.66</v>
      </c>
    </row>
    <row r="759" spans="1:8" x14ac:dyDescent="0.3">
      <c r="A759" t="s">
        <v>864</v>
      </c>
      <c r="B759" t="s">
        <v>25</v>
      </c>
      <c r="C759">
        <v>45905</v>
      </c>
      <c r="D759">
        <v>232.2</v>
      </c>
      <c r="E759">
        <v>235.76</v>
      </c>
      <c r="F759">
        <v>231.9</v>
      </c>
      <c r="G759">
        <v>235</v>
      </c>
      <c r="H759">
        <v>232.3</v>
      </c>
    </row>
    <row r="760" spans="1:8" x14ac:dyDescent="0.3">
      <c r="A760" t="s">
        <v>865</v>
      </c>
      <c r="B760" t="s">
        <v>25</v>
      </c>
      <c r="C760">
        <v>45908</v>
      </c>
      <c r="D760">
        <v>235.47</v>
      </c>
      <c r="E760">
        <v>238.13</v>
      </c>
      <c r="F760">
        <v>233.67</v>
      </c>
      <c r="G760">
        <v>234.04</v>
      </c>
      <c r="H760">
        <v>235</v>
      </c>
    </row>
    <row r="761" spans="1:8" x14ac:dyDescent="0.3">
      <c r="A761" t="s">
        <v>866</v>
      </c>
      <c r="B761" t="s">
        <v>25</v>
      </c>
      <c r="C761">
        <v>45909</v>
      </c>
      <c r="D761">
        <v>234.16499999999999</v>
      </c>
      <c r="E761">
        <v>240.47</v>
      </c>
      <c r="F761">
        <v>233.22900000000001</v>
      </c>
      <c r="G761">
        <v>239.63</v>
      </c>
      <c r="H761">
        <v>234.04</v>
      </c>
    </row>
    <row r="762" spans="1:8" x14ac:dyDescent="0.3">
      <c r="A762" t="s">
        <v>867</v>
      </c>
      <c r="B762" t="s">
        <v>25</v>
      </c>
      <c r="C762">
        <v>45910</v>
      </c>
      <c r="D762">
        <v>238.9</v>
      </c>
      <c r="E762">
        <v>241.66</v>
      </c>
      <c r="F762">
        <v>237.85</v>
      </c>
      <c r="G762">
        <v>239.17</v>
      </c>
      <c r="H762">
        <v>239.63</v>
      </c>
    </row>
    <row r="763" spans="1:8" x14ac:dyDescent="0.3">
      <c r="A763" t="s">
        <v>868</v>
      </c>
      <c r="B763" t="s">
        <v>25</v>
      </c>
      <c r="C763">
        <v>45911</v>
      </c>
      <c r="D763">
        <v>239.88</v>
      </c>
      <c r="E763">
        <v>242.25</v>
      </c>
      <c r="F763">
        <v>236.25</v>
      </c>
      <c r="G763">
        <v>240.37</v>
      </c>
      <c r="H763">
        <v>239.17</v>
      </c>
    </row>
    <row r="764" spans="1:8" x14ac:dyDescent="0.3">
      <c r="A764" t="s">
        <v>869</v>
      </c>
      <c r="B764" t="s">
        <v>25</v>
      </c>
      <c r="C764">
        <v>45912</v>
      </c>
      <c r="D764">
        <v>240.37</v>
      </c>
      <c r="E764">
        <v>242.07499999999999</v>
      </c>
      <c r="F764">
        <v>238</v>
      </c>
      <c r="G764">
        <v>240.8</v>
      </c>
      <c r="H764">
        <v>240.37</v>
      </c>
    </row>
    <row r="765" spans="1:8" x14ac:dyDescent="0.3">
      <c r="A765" t="s">
        <v>870</v>
      </c>
      <c r="B765" t="s">
        <v>25</v>
      </c>
      <c r="C765">
        <v>45915</v>
      </c>
      <c r="D765">
        <v>244.66</v>
      </c>
      <c r="E765">
        <v>252.40989999999999</v>
      </c>
      <c r="F765">
        <v>244.66</v>
      </c>
      <c r="G765">
        <v>251.61</v>
      </c>
      <c r="H765">
        <v>240.8</v>
      </c>
    </row>
    <row r="766" spans="1:8" x14ac:dyDescent="0.3">
      <c r="A766" t="s">
        <v>871</v>
      </c>
      <c r="B766" t="s">
        <v>25</v>
      </c>
      <c r="C766">
        <v>45916</v>
      </c>
      <c r="D766">
        <v>252.08</v>
      </c>
      <c r="E766">
        <v>253.04</v>
      </c>
      <c r="F766">
        <v>249.47</v>
      </c>
      <c r="G766">
        <v>251.16</v>
      </c>
      <c r="H766">
        <v>251.61</v>
      </c>
    </row>
    <row r="767" spans="1:8" x14ac:dyDescent="0.3">
      <c r="A767" t="s">
        <v>872</v>
      </c>
      <c r="B767" t="s">
        <v>25</v>
      </c>
      <c r="C767">
        <v>45917</v>
      </c>
      <c r="D767">
        <v>251.22</v>
      </c>
      <c r="E767">
        <v>251.6</v>
      </c>
      <c r="F767">
        <v>246.28</v>
      </c>
      <c r="G767">
        <v>249.53</v>
      </c>
      <c r="H767">
        <v>251.16</v>
      </c>
    </row>
    <row r="768" spans="1:8" x14ac:dyDescent="0.3">
      <c r="A768" t="s">
        <v>873</v>
      </c>
      <c r="B768" t="s">
        <v>25</v>
      </c>
      <c r="C768">
        <v>45918</v>
      </c>
      <c r="D768">
        <v>251.68</v>
      </c>
      <c r="E768">
        <v>253.99</v>
      </c>
      <c r="F768">
        <v>249.8</v>
      </c>
      <c r="G768">
        <v>252.03</v>
      </c>
      <c r="H768">
        <v>249.53</v>
      </c>
    </row>
    <row r="769" spans="1:8" x14ac:dyDescent="0.3">
      <c r="A769" t="s">
        <v>874</v>
      </c>
      <c r="B769" t="s">
        <v>25</v>
      </c>
      <c r="C769">
        <v>45919</v>
      </c>
      <c r="D769">
        <v>253.25</v>
      </c>
      <c r="E769">
        <v>256</v>
      </c>
      <c r="F769">
        <v>251.81</v>
      </c>
      <c r="G769">
        <v>254.72</v>
      </c>
      <c r="H769">
        <v>252.03</v>
      </c>
    </row>
    <row r="770" spans="1:8" x14ac:dyDescent="0.3">
      <c r="A770" t="s">
        <v>875</v>
      </c>
      <c r="B770" t="s">
        <v>25</v>
      </c>
      <c r="C770">
        <v>45922</v>
      </c>
      <c r="D770">
        <v>254.43</v>
      </c>
      <c r="E770">
        <v>255.78</v>
      </c>
      <c r="F770">
        <v>250.3</v>
      </c>
      <c r="G770">
        <v>252.53</v>
      </c>
      <c r="H770">
        <v>254.72</v>
      </c>
    </row>
    <row r="771" spans="1:8" x14ac:dyDescent="0.3">
      <c r="A771" t="s">
        <v>876</v>
      </c>
      <c r="B771" t="s">
        <v>25</v>
      </c>
      <c r="C771">
        <v>45923</v>
      </c>
      <c r="D771">
        <v>253.04</v>
      </c>
      <c r="E771">
        <v>254.36</v>
      </c>
      <c r="F771">
        <v>250.48</v>
      </c>
      <c r="G771">
        <v>251.66</v>
      </c>
      <c r="H771">
        <v>252.53</v>
      </c>
    </row>
    <row r="772" spans="1:8" x14ac:dyDescent="0.3">
      <c r="A772" t="s">
        <v>877</v>
      </c>
      <c r="B772" t="s">
        <v>25</v>
      </c>
      <c r="C772">
        <v>45924</v>
      </c>
      <c r="D772">
        <v>251.66</v>
      </c>
      <c r="E772">
        <v>252.3501</v>
      </c>
      <c r="F772">
        <v>246.44</v>
      </c>
      <c r="G772">
        <v>247.14</v>
      </c>
      <c r="H772">
        <v>251.66</v>
      </c>
    </row>
    <row r="773" spans="1:8" x14ac:dyDescent="0.3">
      <c r="A773" t="s">
        <v>878</v>
      </c>
      <c r="B773" t="s">
        <v>25</v>
      </c>
      <c r="C773">
        <v>45925</v>
      </c>
      <c r="D773">
        <v>244.4</v>
      </c>
      <c r="E773">
        <v>246.49</v>
      </c>
      <c r="F773">
        <v>240.74</v>
      </c>
      <c r="G773">
        <v>245.79</v>
      </c>
      <c r="H773">
        <v>247.14</v>
      </c>
    </row>
    <row r="774" spans="1:8" x14ac:dyDescent="0.3">
      <c r="A774" t="s">
        <v>879</v>
      </c>
      <c r="B774" t="s">
        <v>25</v>
      </c>
      <c r="C774">
        <v>45926</v>
      </c>
      <c r="D774">
        <v>247.065</v>
      </c>
      <c r="E774">
        <v>249.42</v>
      </c>
      <c r="F774">
        <v>245.97</v>
      </c>
      <c r="G774">
        <v>246.54</v>
      </c>
      <c r="H774">
        <v>245.79</v>
      </c>
    </row>
    <row r="775" spans="1:8" x14ac:dyDescent="0.3">
      <c r="A775" t="s">
        <v>880</v>
      </c>
      <c r="B775" t="s">
        <v>25</v>
      </c>
      <c r="C775">
        <v>45929</v>
      </c>
      <c r="D775">
        <v>247.85</v>
      </c>
      <c r="E775">
        <v>251.14859999999999</v>
      </c>
      <c r="F775">
        <v>242.77</v>
      </c>
      <c r="G775">
        <v>244.05</v>
      </c>
      <c r="H775">
        <v>246.54</v>
      </c>
    </row>
    <row r="776" spans="1:8" x14ac:dyDescent="0.3">
      <c r="A776" t="s">
        <v>100</v>
      </c>
      <c r="B776" t="s">
        <v>25</v>
      </c>
      <c r="C776">
        <v>45930</v>
      </c>
      <c r="D776">
        <v>242.81</v>
      </c>
      <c r="E776">
        <v>243.29</v>
      </c>
      <c r="F776">
        <v>239.245</v>
      </c>
      <c r="G776">
        <v>243.1</v>
      </c>
      <c r="H776">
        <v>244.05</v>
      </c>
    </row>
    <row r="777" spans="1:8" x14ac:dyDescent="0.3">
      <c r="A777" t="s">
        <v>881</v>
      </c>
      <c r="B777" t="s">
        <v>25</v>
      </c>
      <c r="C777">
        <v>45931</v>
      </c>
      <c r="D777">
        <v>240.75</v>
      </c>
      <c r="E777">
        <v>246.3</v>
      </c>
      <c r="F777">
        <v>238.61</v>
      </c>
      <c r="G777">
        <v>244.9</v>
      </c>
      <c r="H777">
        <v>243.1</v>
      </c>
    </row>
    <row r="778" spans="1:8" x14ac:dyDescent="0.3">
      <c r="A778" t="s">
        <v>882</v>
      </c>
      <c r="B778" t="s">
        <v>25</v>
      </c>
      <c r="C778">
        <v>45932</v>
      </c>
      <c r="D778">
        <v>245.15</v>
      </c>
      <c r="E778">
        <v>246.81</v>
      </c>
      <c r="F778">
        <v>242.3</v>
      </c>
      <c r="G778">
        <v>245.69</v>
      </c>
      <c r="H778">
        <v>244.9</v>
      </c>
    </row>
    <row r="779" spans="1:8" x14ac:dyDescent="0.3">
      <c r="A779" t="s">
        <v>883</v>
      </c>
      <c r="B779" t="s">
        <v>25</v>
      </c>
      <c r="C779">
        <v>45933</v>
      </c>
      <c r="D779">
        <v>244.49</v>
      </c>
      <c r="E779">
        <v>246.3</v>
      </c>
      <c r="F779">
        <v>241.655</v>
      </c>
      <c r="G779">
        <v>245.35</v>
      </c>
      <c r="H779">
        <v>245.69</v>
      </c>
    </row>
    <row r="780" spans="1:8" x14ac:dyDescent="0.3">
      <c r="A780" t="s">
        <v>884</v>
      </c>
      <c r="B780" t="s">
        <v>25</v>
      </c>
      <c r="C780">
        <v>45936</v>
      </c>
      <c r="D780">
        <v>244.78</v>
      </c>
      <c r="E780">
        <v>251.32</v>
      </c>
      <c r="F780">
        <v>244.58</v>
      </c>
      <c r="G780">
        <v>250.43</v>
      </c>
      <c r="H780">
        <v>245.35</v>
      </c>
    </row>
    <row r="781" spans="1:8" x14ac:dyDescent="0.3">
      <c r="A781" t="s">
        <v>885</v>
      </c>
      <c r="B781" t="s">
        <v>25</v>
      </c>
      <c r="C781">
        <v>45937</v>
      </c>
      <c r="D781">
        <v>248.27</v>
      </c>
      <c r="E781">
        <v>250.44</v>
      </c>
      <c r="F781">
        <v>245.52</v>
      </c>
      <c r="G781">
        <v>245.76</v>
      </c>
      <c r="H781">
        <v>250.43</v>
      </c>
    </row>
    <row r="782" spans="1:8" x14ac:dyDescent="0.3">
      <c r="A782" t="s">
        <v>886</v>
      </c>
      <c r="B782" t="s">
        <v>25</v>
      </c>
      <c r="C782">
        <v>45938</v>
      </c>
      <c r="D782">
        <v>244.96</v>
      </c>
      <c r="E782">
        <v>246.005</v>
      </c>
      <c r="F782">
        <v>243.82</v>
      </c>
      <c r="G782">
        <v>244.62</v>
      </c>
      <c r="H782">
        <v>245.76</v>
      </c>
    </row>
    <row r="783" spans="1:8" x14ac:dyDescent="0.3">
      <c r="A783" t="s">
        <v>887</v>
      </c>
      <c r="B783" t="s">
        <v>25</v>
      </c>
      <c r="C783">
        <v>45939</v>
      </c>
      <c r="D783">
        <v>244.47</v>
      </c>
      <c r="E783">
        <v>244.76</v>
      </c>
      <c r="F783">
        <v>239.15</v>
      </c>
      <c r="G783">
        <v>241.53</v>
      </c>
      <c r="H783">
        <v>244.62</v>
      </c>
    </row>
    <row r="784" spans="1:8" x14ac:dyDescent="0.3">
      <c r="A784" t="s">
        <v>888</v>
      </c>
      <c r="B784" t="s">
        <v>25</v>
      </c>
      <c r="C784">
        <v>45940</v>
      </c>
      <c r="D784">
        <v>241.43</v>
      </c>
      <c r="E784">
        <v>244.09</v>
      </c>
      <c r="F784">
        <v>235.84</v>
      </c>
      <c r="G784">
        <v>236.57</v>
      </c>
      <c r="H784">
        <v>241.53</v>
      </c>
    </row>
    <row r="785" spans="1:8" x14ac:dyDescent="0.3">
      <c r="A785" t="s">
        <v>889</v>
      </c>
      <c r="B785" t="s">
        <v>25</v>
      </c>
      <c r="C785">
        <v>45943</v>
      </c>
      <c r="D785">
        <v>240.21</v>
      </c>
      <c r="E785">
        <v>244.5</v>
      </c>
      <c r="F785">
        <v>239.71</v>
      </c>
      <c r="G785">
        <v>244.15</v>
      </c>
      <c r="H785">
        <v>236.57</v>
      </c>
    </row>
    <row r="786" spans="1:8" x14ac:dyDescent="0.3">
      <c r="A786" t="s">
        <v>890</v>
      </c>
      <c r="B786" t="s">
        <v>25</v>
      </c>
      <c r="C786">
        <v>45944</v>
      </c>
      <c r="D786">
        <v>241.23</v>
      </c>
      <c r="E786">
        <v>247.12</v>
      </c>
      <c r="F786">
        <v>240.51</v>
      </c>
      <c r="G786">
        <v>245.45</v>
      </c>
      <c r="H786">
        <v>244.15</v>
      </c>
    </row>
    <row r="787" spans="1:8" x14ac:dyDescent="0.3">
      <c r="A787" t="s">
        <v>891</v>
      </c>
      <c r="B787" t="s">
        <v>25</v>
      </c>
      <c r="C787">
        <v>45945</v>
      </c>
      <c r="D787">
        <v>247.245</v>
      </c>
      <c r="E787">
        <v>252.11</v>
      </c>
      <c r="F787">
        <v>245.99</v>
      </c>
      <c r="G787">
        <v>251.03</v>
      </c>
      <c r="H787">
        <v>245.45</v>
      </c>
    </row>
    <row r="788" spans="1:8" x14ac:dyDescent="0.3">
      <c r="A788" t="s">
        <v>892</v>
      </c>
      <c r="B788" t="s">
        <v>25</v>
      </c>
      <c r="C788">
        <v>45946</v>
      </c>
      <c r="D788">
        <v>251.76499999999999</v>
      </c>
      <c r="E788">
        <v>256.95999999999998</v>
      </c>
      <c r="F788">
        <v>250.101</v>
      </c>
      <c r="G788">
        <v>251.46</v>
      </c>
      <c r="H788">
        <v>251.03</v>
      </c>
    </row>
    <row r="789" spans="1:8" x14ac:dyDescent="0.3">
      <c r="A789" t="s">
        <v>893</v>
      </c>
      <c r="B789" t="s">
        <v>25</v>
      </c>
      <c r="C789">
        <v>45947</v>
      </c>
      <c r="D789">
        <v>250.76</v>
      </c>
      <c r="E789">
        <v>254.22</v>
      </c>
      <c r="F789">
        <v>247.81</v>
      </c>
      <c r="G789">
        <v>253.3</v>
      </c>
      <c r="H789">
        <v>251.46</v>
      </c>
    </row>
    <row r="790" spans="1:8" x14ac:dyDescent="0.3">
      <c r="A790" t="s">
        <v>894</v>
      </c>
      <c r="B790" t="s">
        <v>25</v>
      </c>
      <c r="C790">
        <v>45950</v>
      </c>
      <c r="D790">
        <v>254.69</v>
      </c>
      <c r="E790">
        <v>257.33</v>
      </c>
      <c r="F790">
        <v>254.23</v>
      </c>
      <c r="G790">
        <v>256.55</v>
      </c>
      <c r="H790">
        <v>253.3</v>
      </c>
    </row>
    <row r="791" spans="1:8" x14ac:dyDescent="0.3">
      <c r="A791" t="s">
        <v>895</v>
      </c>
      <c r="B791" t="s">
        <v>25</v>
      </c>
      <c r="C791">
        <v>45951</v>
      </c>
      <c r="D791">
        <v>254.74</v>
      </c>
      <c r="E791">
        <v>254.88</v>
      </c>
      <c r="F791">
        <v>244.15</v>
      </c>
      <c r="G791">
        <v>250.46</v>
      </c>
      <c r="H791">
        <v>256.55</v>
      </c>
    </row>
    <row r="792" spans="1:8" x14ac:dyDescent="0.3">
      <c r="A792" t="s">
        <v>896</v>
      </c>
      <c r="B792" t="s">
        <v>25</v>
      </c>
      <c r="C792">
        <v>45952</v>
      </c>
      <c r="D792">
        <v>254.37</v>
      </c>
      <c r="E792">
        <v>256.36</v>
      </c>
      <c r="F792">
        <v>249.29</v>
      </c>
      <c r="G792">
        <v>251.69</v>
      </c>
      <c r="H792">
        <v>250.46</v>
      </c>
    </row>
    <row r="793" spans="1:8" x14ac:dyDescent="0.3">
      <c r="A793" t="s">
        <v>897</v>
      </c>
      <c r="B793" t="s">
        <v>25</v>
      </c>
      <c r="C793">
        <v>45953</v>
      </c>
      <c r="D793">
        <v>252.98</v>
      </c>
      <c r="E793">
        <v>255.04</v>
      </c>
      <c r="F793">
        <v>251.85</v>
      </c>
      <c r="G793">
        <v>253.08</v>
      </c>
      <c r="H793">
        <v>251.69</v>
      </c>
    </row>
    <row r="794" spans="1:8" x14ac:dyDescent="0.3">
      <c r="A794" t="s">
        <v>898</v>
      </c>
      <c r="B794" t="s">
        <v>25</v>
      </c>
      <c r="C794">
        <v>45954</v>
      </c>
      <c r="D794">
        <v>256.58</v>
      </c>
      <c r="E794">
        <v>261.68</v>
      </c>
      <c r="F794">
        <v>255.315</v>
      </c>
      <c r="G794">
        <v>259.92</v>
      </c>
      <c r="H794">
        <v>253.08</v>
      </c>
    </row>
    <row r="795" spans="1:8" x14ac:dyDescent="0.3">
      <c r="A795" t="s">
        <v>899</v>
      </c>
      <c r="B795" t="s">
        <v>25</v>
      </c>
      <c r="C795">
        <v>45957</v>
      </c>
      <c r="D795">
        <v>264.815</v>
      </c>
      <c r="E795">
        <v>270.14</v>
      </c>
      <c r="F795">
        <v>264.27999999999997</v>
      </c>
      <c r="G795">
        <v>269.27</v>
      </c>
      <c r="H795">
        <v>259.92</v>
      </c>
    </row>
    <row r="796" spans="1:8" x14ac:dyDescent="0.3">
      <c r="A796" t="s">
        <v>900</v>
      </c>
      <c r="B796" t="s">
        <v>25</v>
      </c>
      <c r="C796">
        <v>45958</v>
      </c>
      <c r="D796">
        <v>269.69</v>
      </c>
      <c r="E796">
        <v>270.73</v>
      </c>
      <c r="F796">
        <v>266.5</v>
      </c>
      <c r="G796">
        <v>267.47000000000003</v>
      </c>
      <c r="H796">
        <v>269.27</v>
      </c>
    </row>
    <row r="797" spans="1:8" x14ac:dyDescent="0.3">
      <c r="A797" t="s">
        <v>901</v>
      </c>
      <c r="B797" t="s">
        <v>25</v>
      </c>
      <c r="C797">
        <v>45959</v>
      </c>
      <c r="D797">
        <v>267.75</v>
      </c>
      <c r="E797">
        <v>275.33600000000001</v>
      </c>
      <c r="F797">
        <v>267.67</v>
      </c>
      <c r="G797">
        <v>274.57</v>
      </c>
      <c r="H797">
        <v>267.47000000000003</v>
      </c>
    </row>
    <row r="798" spans="1:8" x14ac:dyDescent="0.3">
      <c r="A798" t="s">
        <v>902</v>
      </c>
      <c r="B798" t="s">
        <v>25</v>
      </c>
      <c r="C798">
        <v>45960</v>
      </c>
      <c r="D798">
        <v>291.58999999999997</v>
      </c>
      <c r="E798">
        <v>291.58999999999997</v>
      </c>
      <c r="F798">
        <v>280.06</v>
      </c>
      <c r="G798">
        <v>281.48</v>
      </c>
      <c r="H798">
        <v>274.57</v>
      </c>
    </row>
    <row r="799" spans="1:8" x14ac:dyDescent="0.3">
      <c r="A799" t="s">
        <v>903</v>
      </c>
      <c r="B799" t="s">
        <v>25</v>
      </c>
      <c r="C799">
        <v>45961</v>
      </c>
      <c r="D799">
        <v>283.20999999999998</v>
      </c>
      <c r="E799">
        <v>286</v>
      </c>
      <c r="F799">
        <v>277.02999999999997</v>
      </c>
      <c r="G799">
        <v>281.19</v>
      </c>
      <c r="H799">
        <v>281.48</v>
      </c>
    </row>
    <row r="800" spans="1:8" x14ac:dyDescent="0.3">
      <c r="A800" t="s">
        <v>904</v>
      </c>
      <c r="B800" t="s">
        <v>25</v>
      </c>
      <c r="C800">
        <v>45964</v>
      </c>
      <c r="D800">
        <v>282.17500000000001</v>
      </c>
      <c r="E800">
        <v>285.52999999999997</v>
      </c>
      <c r="F800">
        <v>279.8</v>
      </c>
      <c r="G800">
        <v>283.72000000000003</v>
      </c>
      <c r="H800">
        <v>281.19</v>
      </c>
    </row>
    <row r="801" spans="1:8" x14ac:dyDescent="0.3">
      <c r="A801" t="s">
        <v>905</v>
      </c>
      <c r="B801" t="s">
        <v>25</v>
      </c>
      <c r="C801">
        <v>45965</v>
      </c>
      <c r="D801">
        <v>276.75</v>
      </c>
      <c r="E801">
        <v>281.27</v>
      </c>
      <c r="F801">
        <v>276.26</v>
      </c>
      <c r="G801">
        <v>277.54000000000002</v>
      </c>
      <c r="H801">
        <v>283.72000000000003</v>
      </c>
    </row>
    <row r="802" spans="1:8" x14ac:dyDescent="0.3">
      <c r="A802" t="s">
        <v>906</v>
      </c>
      <c r="B802" t="s">
        <v>25</v>
      </c>
      <c r="C802">
        <v>45966</v>
      </c>
      <c r="D802">
        <v>278.87</v>
      </c>
      <c r="E802">
        <v>286.41500000000002</v>
      </c>
      <c r="F802">
        <v>277.33999999999997</v>
      </c>
      <c r="G802">
        <v>284.31</v>
      </c>
      <c r="H802">
        <v>277.54000000000002</v>
      </c>
    </row>
    <row r="803" spans="1:8" x14ac:dyDescent="0.3">
      <c r="A803" t="s">
        <v>907</v>
      </c>
      <c r="B803" t="s">
        <v>25</v>
      </c>
      <c r="C803">
        <v>45967</v>
      </c>
      <c r="D803">
        <v>285.33</v>
      </c>
      <c r="E803">
        <v>288.35000000000002</v>
      </c>
      <c r="F803">
        <v>281.14</v>
      </c>
      <c r="G803">
        <v>284.75</v>
      </c>
      <c r="H803">
        <v>284.31</v>
      </c>
    </row>
    <row r="804" spans="1:8" x14ac:dyDescent="0.3">
      <c r="A804" t="s">
        <v>908</v>
      </c>
      <c r="B804" t="s">
        <v>25</v>
      </c>
      <c r="C804">
        <v>45968</v>
      </c>
      <c r="D804">
        <v>283.20499999999998</v>
      </c>
      <c r="E804">
        <v>283.77999999999997</v>
      </c>
      <c r="F804">
        <v>275.19</v>
      </c>
      <c r="G804">
        <v>278.83</v>
      </c>
      <c r="H804">
        <v>284.75</v>
      </c>
    </row>
    <row r="805" spans="1:8" x14ac:dyDescent="0.3">
      <c r="A805" t="s">
        <v>909</v>
      </c>
      <c r="B805" t="s">
        <v>25</v>
      </c>
      <c r="C805">
        <v>45971</v>
      </c>
      <c r="D805">
        <v>284.42</v>
      </c>
      <c r="E805">
        <v>290.8</v>
      </c>
      <c r="F805">
        <v>282.85500000000002</v>
      </c>
      <c r="G805">
        <v>290.10000000000002</v>
      </c>
      <c r="H805">
        <v>278.83</v>
      </c>
    </row>
    <row r="806" spans="1:8" x14ac:dyDescent="0.3">
      <c r="A806" t="s">
        <v>910</v>
      </c>
      <c r="B806" t="s">
        <v>25</v>
      </c>
      <c r="C806">
        <v>45972</v>
      </c>
      <c r="D806">
        <v>287.745</v>
      </c>
      <c r="E806">
        <v>291.91500000000002</v>
      </c>
      <c r="F806">
        <v>287.32</v>
      </c>
      <c r="G806">
        <v>291.31</v>
      </c>
      <c r="H806">
        <v>290.10000000000002</v>
      </c>
    </row>
    <row r="807" spans="1:8" x14ac:dyDescent="0.3">
      <c r="A807" t="s">
        <v>911</v>
      </c>
      <c r="B807" t="s">
        <v>25</v>
      </c>
      <c r="C807">
        <v>45973</v>
      </c>
      <c r="D807">
        <v>291.67500000000001</v>
      </c>
      <c r="E807">
        <v>292.005</v>
      </c>
      <c r="F807">
        <v>283.69</v>
      </c>
      <c r="G807">
        <v>286.70999999999998</v>
      </c>
      <c r="H807">
        <v>291.31</v>
      </c>
    </row>
    <row r="808" spans="1:8" x14ac:dyDescent="0.3">
      <c r="A808" t="s">
        <v>912</v>
      </c>
      <c r="B808" t="s">
        <v>25</v>
      </c>
      <c r="C808">
        <v>45974</v>
      </c>
      <c r="D808">
        <v>282.33999999999997</v>
      </c>
      <c r="E808">
        <v>282.83999999999997</v>
      </c>
      <c r="F808">
        <v>277.24</v>
      </c>
      <c r="G808">
        <v>278.57</v>
      </c>
      <c r="H808">
        <v>286.70999999999998</v>
      </c>
    </row>
    <row r="809" spans="1:8" x14ac:dyDescent="0.3">
      <c r="A809" t="s">
        <v>913</v>
      </c>
      <c r="B809" t="s">
        <v>25</v>
      </c>
      <c r="C809">
        <v>45975</v>
      </c>
      <c r="D809">
        <v>271.40499999999997</v>
      </c>
      <c r="E809">
        <v>278.56</v>
      </c>
      <c r="F809">
        <v>270.7</v>
      </c>
      <c r="G809">
        <v>276.41000000000003</v>
      </c>
      <c r="H809">
        <v>278.57</v>
      </c>
    </row>
    <row r="810" spans="1:8" x14ac:dyDescent="0.3">
      <c r="A810" t="s">
        <v>914</v>
      </c>
      <c r="B810" t="s">
        <v>25</v>
      </c>
      <c r="C810">
        <v>45978</v>
      </c>
      <c r="D810">
        <v>285.77499999999998</v>
      </c>
      <c r="E810">
        <v>293.95</v>
      </c>
      <c r="F810">
        <v>283.57</v>
      </c>
      <c r="G810">
        <v>285.02</v>
      </c>
      <c r="H810">
        <v>276.41000000000003</v>
      </c>
    </row>
    <row r="811" spans="1:8" x14ac:dyDescent="0.3">
      <c r="A811" t="s">
        <v>915</v>
      </c>
      <c r="B811" t="s">
        <v>25</v>
      </c>
      <c r="C811">
        <v>45979</v>
      </c>
      <c r="D811">
        <v>287.91500000000002</v>
      </c>
      <c r="E811">
        <v>288.8</v>
      </c>
      <c r="F811">
        <v>278.2</v>
      </c>
      <c r="G811">
        <v>284.27999999999997</v>
      </c>
      <c r="H811">
        <v>285.02</v>
      </c>
    </row>
    <row r="812" spans="1:8" x14ac:dyDescent="0.3">
      <c r="A812" t="s">
        <v>916</v>
      </c>
      <c r="B812" t="s">
        <v>25</v>
      </c>
      <c r="C812">
        <v>45980</v>
      </c>
      <c r="D812">
        <v>287.16000000000003</v>
      </c>
      <c r="E812">
        <v>303.81</v>
      </c>
      <c r="F812">
        <v>286.63</v>
      </c>
      <c r="G812">
        <v>292.81</v>
      </c>
      <c r="H812">
        <v>284.27999999999997</v>
      </c>
    </row>
    <row r="813" spans="1:8" x14ac:dyDescent="0.3">
      <c r="A813" t="s">
        <v>917</v>
      </c>
      <c r="B813" t="s">
        <v>25</v>
      </c>
      <c r="C813">
        <v>45981</v>
      </c>
      <c r="D813">
        <v>304.54000000000002</v>
      </c>
      <c r="E813">
        <v>306.42</v>
      </c>
      <c r="F813">
        <v>288.67</v>
      </c>
      <c r="G813">
        <v>289.45</v>
      </c>
      <c r="H813">
        <v>292.81</v>
      </c>
    </row>
    <row r="814" spans="1:8" x14ac:dyDescent="0.3">
      <c r="A814" t="s">
        <v>918</v>
      </c>
      <c r="B814" t="s">
        <v>25</v>
      </c>
      <c r="C814">
        <v>45982</v>
      </c>
      <c r="D814">
        <v>296.41500000000002</v>
      </c>
      <c r="E814">
        <v>303.92</v>
      </c>
      <c r="F814">
        <v>293.84500000000003</v>
      </c>
      <c r="G814">
        <v>299.66000000000003</v>
      </c>
      <c r="H814">
        <v>289.45</v>
      </c>
    </row>
    <row r="815" spans="1:8" x14ac:dyDescent="0.3">
      <c r="A815" t="s">
        <v>919</v>
      </c>
      <c r="B815" t="s">
        <v>25</v>
      </c>
      <c r="C815">
        <v>45985</v>
      </c>
      <c r="D815">
        <v>311.13</v>
      </c>
      <c r="E815">
        <v>319.48</v>
      </c>
      <c r="F815">
        <v>309.59500000000003</v>
      </c>
      <c r="G815">
        <v>318.58</v>
      </c>
      <c r="H815">
        <v>299.66000000000003</v>
      </c>
    </row>
    <row r="816" spans="1:8" x14ac:dyDescent="0.3">
      <c r="A816" t="s">
        <v>920</v>
      </c>
      <c r="B816" t="s">
        <v>25</v>
      </c>
      <c r="C816">
        <v>45986</v>
      </c>
      <c r="D816">
        <v>326.20999999999998</v>
      </c>
      <c r="E816">
        <v>328.83</v>
      </c>
      <c r="F816">
        <v>317.64999999999998</v>
      </c>
      <c r="G816">
        <v>323.44</v>
      </c>
      <c r="H816">
        <v>318.58</v>
      </c>
    </row>
    <row r="817" spans="1:8" x14ac:dyDescent="0.3">
      <c r="A817" t="s">
        <v>921</v>
      </c>
      <c r="B817" t="s">
        <v>25</v>
      </c>
      <c r="C817">
        <v>45987</v>
      </c>
      <c r="D817">
        <v>320.68</v>
      </c>
      <c r="E817">
        <v>324.5</v>
      </c>
      <c r="F817">
        <v>316.79000000000002</v>
      </c>
      <c r="G817">
        <v>319.95</v>
      </c>
      <c r="H817">
        <v>323.44</v>
      </c>
    </row>
    <row r="818" spans="1:8" x14ac:dyDescent="0.3">
      <c r="A818" t="s">
        <v>922</v>
      </c>
      <c r="B818" t="s">
        <v>25</v>
      </c>
      <c r="C818">
        <v>45989</v>
      </c>
      <c r="D818">
        <v>323.36500000000001</v>
      </c>
      <c r="E818">
        <v>326.85000000000002</v>
      </c>
      <c r="F818">
        <v>316.79000000000002</v>
      </c>
      <c r="G818">
        <v>320.18</v>
      </c>
      <c r="H818">
        <v>319.95</v>
      </c>
    </row>
    <row r="819" spans="1:8" x14ac:dyDescent="0.3">
      <c r="A819" t="s">
        <v>923</v>
      </c>
      <c r="B819" t="s">
        <v>25</v>
      </c>
      <c r="C819">
        <v>45992</v>
      </c>
      <c r="D819">
        <v>317.7</v>
      </c>
      <c r="E819">
        <v>319.85000000000002</v>
      </c>
      <c r="F819">
        <v>313.89</v>
      </c>
      <c r="G819">
        <v>314.89</v>
      </c>
      <c r="H819">
        <v>320.18</v>
      </c>
    </row>
    <row r="820" spans="1:8" x14ac:dyDescent="0.3">
      <c r="A820" t="s">
        <v>924</v>
      </c>
      <c r="B820" t="s">
        <v>25</v>
      </c>
      <c r="C820">
        <v>45993</v>
      </c>
      <c r="D820">
        <v>316.74</v>
      </c>
      <c r="E820">
        <v>318.38</v>
      </c>
      <c r="F820">
        <v>313.91000000000003</v>
      </c>
      <c r="G820">
        <v>315.81</v>
      </c>
      <c r="H820">
        <v>314.89</v>
      </c>
    </row>
    <row r="821" spans="1:8" x14ac:dyDescent="0.3">
      <c r="A821" t="s">
        <v>925</v>
      </c>
      <c r="B821" t="s">
        <v>25</v>
      </c>
      <c r="C821">
        <v>45994</v>
      </c>
      <c r="D821">
        <v>315.89</v>
      </c>
      <c r="E821">
        <v>321.58</v>
      </c>
      <c r="F821">
        <v>314.10000000000002</v>
      </c>
      <c r="G821">
        <v>319.63</v>
      </c>
      <c r="H821">
        <v>315.81</v>
      </c>
    </row>
    <row r="822" spans="1:8" x14ac:dyDescent="0.3">
      <c r="A822" t="s">
        <v>926</v>
      </c>
      <c r="B822" t="s">
        <v>25</v>
      </c>
      <c r="C822">
        <v>45995</v>
      </c>
      <c r="D822">
        <v>322.22500000000002</v>
      </c>
      <c r="E822">
        <v>322.36</v>
      </c>
      <c r="F822">
        <v>314.7</v>
      </c>
      <c r="G822">
        <v>317.62</v>
      </c>
      <c r="H822">
        <v>319.63</v>
      </c>
    </row>
    <row r="823" spans="1:8" x14ac:dyDescent="0.3">
      <c r="A823" t="s">
        <v>927</v>
      </c>
      <c r="B823" t="s">
        <v>25</v>
      </c>
      <c r="C823">
        <v>45996</v>
      </c>
      <c r="D823">
        <v>319.49</v>
      </c>
      <c r="E823">
        <v>323.16000000000003</v>
      </c>
      <c r="F823">
        <v>319.16500000000002</v>
      </c>
      <c r="G823">
        <v>321.27</v>
      </c>
      <c r="H823">
        <v>317.62</v>
      </c>
    </row>
    <row r="824" spans="1:8" x14ac:dyDescent="0.3">
      <c r="A824" t="s">
        <v>928</v>
      </c>
      <c r="B824" t="s">
        <v>25</v>
      </c>
      <c r="C824">
        <v>45999</v>
      </c>
      <c r="D824">
        <v>320.05</v>
      </c>
      <c r="E824">
        <v>320.44</v>
      </c>
      <c r="F824">
        <v>311.22190000000001</v>
      </c>
      <c r="G824">
        <v>313.72000000000003</v>
      </c>
      <c r="H824">
        <v>321.27</v>
      </c>
    </row>
    <row r="825" spans="1:8" x14ac:dyDescent="0.3">
      <c r="A825" t="s">
        <v>929</v>
      </c>
      <c r="B825" t="s">
        <v>25</v>
      </c>
      <c r="C825">
        <v>46000</v>
      </c>
      <c r="D825">
        <v>312.37</v>
      </c>
      <c r="E825">
        <v>317.99</v>
      </c>
      <c r="F825">
        <v>311.89499999999998</v>
      </c>
      <c r="G825">
        <v>317.08</v>
      </c>
      <c r="H825">
        <v>313.72000000000003</v>
      </c>
    </row>
    <row r="826" spans="1:8" x14ac:dyDescent="0.3">
      <c r="A826" t="s">
        <v>930</v>
      </c>
      <c r="B826" t="s">
        <v>25</v>
      </c>
      <c r="C826">
        <v>46001</v>
      </c>
      <c r="D826">
        <v>315.83</v>
      </c>
      <c r="E826">
        <v>321.31</v>
      </c>
      <c r="F826">
        <v>314.68</v>
      </c>
      <c r="G826">
        <v>320.20999999999998</v>
      </c>
      <c r="H826">
        <v>317.08</v>
      </c>
    </row>
    <row r="827" spans="1:8" x14ac:dyDescent="0.3">
      <c r="A827" t="s">
        <v>931</v>
      </c>
      <c r="B827" t="s">
        <v>25</v>
      </c>
      <c r="C827">
        <v>46002</v>
      </c>
      <c r="D827">
        <v>320.08</v>
      </c>
      <c r="E827">
        <v>321.12</v>
      </c>
      <c r="F827">
        <v>308.60000000000002</v>
      </c>
      <c r="G827">
        <v>312.43</v>
      </c>
      <c r="H827">
        <v>320.20999999999998</v>
      </c>
    </row>
    <row r="828" spans="1:8" x14ac:dyDescent="0.3">
      <c r="A828" t="s">
        <v>932</v>
      </c>
      <c r="B828" t="s">
        <v>25</v>
      </c>
      <c r="C828">
        <v>46003</v>
      </c>
      <c r="D828">
        <v>313.7</v>
      </c>
      <c r="E828">
        <v>314.87</v>
      </c>
      <c r="F828">
        <v>305.56</v>
      </c>
      <c r="G828">
        <v>309.29000000000002</v>
      </c>
      <c r="H828">
        <v>312.43</v>
      </c>
    </row>
    <row r="829" spans="1:8" x14ac:dyDescent="0.3">
      <c r="A829" t="s">
        <v>933</v>
      </c>
      <c r="B829" t="s">
        <v>25</v>
      </c>
      <c r="C829">
        <v>46006</v>
      </c>
      <c r="D829">
        <v>311.315</v>
      </c>
      <c r="E829">
        <v>311.42</v>
      </c>
      <c r="F829">
        <v>304.88</v>
      </c>
      <c r="G829">
        <v>308.22000000000003</v>
      </c>
      <c r="H829">
        <v>309.29000000000002</v>
      </c>
    </row>
    <row r="830" spans="1:8" x14ac:dyDescent="0.3">
      <c r="A830" t="s">
        <v>934</v>
      </c>
      <c r="B830" t="s">
        <v>25</v>
      </c>
      <c r="C830">
        <v>46007</v>
      </c>
      <c r="D830">
        <v>304.94499999999999</v>
      </c>
      <c r="E830">
        <v>310.77</v>
      </c>
      <c r="F830">
        <v>302.58999999999997</v>
      </c>
      <c r="G830">
        <v>306.57</v>
      </c>
      <c r="H830">
        <v>308.22000000000003</v>
      </c>
    </row>
    <row r="831" spans="1:8" x14ac:dyDescent="0.3">
      <c r="A831" t="s">
        <v>935</v>
      </c>
      <c r="B831" t="s">
        <v>25</v>
      </c>
      <c r="C831">
        <v>46008</v>
      </c>
      <c r="D831">
        <v>308.01</v>
      </c>
      <c r="E831">
        <v>308.08999999999997</v>
      </c>
      <c r="F831">
        <v>296.12</v>
      </c>
      <c r="G831">
        <v>296.72000000000003</v>
      </c>
      <c r="H831">
        <v>306.57</v>
      </c>
    </row>
    <row r="832" spans="1:8" x14ac:dyDescent="0.3">
      <c r="A832" t="s">
        <v>936</v>
      </c>
      <c r="B832" t="s">
        <v>25</v>
      </c>
      <c r="C832">
        <v>46009</v>
      </c>
      <c r="D832">
        <v>301.72000000000003</v>
      </c>
      <c r="E832">
        <v>303.95999999999998</v>
      </c>
      <c r="F832">
        <v>299.23079999999999</v>
      </c>
      <c r="G832">
        <v>302.45999999999998</v>
      </c>
      <c r="H832">
        <v>296.72000000000003</v>
      </c>
    </row>
    <row r="833" spans="1:8" x14ac:dyDescent="0.3">
      <c r="A833" t="s">
        <v>937</v>
      </c>
      <c r="B833" t="s">
        <v>25</v>
      </c>
      <c r="C833">
        <v>46010</v>
      </c>
      <c r="D833">
        <v>301.73</v>
      </c>
      <c r="E833">
        <v>307.25</v>
      </c>
      <c r="F833">
        <v>300.97000000000003</v>
      </c>
      <c r="G833">
        <v>307.16000000000003</v>
      </c>
      <c r="H833">
        <v>302.45999999999998</v>
      </c>
    </row>
    <row r="834" spans="1:8" x14ac:dyDescent="0.3">
      <c r="A834" t="s">
        <v>938</v>
      </c>
      <c r="B834" t="s">
        <v>25</v>
      </c>
      <c r="C834">
        <v>46013</v>
      </c>
      <c r="D834">
        <v>309.875</v>
      </c>
      <c r="E834">
        <v>310.13</v>
      </c>
      <c r="F834">
        <v>305.3</v>
      </c>
      <c r="G834">
        <v>309.77999999999997</v>
      </c>
      <c r="H834">
        <v>307.16000000000003</v>
      </c>
    </row>
    <row r="835" spans="1:8" x14ac:dyDescent="0.3">
      <c r="A835" t="s">
        <v>939</v>
      </c>
      <c r="B835" t="s">
        <v>25</v>
      </c>
      <c r="C835">
        <v>46014</v>
      </c>
      <c r="D835">
        <v>309.625</v>
      </c>
      <c r="E835">
        <v>314.94</v>
      </c>
      <c r="F835">
        <v>309.32</v>
      </c>
      <c r="G835">
        <v>314.35000000000002</v>
      </c>
      <c r="H835">
        <v>309.77999999999997</v>
      </c>
    </row>
    <row r="836" spans="1:8" x14ac:dyDescent="0.3">
      <c r="A836" t="s">
        <v>940</v>
      </c>
      <c r="B836" t="s">
        <v>25</v>
      </c>
      <c r="C836">
        <v>46015</v>
      </c>
      <c r="D836">
        <v>314.77</v>
      </c>
      <c r="E836">
        <v>315.08</v>
      </c>
      <c r="F836">
        <v>311.92</v>
      </c>
      <c r="G836">
        <v>314.08999999999997</v>
      </c>
      <c r="H836">
        <v>314.35000000000002</v>
      </c>
    </row>
    <row r="837" spans="1:8" x14ac:dyDescent="0.3">
      <c r="A837" t="s">
        <v>941</v>
      </c>
      <c r="B837" t="s">
        <v>25</v>
      </c>
      <c r="C837">
        <v>46017</v>
      </c>
      <c r="D837">
        <v>314.48</v>
      </c>
      <c r="E837">
        <v>315.08499999999998</v>
      </c>
      <c r="F837">
        <v>312.27499999999998</v>
      </c>
      <c r="G837">
        <v>313.51</v>
      </c>
      <c r="H837">
        <v>314.08999999999997</v>
      </c>
    </row>
    <row r="838" spans="1:8" x14ac:dyDescent="0.3">
      <c r="A838" t="s">
        <v>942</v>
      </c>
      <c r="B838" t="s">
        <v>25</v>
      </c>
      <c r="C838">
        <v>46020</v>
      </c>
      <c r="D838">
        <v>311.36500000000001</v>
      </c>
      <c r="E838">
        <v>314.02</v>
      </c>
      <c r="F838">
        <v>310.62</v>
      </c>
      <c r="G838">
        <v>313.56</v>
      </c>
      <c r="H838">
        <v>313.51</v>
      </c>
    </row>
    <row r="839" spans="1:8" x14ac:dyDescent="0.3">
      <c r="A839" t="s">
        <v>943</v>
      </c>
      <c r="B839" t="s">
        <v>25</v>
      </c>
      <c r="C839">
        <v>46021</v>
      </c>
      <c r="D839">
        <v>312.5</v>
      </c>
      <c r="E839">
        <v>316.95</v>
      </c>
      <c r="F839">
        <v>312.45999999999998</v>
      </c>
      <c r="G839">
        <v>313.85000000000002</v>
      </c>
      <c r="H839">
        <v>313.56</v>
      </c>
    </row>
    <row r="840" spans="1:8" x14ac:dyDescent="0.3">
      <c r="A840" t="s">
        <v>99</v>
      </c>
      <c r="B840" t="s">
        <v>25</v>
      </c>
      <c r="C840">
        <v>46022</v>
      </c>
      <c r="D840">
        <v>312.84500000000003</v>
      </c>
      <c r="E840">
        <v>314.58</v>
      </c>
      <c r="F840">
        <v>311.44</v>
      </c>
      <c r="G840">
        <v>313</v>
      </c>
      <c r="H840">
        <v>313.85000000000002</v>
      </c>
    </row>
    <row r="841" spans="1:8" x14ac:dyDescent="0.3">
      <c r="A841" t="s">
        <v>944</v>
      </c>
      <c r="B841" t="s">
        <v>25</v>
      </c>
      <c r="C841">
        <v>46024</v>
      </c>
      <c r="D841">
        <v>316.89999999999998</v>
      </c>
      <c r="E841">
        <v>322.5</v>
      </c>
      <c r="F841">
        <v>310.33</v>
      </c>
      <c r="G841">
        <v>315.14999999999998</v>
      </c>
      <c r="H841">
        <v>313</v>
      </c>
    </row>
    <row r="842" spans="1:8" x14ac:dyDescent="0.3">
      <c r="A842" t="s">
        <v>945</v>
      </c>
      <c r="B842" t="s">
        <v>25</v>
      </c>
      <c r="C842">
        <v>46027</v>
      </c>
      <c r="D842">
        <v>317.65499999999997</v>
      </c>
      <c r="E842">
        <v>319.01499999999999</v>
      </c>
      <c r="F842">
        <v>314.63</v>
      </c>
      <c r="G842">
        <v>316.54000000000002</v>
      </c>
      <c r="H842">
        <v>315.14999999999998</v>
      </c>
    </row>
    <row r="843" spans="1:8" x14ac:dyDescent="0.3">
      <c r="A843" t="s">
        <v>946</v>
      </c>
      <c r="B843" t="s">
        <v>25</v>
      </c>
      <c r="C843">
        <v>46028</v>
      </c>
      <c r="D843">
        <v>316.39999999999998</v>
      </c>
      <c r="E843">
        <v>320.94</v>
      </c>
      <c r="F843">
        <v>311.77999999999997</v>
      </c>
      <c r="G843">
        <v>314.33999999999997</v>
      </c>
      <c r="H843">
        <v>316.54000000000002</v>
      </c>
    </row>
    <row r="844" spans="1:8" x14ac:dyDescent="0.3">
      <c r="A844" t="s">
        <v>947</v>
      </c>
      <c r="B844" t="s">
        <v>25</v>
      </c>
      <c r="C844">
        <v>46029</v>
      </c>
      <c r="D844">
        <v>314.36</v>
      </c>
      <c r="E844">
        <v>326.14999999999998</v>
      </c>
      <c r="F844">
        <v>314.19</v>
      </c>
      <c r="G844">
        <v>321.98</v>
      </c>
      <c r="H844">
        <v>314.33999999999997</v>
      </c>
    </row>
    <row r="845" spans="1:8" x14ac:dyDescent="0.3">
      <c r="A845" t="s">
        <v>948</v>
      </c>
      <c r="B845" t="s">
        <v>25</v>
      </c>
      <c r="C845">
        <v>46030</v>
      </c>
      <c r="D845">
        <v>328.96499999999997</v>
      </c>
      <c r="E845">
        <v>330.31959999999998</v>
      </c>
      <c r="F845">
        <v>321.5</v>
      </c>
      <c r="G845">
        <v>325.44</v>
      </c>
      <c r="H845">
        <v>321.98</v>
      </c>
    </row>
    <row r="846" spans="1:8" x14ac:dyDescent="0.3">
      <c r="A846" t="s">
        <v>949</v>
      </c>
      <c r="B846" t="s">
        <v>25</v>
      </c>
      <c r="C846">
        <v>46031</v>
      </c>
      <c r="D846">
        <v>327.08999999999997</v>
      </c>
      <c r="E846">
        <v>330.83</v>
      </c>
      <c r="F846">
        <v>325.8</v>
      </c>
      <c r="G846">
        <v>328.57</v>
      </c>
      <c r="H846">
        <v>325.44</v>
      </c>
    </row>
    <row r="847" spans="1:8" x14ac:dyDescent="0.3">
      <c r="A847" t="s">
        <v>950</v>
      </c>
      <c r="B847" t="s">
        <v>25</v>
      </c>
      <c r="C847">
        <v>46034</v>
      </c>
      <c r="D847">
        <v>325.8</v>
      </c>
      <c r="E847">
        <v>334.04</v>
      </c>
      <c r="F847">
        <v>325</v>
      </c>
      <c r="G847">
        <v>331.86</v>
      </c>
      <c r="H847">
        <v>328.57</v>
      </c>
    </row>
    <row r="848" spans="1:8" x14ac:dyDescent="0.3">
      <c r="A848" t="s">
        <v>951</v>
      </c>
      <c r="B848" t="s">
        <v>25</v>
      </c>
      <c r="C848">
        <v>46035</v>
      </c>
      <c r="D848">
        <v>334.95</v>
      </c>
      <c r="E848">
        <v>340.49</v>
      </c>
      <c r="F848">
        <v>333.62</v>
      </c>
      <c r="G848">
        <v>335.97</v>
      </c>
      <c r="H848">
        <v>331.86</v>
      </c>
    </row>
    <row r="849" spans="1:8" x14ac:dyDescent="0.3">
      <c r="A849" t="s">
        <v>952</v>
      </c>
      <c r="B849" t="s">
        <v>25</v>
      </c>
      <c r="C849">
        <v>46036</v>
      </c>
      <c r="D849">
        <v>335.06</v>
      </c>
      <c r="E849">
        <v>336.52</v>
      </c>
      <c r="F849">
        <v>330.48</v>
      </c>
      <c r="G849">
        <v>335.84</v>
      </c>
      <c r="H849">
        <v>335.97</v>
      </c>
    </row>
    <row r="850" spans="1:8" x14ac:dyDescent="0.3">
      <c r="A850" t="s">
        <v>953</v>
      </c>
      <c r="B850" t="s">
        <v>25</v>
      </c>
      <c r="C850">
        <v>46037</v>
      </c>
      <c r="D850">
        <v>337.65</v>
      </c>
      <c r="E850">
        <v>337.69</v>
      </c>
      <c r="F850">
        <v>330.74</v>
      </c>
      <c r="G850">
        <v>332.78</v>
      </c>
      <c r="H850">
        <v>335.84</v>
      </c>
    </row>
    <row r="851" spans="1:8" x14ac:dyDescent="0.3">
      <c r="A851" t="s">
        <v>954</v>
      </c>
      <c r="B851" t="s">
        <v>25</v>
      </c>
      <c r="C851">
        <v>46038</v>
      </c>
      <c r="D851">
        <v>334.41</v>
      </c>
      <c r="E851">
        <v>334.65</v>
      </c>
      <c r="F851">
        <v>327.7</v>
      </c>
      <c r="G851">
        <v>330</v>
      </c>
      <c r="H851">
        <v>332.78</v>
      </c>
    </row>
    <row r="852" spans="1:8" x14ac:dyDescent="0.3">
      <c r="A852" t="s">
        <v>955</v>
      </c>
      <c r="B852" t="s">
        <v>25</v>
      </c>
      <c r="C852">
        <v>46042</v>
      </c>
      <c r="D852">
        <v>320.87</v>
      </c>
      <c r="E852">
        <v>327.73</v>
      </c>
      <c r="F852">
        <v>320.43</v>
      </c>
      <c r="G852">
        <v>322</v>
      </c>
      <c r="H852">
        <v>330</v>
      </c>
    </row>
    <row r="853" spans="1:8" x14ac:dyDescent="0.3">
      <c r="A853" t="s">
        <v>956</v>
      </c>
      <c r="B853" t="s">
        <v>25</v>
      </c>
      <c r="C853">
        <v>46043</v>
      </c>
      <c r="D853">
        <v>320.92</v>
      </c>
      <c r="E853">
        <v>332.47989999999999</v>
      </c>
      <c r="F853">
        <v>319.35180000000003</v>
      </c>
      <c r="G853">
        <v>328.38</v>
      </c>
      <c r="H853">
        <v>322</v>
      </c>
    </row>
    <row r="854" spans="1:8" x14ac:dyDescent="0.3">
      <c r="A854" t="s">
        <v>957</v>
      </c>
      <c r="B854" t="s">
        <v>25</v>
      </c>
      <c r="C854">
        <v>46044</v>
      </c>
      <c r="D854">
        <v>334.45</v>
      </c>
      <c r="E854">
        <v>335.15</v>
      </c>
      <c r="F854">
        <v>328.75</v>
      </c>
      <c r="G854">
        <v>330.54</v>
      </c>
      <c r="H854">
        <v>328.38</v>
      </c>
    </row>
    <row r="855" spans="1:8" x14ac:dyDescent="0.3">
      <c r="A855" t="s">
        <v>958</v>
      </c>
      <c r="B855" t="s">
        <v>25</v>
      </c>
      <c r="C855">
        <v>46045</v>
      </c>
      <c r="D855">
        <v>332.48500000000001</v>
      </c>
      <c r="E855">
        <v>333.68889999999999</v>
      </c>
      <c r="F855">
        <v>327.45</v>
      </c>
      <c r="G855">
        <v>327.93</v>
      </c>
      <c r="H855">
        <v>330.54</v>
      </c>
    </row>
    <row r="856" spans="1:8" x14ac:dyDescent="0.3">
      <c r="A856" t="s">
        <v>959</v>
      </c>
      <c r="B856" t="s">
        <v>25</v>
      </c>
      <c r="C856">
        <v>46048</v>
      </c>
      <c r="D856">
        <v>327.80500000000001</v>
      </c>
      <c r="E856">
        <v>335.84</v>
      </c>
      <c r="F856">
        <v>327</v>
      </c>
      <c r="G856">
        <v>333.26</v>
      </c>
      <c r="H856">
        <v>327.93</v>
      </c>
    </row>
    <row r="857" spans="1:8" x14ac:dyDescent="0.3">
      <c r="A857" t="s">
        <v>960</v>
      </c>
      <c r="B857" t="s">
        <v>25</v>
      </c>
      <c r="C857">
        <v>46049</v>
      </c>
      <c r="D857">
        <v>335.36500000000001</v>
      </c>
      <c r="E857">
        <v>337.91</v>
      </c>
      <c r="F857">
        <v>333.48</v>
      </c>
      <c r="G857">
        <v>334.55</v>
      </c>
      <c r="H857">
        <v>333.26</v>
      </c>
    </row>
    <row r="858" spans="1:8" x14ac:dyDescent="0.3">
      <c r="A858" t="s">
        <v>961</v>
      </c>
      <c r="B858" t="s">
        <v>25</v>
      </c>
      <c r="C858">
        <v>46050</v>
      </c>
      <c r="D858">
        <v>336.06</v>
      </c>
      <c r="E858">
        <v>337.53500000000003</v>
      </c>
      <c r="F858">
        <v>331.94</v>
      </c>
      <c r="G858">
        <v>336.01</v>
      </c>
      <c r="H858">
        <v>334.55</v>
      </c>
    </row>
    <row r="859" spans="1:8" x14ac:dyDescent="0.3">
      <c r="A859" t="s">
        <v>962</v>
      </c>
      <c r="B859" t="s">
        <v>25</v>
      </c>
      <c r="C859">
        <v>46051</v>
      </c>
      <c r="D859">
        <v>340.3</v>
      </c>
      <c r="E859">
        <v>342.29</v>
      </c>
      <c r="F859">
        <v>326.54000000000002</v>
      </c>
      <c r="G859">
        <v>338.25</v>
      </c>
      <c r="H859">
        <v>336.01</v>
      </c>
    </row>
    <row r="860" spans="1:8" x14ac:dyDescent="0.3">
      <c r="A860" t="s">
        <v>963</v>
      </c>
      <c r="B860" t="s">
        <v>25</v>
      </c>
      <c r="C860">
        <v>46052</v>
      </c>
      <c r="D860">
        <v>340</v>
      </c>
      <c r="E860">
        <v>340</v>
      </c>
      <c r="F860">
        <v>332.28500000000003</v>
      </c>
      <c r="G860">
        <v>338</v>
      </c>
      <c r="H860">
        <v>338.25</v>
      </c>
    </row>
    <row r="861" spans="1:8" x14ac:dyDescent="0.3">
      <c r="A861" t="s">
        <v>964</v>
      </c>
      <c r="B861" t="s">
        <v>25</v>
      </c>
      <c r="C861">
        <v>46055</v>
      </c>
      <c r="D861">
        <v>336.22</v>
      </c>
      <c r="E861">
        <v>344.83</v>
      </c>
      <c r="F861">
        <v>335.63</v>
      </c>
      <c r="G861">
        <v>343.69</v>
      </c>
      <c r="H861">
        <v>338</v>
      </c>
    </row>
    <row r="862" spans="1:8" x14ac:dyDescent="0.3">
      <c r="A862" t="s">
        <v>965</v>
      </c>
      <c r="B862" t="s">
        <v>25</v>
      </c>
      <c r="C862">
        <v>46056</v>
      </c>
      <c r="D862">
        <v>347.34</v>
      </c>
      <c r="E862">
        <v>349</v>
      </c>
      <c r="F862">
        <v>337.47449999999998</v>
      </c>
      <c r="G862">
        <v>339.71</v>
      </c>
      <c r="H862">
        <v>343.69</v>
      </c>
    </row>
    <row r="863" spans="1:8" x14ac:dyDescent="0.3">
      <c r="A863" t="s">
        <v>966</v>
      </c>
      <c r="B863" t="s">
        <v>25</v>
      </c>
      <c r="C863">
        <v>46057</v>
      </c>
      <c r="D863">
        <v>342.96</v>
      </c>
      <c r="E863">
        <v>343.31</v>
      </c>
      <c r="F863">
        <v>328.52</v>
      </c>
      <c r="G863">
        <v>333.04</v>
      </c>
      <c r="H863">
        <v>339.71</v>
      </c>
    </row>
    <row r="864" spans="1:8" x14ac:dyDescent="0.3">
      <c r="A864" t="s">
        <v>967</v>
      </c>
      <c r="B864" t="s">
        <v>25</v>
      </c>
      <c r="C864">
        <v>46058</v>
      </c>
      <c r="D864">
        <v>312.22000000000003</v>
      </c>
      <c r="E864">
        <v>332.69</v>
      </c>
      <c r="F864">
        <v>306.45999999999998</v>
      </c>
      <c r="G864">
        <v>331.25</v>
      </c>
      <c r="H864">
        <v>333.04</v>
      </c>
    </row>
    <row r="865" spans="1:8" x14ac:dyDescent="0.3">
      <c r="A865" t="s">
        <v>968</v>
      </c>
      <c r="B865" t="s">
        <v>25</v>
      </c>
      <c r="C865">
        <v>46059</v>
      </c>
      <c r="D865">
        <v>327.18</v>
      </c>
      <c r="E865">
        <v>330.38</v>
      </c>
      <c r="F865">
        <v>319.92</v>
      </c>
      <c r="G865">
        <v>322.86</v>
      </c>
      <c r="H865">
        <v>331.25</v>
      </c>
    </row>
    <row r="866" spans="1:8" x14ac:dyDescent="0.3">
      <c r="A866" t="s">
        <v>969</v>
      </c>
      <c r="B866" t="s">
        <v>25</v>
      </c>
      <c r="C866">
        <v>46062</v>
      </c>
      <c r="D866">
        <v>320.93</v>
      </c>
      <c r="E866">
        <v>327.7</v>
      </c>
      <c r="F866">
        <v>317.26</v>
      </c>
      <c r="G866">
        <v>324.32</v>
      </c>
      <c r="H866">
        <v>322.86</v>
      </c>
    </row>
    <row r="867" spans="1:8" x14ac:dyDescent="0.3">
      <c r="A867" t="s">
        <v>970</v>
      </c>
      <c r="B867" t="s">
        <v>25</v>
      </c>
      <c r="C867">
        <v>46063</v>
      </c>
      <c r="D867">
        <v>320.97000000000003</v>
      </c>
      <c r="E867">
        <v>321.67</v>
      </c>
      <c r="F867">
        <v>314.61</v>
      </c>
      <c r="G867">
        <v>318.58</v>
      </c>
      <c r="H867">
        <v>324.32</v>
      </c>
    </row>
    <row r="868" spans="1:8" x14ac:dyDescent="0.3">
      <c r="A868" t="s">
        <v>971</v>
      </c>
      <c r="B868" t="s">
        <v>25</v>
      </c>
      <c r="C868">
        <v>46064</v>
      </c>
      <c r="D868">
        <v>318.97000000000003</v>
      </c>
      <c r="E868">
        <v>321.06</v>
      </c>
      <c r="F868">
        <v>309.66000000000003</v>
      </c>
      <c r="G868">
        <v>310.95999999999998</v>
      </c>
      <c r="H868">
        <v>318.58</v>
      </c>
    </row>
    <row r="869" spans="1:8" x14ac:dyDescent="0.3">
      <c r="A869" t="s">
        <v>972</v>
      </c>
      <c r="B869" t="s">
        <v>25</v>
      </c>
      <c r="C869">
        <v>46065</v>
      </c>
      <c r="D869">
        <v>312.08999999999997</v>
      </c>
      <c r="E869">
        <v>316.24</v>
      </c>
      <c r="F869">
        <v>307.2</v>
      </c>
      <c r="G869">
        <v>309</v>
      </c>
      <c r="H869">
        <v>310.95999999999998</v>
      </c>
    </row>
    <row r="870" spans="1:8" x14ac:dyDescent="0.3">
      <c r="A870" t="s">
        <v>973</v>
      </c>
      <c r="B870" t="s">
        <v>25</v>
      </c>
      <c r="C870">
        <v>46066</v>
      </c>
      <c r="D870">
        <v>307.72500000000002</v>
      </c>
      <c r="E870">
        <v>308.63</v>
      </c>
      <c r="F870">
        <v>303.70999999999998</v>
      </c>
      <c r="G870">
        <v>305.72000000000003</v>
      </c>
      <c r="H870">
        <v>309</v>
      </c>
    </row>
    <row r="871" spans="1:8" x14ac:dyDescent="0.3">
      <c r="A871" t="s">
        <v>974</v>
      </c>
      <c r="B871" t="s">
        <v>25</v>
      </c>
      <c r="C871">
        <v>46070</v>
      </c>
      <c r="D871">
        <v>300.04000000000002</v>
      </c>
      <c r="E871">
        <v>304.435</v>
      </c>
      <c r="F871">
        <v>296.25</v>
      </c>
      <c r="G871">
        <v>302.02</v>
      </c>
      <c r="H871">
        <v>305.72000000000003</v>
      </c>
    </row>
    <row r="872" spans="1:8" x14ac:dyDescent="0.3">
      <c r="A872" t="s">
        <v>975</v>
      </c>
      <c r="B872" t="s">
        <v>25</v>
      </c>
      <c r="C872">
        <v>46071</v>
      </c>
      <c r="D872">
        <v>302.08999999999997</v>
      </c>
      <c r="E872">
        <v>305.38</v>
      </c>
      <c r="F872">
        <v>301.25</v>
      </c>
      <c r="G872">
        <v>303.33</v>
      </c>
      <c r="H872">
        <v>302.02</v>
      </c>
    </row>
    <row r="873" spans="1:8" x14ac:dyDescent="0.3">
      <c r="A873" t="s">
        <v>976</v>
      </c>
      <c r="B873" t="s">
        <v>25</v>
      </c>
      <c r="C873">
        <v>46072</v>
      </c>
      <c r="D873">
        <v>301.82</v>
      </c>
      <c r="E873">
        <v>305.47000000000003</v>
      </c>
      <c r="F873">
        <v>300.04000000000002</v>
      </c>
      <c r="G873">
        <v>302.85000000000002</v>
      </c>
      <c r="H873">
        <v>303.33</v>
      </c>
    </row>
    <row r="874" spans="1:8" x14ac:dyDescent="0.3">
      <c r="A874" t="s">
        <v>977</v>
      </c>
      <c r="B874" t="s">
        <v>25</v>
      </c>
      <c r="C874">
        <v>46073</v>
      </c>
      <c r="D874">
        <v>304.32</v>
      </c>
      <c r="E874">
        <v>316.5</v>
      </c>
      <c r="F874">
        <v>303.89999999999998</v>
      </c>
      <c r="G874">
        <v>314.98</v>
      </c>
      <c r="H874">
        <v>302.85000000000002</v>
      </c>
    </row>
    <row r="875" spans="1:8" x14ac:dyDescent="0.3">
      <c r="A875" t="s">
        <v>978</v>
      </c>
      <c r="B875" t="s">
        <v>25</v>
      </c>
      <c r="C875">
        <v>46076</v>
      </c>
      <c r="D875">
        <v>319.04500000000002</v>
      </c>
      <c r="E875">
        <v>319.51499999999999</v>
      </c>
      <c r="F875">
        <v>309.86500000000001</v>
      </c>
      <c r="G875">
        <v>311.49</v>
      </c>
      <c r="H875">
        <v>314.98</v>
      </c>
    </row>
    <row r="876" spans="1:8" x14ac:dyDescent="0.3">
      <c r="A876" t="s">
        <v>979</v>
      </c>
      <c r="B876" t="s">
        <v>25</v>
      </c>
      <c r="C876">
        <v>46077</v>
      </c>
      <c r="D876">
        <v>310.51499999999999</v>
      </c>
      <c r="E876">
        <v>312.27</v>
      </c>
      <c r="F876">
        <v>305.93</v>
      </c>
      <c r="G876">
        <v>310.89999999999998</v>
      </c>
      <c r="H876">
        <v>311.49</v>
      </c>
    </row>
    <row r="877" spans="1:8" x14ac:dyDescent="0.3">
      <c r="A877" t="s">
        <v>980</v>
      </c>
      <c r="B877" t="s">
        <v>29</v>
      </c>
      <c r="C877">
        <v>45650</v>
      </c>
      <c r="D877">
        <v>602.71500000000003</v>
      </c>
      <c r="E877">
        <v>607.99</v>
      </c>
      <c r="F877">
        <v>599.28489999999999</v>
      </c>
      <c r="G877">
        <v>607.75</v>
      </c>
      <c r="H877">
        <v>599.85</v>
      </c>
    </row>
    <row r="878" spans="1:8" x14ac:dyDescent="0.3">
      <c r="A878" t="s">
        <v>981</v>
      </c>
      <c r="B878" t="s">
        <v>29</v>
      </c>
      <c r="C878">
        <v>45652</v>
      </c>
      <c r="D878">
        <v>605.48</v>
      </c>
      <c r="E878">
        <v>606.29999999999995</v>
      </c>
      <c r="F878">
        <v>598.94000000000005</v>
      </c>
      <c r="G878">
        <v>603.35</v>
      </c>
      <c r="H878">
        <v>607.75</v>
      </c>
    </row>
    <row r="879" spans="1:8" x14ac:dyDescent="0.3">
      <c r="A879" t="s">
        <v>982</v>
      </c>
      <c r="B879" t="s">
        <v>29</v>
      </c>
      <c r="C879">
        <v>45653</v>
      </c>
      <c r="D879">
        <v>599.41</v>
      </c>
      <c r="E879">
        <v>601.85</v>
      </c>
      <c r="F879">
        <v>589.79999999999995</v>
      </c>
      <c r="G879">
        <v>599.80999999999995</v>
      </c>
      <c r="H879">
        <v>603.35</v>
      </c>
    </row>
    <row r="880" spans="1:8" x14ac:dyDescent="0.3">
      <c r="A880" t="s">
        <v>983</v>
      </c>
      <c r="B880" t="s">
        <v>29</v>
      </c>
      <c r="C880">
        <v>45656</v>
      </c>
      <c r="D880">
        <v>588.75</v>
      </c>
      <c r="E880">
        <v>596.93989999999997</v>
      </c>
      <c r="F880">
        <v>585.58000000000004</v>
      </c>
      <c r="G880">
        <v>591.24</v>
      </c>
      <c r="H880">
        <v>599.80999999999995</v>
      </c>
    </row>
    <row r="881" spans="1:8" x14ac:dyDescent="0.3">
      <c r="A881" t="s">
        <v>984</v>
      </c>
      <c r="B881" t="s">
        <v>29</v>
      </c>
      <c r="C881">
        <v>45657</v>
      </c>
      <c r="D881">
        <v>592.26499999999999</v>
      </c>
      <c r="E881">
        <v>593.97</v>
      </c>
      <c r="F881">
        <v>583.85</v>
      </c>
      <c r="G881">
        <v>585.51</v>
      </c>
      <c r="H881">
        <v>591.24</v>
      </c>
    </row>
    <row r="882" spans="1:8" x14ac:dyDescent="0.3">
      <c r="A882" t="s">
        <v>985</v>
      </c>
      <c r="B882" t="s">
        <v>29</v>
      </c>
      <c r="C882">
        <v>45659</v>
      </c>
      <c r="D882">
        <v>589.72</v>
      </c>
      <c r="E882">
        <v>604.91</v>
      </c>
      <c r="F882">
        <v>587.82000000000005</v>
      </c>
      <c r="G882">
        <v>599.24</v>
      </c>
      <c r="H882">
        <v>585.51</v>
      </c>
    </row>
    <row r="883" spans="1:8" x14ac:dyDescent="0.3">
      <c r="A883" t="s">
        <v>986</v>
      </c>
      <c r="B883" t="s">
        <v>29</v>
      </c>
      <c r="C883">
        <v>45660</v>
      </c>
      <c r="D883">
        <v>604.76</v>
      </c>
      <c r="E883">
        <v>609.5</v>
      </c>
      <c r="F883">
        <v>596.41359999999997</v>
      </c>
      <c r="G883">
        <v>604.63</v>
      </c>
      <c r="H883">
        <v>599.24</v>
      </c>
    </row>
    <row r="884" spans="1:8" x14ac:dyDescent="0.3">
      <c r="A884" t="s">
        <v>987</v>
      </c>
      <c r="B884" t="s">
        <v>29</v>
      </c>
      <c r="C884">
        <v>45663</v>
      </c>
      <c r="D884">
        <v>611.82500000000005</v>
      </c>
      <c r="E884">
        <v>630.99</v>
      </c>
      <c r="F884">
        <v>605.62</v>
      </c>
      <c r="G884">
        <v>630.20000000000005</v>
      </c>
      <c r="H884">
        <v>604.63</v>
      </c>
    </row>
    <row r="885" spans="1:8" x14ac:dyDescent="0.3">
      <c r="A885" t="s">
        <v>988</v>
      </c>
      <c r="B885" t="s">
        <v>29</v>
      </c>
      <c r="C885">
        <v>45664</v>
      </c>
      <c r="D885">
        <v>631.70000000000005</v>
      </c>
      <c r="E885">
        <v>632.10109999999997</v>
      </c>
      <c r="F885">
        <v>608.23</v>
      </c>
      <c r="G885">
        <v>617.89</v>
      </c>
      <c r="H885">
        <v>630.20000000000005</v>
      </c>
    </row>
    <row r="886" spans="1:8" x14ac:dyDescent="0.3">
      <c r="A886" t="s">
        <v>989</v>
      </c>
      <c r="B886" t="s">
        <v>29</v>
      </c>
      <c r="C886">
        <v>45665</v>
      </c>
      <c r="D886">
        <v>613.39499999999998</v>
      </c>
      <c r="E886">
        <v>616.43970000000002</v>
      </c>
      <c r="F886">
        <v>602.79</v>
      </c>
      <c r="G886">
        <v>610.72</v>
      </c>
      <c r="H886">
        <v>617.89</v>
      </c>
    </row>
    <row r="887" spans="1:8" x14ac:dyDescent="0.3">
      <c r="A887" t="s">
        <v>990</v>
      </c>
      <c r="B887" t="s">
        <v>29</v>
      </c>
      <c r="C887">
        <v>45667</v>
      </c>
      <c r="D887">
        <v>610.03</v>
      </c>
      <c r="E887">
        <v>629.91</v>
      </c>
      <c r="F887">
        <v>597.34</v>
      </c>
      <c r="G887">
        <v>615.86</v>
      </c>
      <c r="H887">
        <v>610.72</v>
      </c>
    </row>
    <row r="888" spans="1:8" x14ac:dyDescent="0.3">
      <c r="A888" t="s">
        <v>991</v>
      </c>
      <c r="B888" t="s">
        <v>29</v>
      </c>
      <c r="C888">
        <v>45670</v>
      </c>
      <c r="D888">
        <v>607.1</v>
      </c>
      <c r="E888">
        <v>608.97</v>
      </c>
      <c r="F888">
        <v>598.44500000000005</v>
      </c>
      <c r="G888">
        <v>608.33000000000004</v>
      </c>
      <c r="H888">
        <v>615.86</v>
      </c>
    </row>
    <row r="889" spans="1:8" x14ac:dyDescent="0.3">
      <c r="A889" t="s">
        <v>992</v>
      </c>
      <c r="B889" t="s">
        <v>29</v>
      </c>
      <c r="C889">
        <v>45671</v>
      </c>
      <c r="D889">
        <v>605.06500000000005</v>
      </c>
      <c r="E889">
        <v>605.49</v>
      </c>
      <c r="F889">
        <v>588.54999999999995</v>
      </c>
      <c r="G889">
        <v>594.25</v>
      </c>
      <c r="H889">
        <v>608.33000000000004</v>
      </c>
    </row>
    <row r="890" spans="1:8" x14ac:dyDescent="0.3">
      <c r="A890" t="s">
        <v>993</v>
      </c>
      <c r="B890" t="s">
        <v>29</v>
      </c>
      <c r="C890">
        <v>45672</v>
      </c>
      <c r="D890">
        <v>610.21</v>
      </c>
      <c r="E890">
        <v>622.46</v>
      </c>
      <c r="F890">
        <v>606.5</v>
      </c>
      <c r="G890">
        <v>617.12</v>
      </c>
      <c r="H890">
        <v>594.25</v>
      </c>
    </row>
    <row r="891" spans="1:8" x14ac:dyDescent="0.3">
      <c r="A891" t="s">
        <v>994</v>
      </c>
      <c r="B891" t="s">
        <v>29</v>
      </c>
      <c r="C891">
        <v>45673</v>
      </c>
      <c r="D891">
        <v>611.5</v>
      </c>
      <c r="E891">
        <v>616.25</v>
      </c>
      <c r="F891">
        <v>609.71</v>
      </c>
      <c r="G891">
        <v>611.29999999999995</v>
      </c>
      <c r="H891">
        <v>617.12</v>
      </c>
    </row>
    <row r="892" spans="1:8" x14ac:dyDescent="0.3">
      <c r="A892" t="s">
        <v>995</v>
      </c>
      <c r="B892" t="s">
        <v>29</v>
      </c>
      <c r="C892">
        <v>45674</v>
      </c>
      <c r="D892">
        <v>624.04999999999995</v>
      </c>
      <c r="E892">
        <v>624.97</v>
      </c>
      <c r="F892">
        <v>603.66999999999996</v>
      </c>
      <c r="G892">
        <v>612.77</v>
      </c>
      <c r="H892">
        <v>611.29999999999995</v>
      </c>
    </row>
    <row r="893" spans="1:8" x14ac:dyDescent="0.3">
      <c r="A893" t="s">
        <v>996</v>
      </c>
      <c r="B893" t="s">
        <v>29</v>
      </c>
      <c r="C893">
        <v>45678</v>
      </c>
      <c r="D893">
        <v>617.82500000000005</v>
      </c>
      <c r="E893">
        <v>621.5</v>
      </c>
      <c r="F893">
        <v>609.00819999999999</v>
      </c>
      <c r="G893">
        <v>616.46</v>
      </c>
      <c r="H893">
        <v>612.77</v>
      </c>
    </row>
    <row r="894" spans="1:8" x14ac:dyDescent="0.3">
      <c r="A894" t="s">
        <v>997</v>
      </c>
      <c r="B894" t="s">
        <v>29</v>
      </c>
      <c r="C894">
        <v>45679</v>
      </c>
      <c r="D894">
        <v>623.29999999999995</v>
      </c>
      <c r="E894">
        <v>633.70000000000005</v>
      </c>
      <c r="F894">
        <v>619.43499999999995</v>
      </c>
      <c r="G894">
        <v>623.5</v>
      </c>
      <c r="H894">
        <v>616.46</v>
      </c>
    </row>
    <row r="895" spans="1:8" x14ac:dyDescent="0.3">
      <c r="A895" t="s">
        <v>998</v>
      </c>
      <c r="B895" t="s">
        <v>29</v>
      </c>
      <c r="C895">
        <v>45680</v>
      </c>
      <c r="D895">
        <v>627.36</v>
      </c>
      <c r="E895">
        <v>636.6</v>
      </c>
      <c r="F895">
        <v>621.15</v>
      </c>
      <c r="G895">
        <v>636.45000000000005</v>
      </c>
      <c r="H895">
        <v>623.5</v>
      </c>
    </row>
    <row r="896" spans="1:8" x14ac:dyDescent="0.3">
      <c r="A896" t="s">
        <v>999</v>
      </c>
      <c r="B896" t="s">
        <v>29</v>
      </c>
      <c r="C896">
        <v>45681</v>
      </c>
      <c r="D896">
        <v>636.4</v>
      </c>
      <c r="E896">
        <v>652</v>
      </c>
      <c r="F896">
        <v>634.20000000000005</v>
      </c>
      <c r="G896">
        <v>647.49</v>
      </c>
      <c r="H896">
        <v>636.45000000000005</v>
      </c>
    </row>
    <row r="897" spans="1:8" x14ac:dyDescent="0.3">
      <c r="A897" t="s">
        <v>1000</v>
      </c>
      <c r="B897" t="s">
        <v>29</v>
      </c>
      <c r="C897">
        <v>45684</v>
      </c>
      <c r="D897">
        <v>626.61</v>
      </c>
      <c r="E897">
        <v>663.87</v>
      </c>
      <c r="F897">
        <v>625.1</v>
      </c>
      <c r="G897">
        <v>659.88</v>
      </c>
      <c r="H897">
        <v>647.49</v>
      </c>
    </row>
    <row r="898" spans="1:8" x14ac:dyDescent="0.3">
      <c r="A898" t="s">
        <v>1001</v>
      </c>
      <c r="B898" t="s">
        <v>29</v>
      </c>
      <c r="C898">
        <v>45685</v>
      </c>
      <c r="D898">
        <v>666</v>
      </c>
      <c r="E898">
        <v>682.58</v>
      </c>
      <c r="F898">
        <v>659.46500000000003</v>
      </c>
      <c r="G898">
        <v>674.33</v>
      </c>
      <c r="H898">
        <v>659.88</v>
      </c>
    </row>
    <row r="899" spans="1:8" x14ac:dyDescent="0.3">
      <c r="A899" t="s">
        <v>1002</v>
      </c>
      <c r="B899" t="s">
        <v>29</v>
      </c>
      <c r="C899">
        <v>45686</v>
      </c>
      <c r="D899">
        <v>675</v>
      </c>
      <c r="E899">
        <v>681.04589999999996</v>
      </c>
      <c r="F899">
        <v>665.67</v>
      </c>
      <c r="G899">
        <v>676.49</v>
      </c>
      <c r="H899">
        <v>674.33</v>
      </c>
    </row>
    <row r="900" spans="1:8" x14ac:dyDescent="0.3">
      <c r="A900" t="s">
        <v>1003</v>
      </c>
      <c r="B900" t="s">
        <v>29</v>
      </c>
      <c r="C900">
        <v>45687</v>
      </c>
      <c r="D900">
        <v>696.82</v>
      </c>
      <c r="E900">
        <v>710.79</v>
      </c>
      <c r="F900">
        <v>676.1</v>
      </c>
      <c r="G900">
        <v>687</v>
      </c>
      <c r="H900">
        <v>676.49</v>
      </c>
    </row>
    <row r="901" spans="1:8" x14ac:dyDescent="0.3">
      <c r="A901" t="s">
        <v>1004</v>
      </c>
      <c r="B901" t="s">
        <v>29</v>
      </c>
      <c r="C901">
        <v>45688</v>
      </c>
      <c r="D901">
        <v>691</v>
      </c>
      <c r="E901">
        <v>705.29989999999998</v>
      </c>
      <c r="F901">
        <v>685.58</v>
      </c>
      <c r="G901">
        <v>689.18</v>
      </c>
      <c r="H901">
        <v>687</v>
      </c>
    </row>
    <row r="902" spans="1:8" x14ac:dyDescent="0.3">
      <c r="A902" t="s">
        <v>1005</v>
      </c>
      <c r="B902" t="s">
        <v>29</v>
      </c>
      <c r="C902">
        <v>45691</v>
      </c>
      <c r="D902">
        <v>675.91</v>
      </c>
      <c r="E902">
        <v>704</v>
      </c>
      <c r="F902">
        <v>675.25</v>
      </c>
      <c r="G902">
        <v>697.46</v>
      </c>
      <c r="H902">
        <v>689.18</v>
      </c>
    </row>
    <row r="903" spans="1:8" x14ac:dyDescent="0.3">
      <c r="A903" t="s">
        <v>1006</v>
      </c>
      <c r="B903" t="s">
        <v>29</v>
      </c>
      <c r="C903">
        <v>45692</v>
      </c>
      <c r="D903">
        <v>702.5</v>
      </c>
      <c r="E903">
        <v>707.71</v>
      </c>
      <c r="F903">
        <v>691.61</v>
      </c>
      <c r="G903">
        <v>704.19</v>
      </c>
      <c r="H903">
        <v>697.46</v>
      </c>
    </row>
    <row r="904" spans="1:8" x14ac:dyDescent="0.3">
      <c r="A904" t="s">
        <v>1007</v>
      </c>
      <c r="B904" t="s">
        <v>29</v>
      </c>
      <c r="C904">
        <v>45693</v>
      </c>
      <c r="D904">
        <v>703.55</v>
      </c>
      <c r="E904">
        <v>718.14</v>
      </c>
      <c r="F904">
        <v>699.01</v>
      </c>
      <c r="G904">
        <v>704.87</v>
      </c>
      <c r="H904">
        <v>704.19</v>
      </c>
    </row>
    <row r="905" spans="1:8" x14ac:dyDescent="0.3">
      <c r="A905" t="s">
        <v>1008</v>
      </c>
      <c r="B905" t="s">
        <v>29</v>
      </c>
      <c r="C905">
        <v>45694</v>
      </c>
      <c r="D905">
        <v>705.88</v>
      </c>
      <c r="E905">
        <v>718.9</v>
      </c>
      <c r="F905">
        <v>703.5</v>
      </c>
      <c r="G905">
        <v>711.99</v>
      </c>
      <c r="H905">
        <v>704.87</v>
      </c>
    </row>
    <row r="906" spans="1:8" x14ac:dyDescent="0.3">
      <c r="A906" t="s">
        <v>1009</v>
      </c>
      <c r="B906" t="s">
        <v>29</v>
      </c>
      <c r="C906">
        <v>45695</v>
      </c>
      <c r="D906">
        <v>716.79499999999996</v>
      </c>
      <c r="E906">
        <v>725.01</v>
      </c>
      <c r="F906">
        <v>711.75</v>
      </c>
      <c r="G906">
        <v>714.52</v>
      </c>
      <c r="H906">
        <v>711.99</v>
      </c>
    </row>
    <row r="907" spans="1:8" x14ac:dyDescent="0.3">
      <c r="A907" t="s">
        <v>1010</v>
      </c>
      <c r="B907" t="s">
        <v>29</v>
      </c>
      <c r="C907">
        <v>45698</v>
      </c>
      <c r="D907">
        <v>718.56</v>
      </c>
      <c r="E907">
        <v>721.2</v>
      </c>
      <c r="F907">
        <v>711.33</v>
      </c>
      <c r="G907">
        <v>717.4</v>
      </c>
      <c r="H907">
        <v>714.52</v>
      </c>
    </row>
    <row r="908" spans="1:8" x14ac:dyDescent="0.3">
      <c r="A908" t="s">
        <v>1011</v>
      </c>
      <c r="B908" t="s">
        <v>29</v>
      </c>
      <c r="C908">
        <v>45699</v>
      </c>
      <c r="D908">
        <v>713.32</v>
      </c>
      <c r="E908">
        <v>723.66</v>
      </c>
      <c r="F908">
        <v>710.04</v>
      </c>
      <c r="G908">
        <v>719.8</v>
      </c>
      <c r="H908">
        <v>717.4</v>
      </c>
    </row>
    <row r="909" spans="1:8" x14ac:dyDescent="0.3">
      <c r="A909" t="s">
        <v>1012</v>
      </c>
      <c r="B909" t="s">
        <v>29</v>
      </c>
      <c r="C909">
        <v>45700</v>
      </c>
      <c r="D909">
        <v>715.3</v>
      </c>
      <c r="E909">
        <v>727.1</v>
      </c>
      <c r="F909">
        <v>712.6</v>
      </c>
      <c r="G909">
        <v>725.38</v>
      </c>
      <c r="H909">
        <v>719.8</v>
      </c>
    </row>
    <row r="910" spans="1:8" x14ac:dyDescent="0.3">
      <c r="A910" t="s">
        <v>1013</v>
      </c>
      <c r="B910" t="s">
        <v>29</v>
      </c>
      <c r="C910">
        <v>45701</v>
      </c>
      <c r="D910">
        <v>721.51969999999994</v>
      </c>
      <c r="E910">
        <v>729</v>
      </c>
      <c r="F910">
        <v>718.04</v>
      </c>
      <c r="G910">
        <v>728.56</v>
      </c>
      <c r="H910">
        <v>725.38</v>
      </c>
    </row>
    <row r="911" spans="1:8" x14ac:dyDescent="0.3">
      <c r="A911" t="s">
        <v>1014</v>
      </c>
      <c r="B911" t="s">
        <v>29</v>
      </c>
      <c r="C911">
        <v>45702</v>
      </c>
      <c r="D911">
        <v>726.14</v>
      </c>
      <c r="E911">
        <v>740.91</v>
      </c>
      <c r="F911">
        <v>725.62</v>
      </c>
      <c r="G911">
        <v>736.67</v>
      </c>
      <c r="H911">
        <v>728.56</v>
      </c>
    </row>
    <row r="912" spans="1:8" x14ac:dyDescent="0.3">
      <c r="A912" t="s">
        <v>1015</v>
      </c>
      <c r="B912" t="s">
        <v>29</v>
      </c>
      <c r="C912">
        <v>45706</v>
      </c>
      <c r="D912">
        <v>736</v>
      </c>
      <c r="E912">
        <v>737</v>
      </c>
      <c r="F912">
        <v>706.44</v>
      </c>
      <c r="G912">
        <v>716.37</v>
      </c>
      <c r="H912">
        <v>736.67</v>
      </c>
    </row>
    <row r="913" spans="1:8" x14ac:dyDescent="0.3">
      <c r="A913" t="s">
        <v>1016</v>
      </c>
      <c r="B913" t="s">
        <v>29</v>
      </c>
      <c r="C913">
        <v>45707</v>
      </c>
      <c r="D913">
        <v>704.09500000000003</v>
      </c>
      <c r="E913">
        <v>707</v>
      </c>
      <c r="F913">
        <v>695.39</v>
      </c>
      <c r="G913">
        <v>703.77</v>
      </c>
      <c r="H913">
        <v>716.37</v>
      </c>
    </row>
    <row r="914" spans="1:8" x14ac:dyDescent="0.3">
      <c r="A914" t="s">
        <v>1017</v>
      </c>
      <c r="B914" t="s">
        <v>29</v>
      </c>
      <c r="C914">
        <v>45708</v>
      </c>
      <c r="D914">
        <v>697.27499999999998</v>
      </c>
      <c r="E914">
        <v>705.63</v>
      </c>
      <c r="F914">
        <v>693.64</v>
      </c>
      <c r="G914">
        <v>694.84</v>
      </c>
      <c r="H914">
        <v>703.77</v>
      </c>
    </row>
    <row r="915" spans="1:8" x14ac:dyDescent="0.3">
      <c r="A915" t="s">
        <v>1018</v>
      </c>
      <c r="B915" t="s">
        <v>29</v>
      </c>
      <c r="C915">
        <v>45709</v>
      </c>
      <c r="D915">
        <v>696.58</v>
      </c>
      <c r="E915">
        <v>703.87</v>
      </c>
      <c r="F915">
        <v>682.36</v>
      </c>
      <c r="G915">
        <v>683.55</v>
      </c>
      <c r="H915">
        <v>694.84</v>
      </c>
    </row>
    <row r="916" spans="1:8" x14ac:dyDescent="0.3">
      <c r="A916" t="s">
        <v>1019</v>
      </c>
      <c r="B916" t="s">
        <v>29</v>
      </c>
      <c r="C916">
        <v>45712</v>
      </c>
      <c r="D916">
        <v>686.28</v>
      </c>
      <c r="E916">
        <v>687.27</v>
      </c>
      <c r="F916">
        <v>662.45</v>
      </c>
      <c r="G916">
        <v>668.13</v>
      </c>
      <c r="H916">
        <v>683.55</v>
      </c>
    </row>
    <row r="917" spans="1:8" x14ac:dyDescent="0.3">
      <c r="A917" t="s">
        <v>1020</v>
      </c>
      <c r="B917" t="s">
        <v>29</v>
      </c>
      <c r="C917">
        <v>45713</v>
      </c>
      <c r="D917">
        <v>665.97199999999998</v>
      </c>
      <c r="E917">
        <v>668</v>
      </c>
      <c r="F917">
        <v>641.86</v>
      </c>
      <c r="G917">
        <v>657.5</v>
      </c>
      <c r="H917">
        <v>668.13</v>
      </c>
    </row>
    <row r="918" spans="1:8" x14ac:dyDescent="0.3">
      <c r="A918" t="s">
        <v>1021</v>
      </c>
      <c r="B918" t="s">
        <v>29</v>
      </c>
      <c r="C918">
        <v>45714</v>
      </c>
      <c r="D918">
        <v>659.65</v>
      </c>
      <c r="E918">
        <v>683.00779999999997</v>
      </c>
      <c r="F918">
        <v>658</v>
      </c>
      <c r="G918">
        <v>673.7</v>
      </c>
      <c r="H918">
        <v>657.5</v>
      </c>
    </row>
    <row r="919" spans="1:8" x14ac:dyDescent="0.3">
      <c r="A919" t="s">
        <v>1022</v>
      </c>
      <c r="B919" t="s">
        <v>29</v>
      </c>
      <c r="C919">
        <v>45715</v>
      </c>
      <c r="D919">
        <v>682.45</v>
      </c>
      <c r="E919">
        <v>688.64689999999996</v>
      </c>
      <c r="F919">
        <v>657.57</v>
      </c>
      <c r="G919">
        <v>658.24</v>
      </c>
      <c r="H919">
        <v>673.7</v>
      </c>
    </row>
    <row r="920" spans="1:8" x14ac:dyDescent="0.3">
      <c r="A920" t="s">
        <v>1023</v>
      </c>
      <c r="B920" t="s">
        <v>29</v>
      </c>
      <c r="C920">
        <v>45716</v>
      </c>
      <c r="D920">
        <v>658.04</v>
      </c>
      <c r="E920">
        <v>669.63</v>
      </c>
      <c r="F920">
        <v>642.60170000000005</v>
      </c>
      <c r="G920">
        <v>668.2</v>
      </c>
      <c r="H920">
        <v>658.24</v>
      </c>
    </row>
    <row r="921" spans="1:8" x14ac:dyDescent="0.3">
      <c r="A921" t="s">
        <v>1024</v>
      </c>
      <c r="B921" t="s">
        <v>29</v>
      </c>
      <c r="C921">
        <v>45719</v>
      </c>
      <c r="D921">
        <v>673.67499999999995</v>
      </c>
      <c r="E921">
        <v>681.25</v>
      </c>
      <c r="F921">
        <v>650.84389999999996</v>
      </c>
      <c r="G921">
        <v>655.04999999999995</v>
      </c>
      <c r="H921">
        <v>668.2</v>
      </c>
    </row>
    <row r="922" spans="1:8" x14ac:dyDescent="0.3">
      <c r="A922" t="s">
        <v>1025</v>
      </c>
      <c r="B922" t="s">
        <v>29</v>
      </c>
      <c r="C922">
        <v>45720</v>
      </c>
      <c r="D922">
        <v>645.51</v>
      </c>
      <c r="E922">
        <v>649.75</v>
      </c>
      <c r="F922">
        <v>623.65</v>
      </c>
      <c r="G922">
        <v>640</v>
      </c>
      <c r="H922">
        <v>655.04999999999995</v>
      </c>
    </row>
    <row r="923" spans="1:8" x14ac:dyDescent="0.3">
      <c r="A923" t="s">
        <v>1026</v>
      </c>
      <c r="B923" t="s">
        <v>29</v>
      </c>
      <c r="C923">
        <v>45721</v>
      </c>
      <c r="D923">
        <v>641</v>
      </c>
      <c r="E923">
        <v>659.5</v>
      </c>
      <c r="F923">
        <v>637.66</v>
      </c>
      <c r="G923">
        <v>656.47</v>
      </c>
      <c r="H923">
        <v>640</v>
      </c>
    </row>
    <row r="924" spans="1:8" x14ac:dyDescent="0.3">
      <c r="A924" t="s">
        <v>1027</v>
      </c>
      <c r="B924" t="s">
        <v>29</v>
      </c>
      <c r="C924">
        <v>45722</v>
      </c>
      <c r="D924">
        <v>648</v>
      </c>
      <c r="E924">
        <v>650.5625</v>
      </c>
      <c r="F924">
        <v>624.11</v>
      </c>
      <c r="G924">
        <v>627.92999999999995</v>
      </c>
      <c r="H924">
        <v>656.47</v>
      </c>
    </row>
    <row r="925" spans="1:8" x14ac:dyDescent="0.3">
      <c r="A925" t="s">
        <v>1028</v>
      </c>
      <c r="B925" t="s">
        <v>29</v>
      </c>
      <c r="C925">
        <v>45723</v>
      </c>
      <c r="D925">
        <v>625.37</v>
      </c>
      <c r="E925">
        <v>634.79</v>
      </c>
      <c r="F925">
        <v>600.61</v>
      </c>
      <c r="G925">
        <v>625.66</v>
      </c>
      <c r="H925">
        <v>627.92999999999995</v>
      </c>
    </row>
    <row r="926" spans="1:8" x14ac:dyDescent="0.3">
      <c r="A926" t="s">
        <v>1029</v>
      </c>
      <c r="B926" t="s">
        <v>29</v>
      </c>
      <c r="C926">
        <v>45726</v>
      </c>
      <c r="D926">
        <v>608.07000000000005</v>
      </c>
      <c r="E926">
        <v>610.10590000000002</v>
      </c>
      <c r="F926">
        <v>586.87009999999998</v>
      </c>
      <c r="G926">
        <v>597.99</v>
      </c>
      <c r="H926">
        <v>625.66</v>
      </c>
    </row>
    <row r="927" spans="1:8" x14ac:dyDescent="0.3">
      <c r="A927" t="s">
        <v>1030</v>
      </c>
      <c r="B927" t="s">
        <v>29</v>
      </c>
      <c r="C927">
        <v>45727</v>
      </c>
      <c r="D927">
        <v>595.05499999999995</v>
      </c>
      <c r="E927">
        <v>614.93399999999997</v>
      </c>
      <c r="F927">
        <v>593.33000000000004</v>
      </c>
      <c r="G927">
        <v>605.71</v>
      </c>
      <c r="H927">
        <v>597.99</v>
      </c>
    </row>
    <row r="928" spans="1:8" x14ac:dyDescent="0.3">
      <c r="A928" t="s">
        <v>1031</v>
      </c>
      <c r="B928" t="s">
        <v>29</v>
      </c>
      <c r="C928">
        <v>45728</v>
      </c>
      <c r="D928">
        <v>629.9</v>
      </c>
      <c r="E928">
        <v>633.33000000000004</v>
      </c>
      <c r="F928">
        <v>609.35</v>
      </c>
      <c r="G928">
        <v>619.55999999999995</v>
      </c>
      <c r="H928">
        <v>605.71</v>
      </c>
    </row>
    <row r="929" spans="1:8" x14ac:dyDescent="0.3">
      <c r="A929" t="s">
        <v>1032</v>
      </c>
      <c r="B929" t="s">
        <v>29</v>
      </c>
      <c r="C929">
        <v>45729</v>
      </c>
      <c r="D929">
        <v>620.245</v>
      </c>
      <c r="E929">
        <v>620.5</v>
      </c>
      <c r="F929">
        <v>586.51</v>
      </c>
      <c r="G929">
        <v>590.64</v>
      </c>
      <c r="H929">
        <v>619.55999999999995</v>
      </c>
    </row>
    <row r="930" spans="1:8" x14ac:dyDescent="0.3">
      <c r="A930" t="s">
        <v>1033</v>
      </c>
      <c r="B930" t="s">
        <v>29</v>
      </c>
      <c r="C930">
        <v>45730</v>
      </c>
      <c r="D930">
        <v>602.80499999999995</v>
      </c>
      <c r="E930">
        <v>608.86</v>
      </c>
      <c r="F930">
        <v>594.78</v>
      </c>
      <c r="G930">
        <v>607.6</v>
      </c>
      <c r="H930">
        <v>590.64</v>
      </c>
    </row>
    <row r="931" spans="1:8" x14ac:dyDescent="0.3">
      <c r="A931" t="s">
        <v>1034</v>
      </c>
      <c r="B931" t="s">
        <v>29</v>
      </c>
      <c r="C931">
        <v>45733</v>
      </c>
      <c r="D931">
        <v>607.46</v>
      </c>
      <c r="E931">
        <v>613.1</v>
      </c>
      <c r="F931">
        <v>598</v>
      </c>
      <c r="G931">
        <v>604.9</v>
      </c>
      <c r="H931">
        <v>607.6</v>
      </c>
    </row>
    <row r="932" spans="1:8" x14ac:dyDescent="0.3">
      <c r="A932" t="s">
        <v>1035</v>
      </c>
      <c r="B932" t="s">
        <v>29</v>
      </c>
      <c r="C932">
        <v>45734</v>
      </c>
      <c r="D932">
        <v>600.04999999999995</v>
      </c>
      <c r="E932">
        <v>600.25</v>
      </c>
      <c r="F932">
        <v>574.66</v>
      </c>
      <c r="G932">
        <v>582.36</v>
      </c>
      <c r="H932">
        <v>604.9</v>
      </c>
    </row>
    <row r="933" spans="1:8" x14ac:dyDescent="0.3">
      <c r="A933" t="s">
        <v>1036</v>
      </c>
      <c r="B933" t="s">
        <v>29</v>
      </c>
      <c r="C933">
        <v>45735</v>
      </c>
      <c r="D933">
        <v>584.28</v>
      </c>
      <c r="E933">
        <v>592.32230000000004</v>
      </c>
      <c r="F933">
        <v>574.77</v>
      </c>
      <c r="G933">
        <v>584.05999999999995</v>
      </c>
      <c r="H933">
        <v>582.36</v>
      </c>
    </row>
    <row r="934" spans="1:8" x14ac:dyDescent="0.3">
      <c r="A934" t="s">
        <v>1037</v>
      </c>
      <c r="B934" t="s">
        <v>29</v>
      </c>
      <c r="C934">
        <v>45736</v>
      </c>
      <c r="D934">
        <v>582.755</v>
      </c>
      <c r="E934">
        <v>610.20000000000005</v>
      </c>
      <c r="F934">
        <v>579.51</v>
      </c>
      <c r="G934">
        <v>586</v>
      </c>
      <c r="H934">
        <v>584.05999999999995</v>
      </c>
    </row>
    <row r="935" spans="1:8" x14ac:dyDescent="0.3">
      <c r="A935" t="s">
        <v>1038</v>
      </c>
      <c r="B935" t="s">
        <v>29</v>
      </c>
      <c r="C935">
        <v>45737</v>
      </c>
      <c r="D935">
        <v>583.42499999999995</v>
      </c>
      <c r="E935">
        <v>597.54499999999996</v>
      </c>
      <c r="F935">
        <v>580.95000000000005</v>
      </c>
      <c r="G935">
        <v>596.25</v>
      </c>
      <c r="H935">
        <v>586</v>
      </c>
    </row>
    <row r="936" spans="1:8" x14ac:dyDescent="0.3">
      <c r="A936" t="s">
        <v>1039</v>
      </c>
      <c r="B936" t="s">
        <v>29</v>
      </c>
      <c r="C936">
        <v>45740</v>
      </c>
      <c r="D936">
        <v>614.97</v>
      </c>
      <c r="E936">
        <v>622.54</v>
      </c>
      <c r="F936">
        <v>612.20010000000002</v>
      </c>
      <c r="G936">
        <v>618.85</v>
      </c>
      <c r="H936">
        <v>596.25</v>
      </c>
    </row>
    <row r="937" spans="1:8" x14ac:dyDescent="0.3">
      <c r="A937" t="s">
        <v>1040</v>
      </c>
      <c r="B937" t="s">
        <v>29</v>
      </c>
      <c r="C937">
        <v>45741</v>
      </c>
      <c r="D937">
        <v>626.76</v>
      </c>
      <c r="E937">
        <v>633.88</v>
      </c>
      <c r="F937">
        <v>621.17999999999995</v>
      </c>
      <c r="G937">
        <v>626.30999999999995</v>
      </c>
      <c r="H937">
        <v>618.85</v>
      </c>
    </row>
    <row r="938" spans="1:8" x14ac:dyDescent="0.3">
      <c r="A938" t="s">
        <v>1041</v>
      </c>
      <c r="B938" t="s">
        <v>29</v>
      </c>
      <c r="C938">
        <v>45742</v>
      </c>
      <c r="D938">
        <v>624.89</v>
      </c>
      <c r="E938">
        <v>626.74990000000003</v>
      </c>
      <c r="F938">
        <v>606.61</v>
      </c>
      <c r="G938">
        <v>610.98</v>
      </c>
      <c r="H938">
        <v>626.30999999999995</v>
      </c>
    </row>
    <row r="939" spans="1:8" x14ac:dyDescent="0.3">
      <c r="A939" t="s">
        <v>1042</v>
      </c>
      <c r="B939" t="s">
        <v>29</v>
      </c>
      <c r="C939">
        <v>45743</v>
      </c>
      <c r="D939">
        <v>602</v>
      </c>
      <c r="E939">
        <v>614.25</v>
      </c>
      <c r="F939">
        <v>600.1</v>
      </c>
      <c r="G939">
        <v>602.58000000000004</v>
      </c>
      <c r="H939">
        <v>610.98</v>
      </c>
    </row>
    <row r="940" spans="1:8" x14ac:dyDescent="0.3">
      <c r="A940" t="s">
        <v>1043</v>
      </c>
      <c r="B940" t="s">
        <v>29</v>
      </c>
      <c r="C940">
        <v>45744</v>
      </c>
      <c r="D940">
        <v>600.30999999999995</v>
      </c>
      <c r="E940">
        <v>601.75</v>
      </c>
      <c r="F940">
        <v>573.91999999999996</v>
      </c>
      <c r="G940">
        <v>576.74</v>
      </c>
      <c r="H940">
        <v>602.58000000000004</v>
      </c>
    </row>
    <row r="941" spans="1:8" x14ac:dyDescent="0.3">
      <c r="A941" t="s">
        <v>110</v>
      </c>
      <c r="B941" t="s">
        <v>29</v>
      </c>
      <c r="C941">
        <v>45747</v>
      </c>
      <c r="D941">
        <v>563.5</v>
      </c>
      <c r="E941">
        <v>578.70000000000005</v>
      </c>
      <c r="F941">
        <v>553.29999999999995</v>
      </c>
      <c r="G941">
        <v>576.36</v>
      </c>
      <c r="H941">
        <v>576.74</v>
      </c>
    </row>
    <row r="942" spans="1:8" x14ac:dyDescent="0.3">
      <c r="A942" t="s">
        <v>1044</v>
      </c>
      <c r="B942" t="s">
        <v>29</v>
      </c>
      <c r="C942">
        <v>45748</v>
      </c>
      <c r="D942">
        <v>570.84</v>
      </c>
      <c r="E942">
        <v>589.91</v>
      </c>
      <c r="F942">
        <v>570</v>
      </c>
      <c r="G942">
        <v>586</v>
      </c>
      <c r="H942">
        <v>576.36</v>
      </c>
    </row>
    <row r="943" spans="1:8" x14ac:dyDescent="0.3">
      <c r="A943" t="s">
        <v>1045</v>
      </c>
      <c r="B943" t="s">
        <v>29</v>
      </c>
      <c r="C943">
        <v>45749</v>
      </c>
      <c r="D943">
        <v>574.91</v>
      </c>
      <c r="E943">
        <v>592.66</v>
      </c>
      <c r="F943">
        <v>573.36</v>
      </c>
      <c r="G943">
        <v>583.92999999999995</v>
      </c>
      <c r="H943">
        <v>586</v>
      </c>
    </row>
    <row r="944" spans="1:8" x14ac:dyDescent="0.3">
      <c r="A944" t="s">
        <v>1046</v>
      </c>
      <c r="B944" t="s">
        <v>29</v>
      </c>
      <c r="C944">
        <v>45750</v>
      </c>
      <c r="D944">
        <v>546.22</v>
      </c>
      <c r="E944">
        <v>552.55960000000005</v>
      </c>
      <c r="F944">
        <v>530.29999999999995</v>
      </c>
      <c r="G944">
        <v>531.62</v>
      </c>
      <c r="H944">
        <v>583.92999999999995</v>
      </c>
    </row>
    <row r="945" spans="1:8" x14ac:dyDescent="0.3">
      <c r="A945" t="s">
        <v>1047</v>
      </c>
      <c r="B945" t="s">
        <v>29</v>
      </c>
      <c r="C945">
        <v>45751</v>
      </c>
      <c r="D945">
        <v>506.62</v>
      </c>
      <c r="E945">
        <v>518</v>
      </c>
      <c r="F945">
        <v>494.2</v>
      </c>
      <c r="G945">
        <v>504.73</v>
      </c>
      <c r="H945">
        <v>531.62</v>
      </c>
    </row>
    <row r="946" spans="1:8" x14ac:dyDescent="0.3">
      <c r="A946" t="s">
        <v>1048</v>
      </c>
      <c r="B946" t="s">
        <v>29</v>
      </c>
      <c r="C946">
        <v>45754</v>
      </c>
      <c r="D946">
        <v>485.1</v>
      </c>
      <c r="E946">
        <v>539.37</v>
      </c>
      <c r="F946">
        <v>481.9</v>
      </c>
      <c r="G946">
        <v>516.25</v>
      </c>
      <c r="H946">
        <v>504.73</v>
      </c>
    </row>
    <row r="947" spans="1:8" x14ac:dyDescent="0.3">
      <c r="A947" t="s">
        <v>1049</v>
      </c>
      <c r="B947" t="s">
        <v>29</v>
      </c>
      <c r="C947">
        <v>45755</v>
      </c>
      <c r="D947">
        <v>543.25</v>
      </c>
      <c r="E947">
        <v>547.42999999999995</v>
      </c>
      <c r="F947">
        <v>502.86</v>
      </c>
      <c r="G947">
        <v>510.45</v>
      </c>
      <c r="H947">
        <v>516.25</v>
      </c>
    </row>
    <row r="948" spans="1:8" x14ac:dyDescent="0.3">
      <c r="A948" t="s">
        <v>1050</v>
      </c>
      <c r="B948" t="s">
        <v>29</v>
      </c>
      <c r="C948">
        <v>45756</v>
      </c>
      <c r="D948">
        <v>509.26499999999999</v>
      </c>
      <c r="E948">
        <v>587.89</v>
      </c>
      <c r="F948">
        <v>502.11</v>
      </c>
      <c r="G948">
        <v>585.77</v>
      </c>
      <c r="H948">
        <v>510.45</v>
      </c>
    </row>
    <row r="949" spans="1:8" x14ac:dyDescent="0.3">
      <c r="A949" t="s">
        <v>1051</v>
      </c>
      <c r="B949" t="s">
        <v>29</v>
      </c>
      <c r="C949">
        <v>45757</v>
      </c>
      <c r="D949">
        <v>575.49</v>
      </c>
      <c r="E949">
        <v>581.29999999999995</v>
      </c>
      <c r="F949">
        <v>535.29999999999995</v>
      </c>
      <c r="G949">
        <v>546.29</v>
      </c>
      <c r="H949">
        <v>585.77</v>
      </c>
    </row>
    <row r="950" spans="1:8" x14ac:dyDescent="0.3">
      <c r="A950" t="s">
        <v>1052</v>
      </c>
      <c r="B950" t="s">
        <v>29</v>
      </c>
      <c r="C950">
        <v>45758</v>
      </c>
      <c r="D950">
        <v>535.505</v>
      </c>
      <c r="E950">
        <v>547.4</v>
      </c>
      <c r="F950">
        <v>528.59010000000001</v>
      </c>
      <c r="G950">
        <v>543.57000000000005</v>
      </c>
      <c r="H950">
        <v>546.29</v>
      </c>
    </row>
    <row r="951" spans="1:8" x14ac:dyDescent="0.3">
      <c r="A951" t="s">
        <v>1053</v>
      </c>
      <c r="B951" t="s">
        <v>29</v>
      </c>
      <c r="C951">
        <v>45761</v>
      </c>
      <c r="D951">
        <v>556.17499999999995</v>
      </c>
      <c r="E951">
        <v>557.77</v>
      </c>
      <c r="F951">
        <v>528.28</v>
      </c>
      <c r="G951">
        <v>531.48</v>
      </c>
      <c r="H951">
        <v>543.57000000000005</v>
      </c>
    </row>
    <row r="952" spans="1:8" x14ac:dyDescent="0.3">
      <c r="A952" t="s">
        <v>1054</v>
      </c>
      <c r="B952" t="s">
        <v>29</v>
      </c>
      <c r="C952">
        <v>45762</v>
      </c>
      <c r="D952">
        <v>532.10500000000002</v>
      </c>
      <c r="E952">
        <v>537.94000000000005</v>
      </c>
      <c r="F952">
        <v>517.5</v>
      </c>
      <c r="G952">
        <v>521.52</v>
      </c>
      <c r="H952">
        <v>531.48</v>
      </c>
    </row>
    <row r="953" spans="1:8" x14ac:dyDescent="0.3">
      <c r="A953" t="s">
        <v>1055</v>
      </c>
      <c r="B953" t="s">
        <v>29</v>
      </c>
      <c r="C953">
        <v>45763</v>
      </c>
      <c r="D953">
        <v>508.51</v>
      </c>
      <c r="E953">
        <v>513.37</v>
      </c>
      <c r="F953">
        <v>495.63</v>
      </c>
      <c r="G953">
        <v>502.31</v>
      </c>
      <c r="H953">
        <v>521.52</v>
      </c>
    </row>
    <row r="954" spans="1:8" x14ac:dyDescent="0.3">
      <c r="A954" t="s">
        <v>1056</v>
      </c>
      <c r="B954" t="s">
        <v>29</v>
      </c>
      <c r="C954">
        <v>45764</v>
      </c>
      <c r="D954">
        <v>505.25</v>
      </c>
      <c r="E954">
        <v>507.3</v>
      </c>
      <c r="F954">
        <v>498.01330000000002</v>
      </c>
      <c r="G954">
        <v>501.48</v>
      </c>
      <c r="H954">
        <v>502.31</v>
      </c>
    </row>
    <row r="955" spans="1:8" x14ac:dyDescent="0.3">
      <c r="A955" t="s">
        <v>1057</v>
      </c>
      <c r="B955" t="s">
        <v>29</v>
      </c>
      <c r="C955">
        <v>45768</v>
      </c>
      <c r="D955">
        <v>491.32499999999999</v>
      </c>
      <c r="E955">
        <v>493.5</v>
      </c>
      <c r="F955">
        <v>479.8</v>
      </c>
      <c r="G955">
        <v>484.66</v>
      </c>
      <c r="H955">
        <v>501.48</v>
      </c>
    </row>
    <row r="956" spans="1:8" x14ac:dyDescent="0.3">
      <c r="A956" t="s">
        <v>1058</v>
      </c>
      <c r="B956" t="s">
        <v>29</v>
      </c>
      <c r="C956">
        <v>45769</v>
      </c>
      <c r="D956">
        <v>491.87</v>
      </c>
      <c r="E956">
        <v>506.88</v>
      </c>
      <c r="F956">
        <v>486.36</v>
      </c>
      <c r="G956">
        <v>500.28</v>
      </c>
      <c r="H956">
        <v>484.66</v>
      </c>
    </row>
    <row r="957" spans="1:8" x14ac:dyDescent="0.3">
      <c r="A957" t="s">
        <v>1059</v>
      </c>
      <c r="B957" t="s">
        <v>29</v>
      </c>
      <c r="C957">
        <v>45770</v>
      </c>
      <c r="D957">
        <v>528.52499999999998</v>
      </c>
      <c r="E957">
        <v>535.33759999999995</v>
      </c>
      <c r="F957">
        <v>516.52</v>
      </c>
      <c r="G957">
        <v>520.27</v>
      </c>
      <c r="H957">
        <v>500.28</v>
      </c>
    </row>
    <row r="958" spans="1:8" x14ac:dyDescent="0.3">
      <c r="A958" t="s">
        <v>1060</v>
      </c>
      <c r="B958" t="s">
        <v>29</v>
      </c>
      <c r="C958">
        <v>45771</v>
      </c>
      <c r="D958">
        <v>518.73</v>
      </c>
      <c r="E958">
        <v>533.9</v>
      </c>
      <c r="F958">
        <v>517.5</v>
      </c>
      <c r="G958">
        <v>533.15</v>
      </c>
      <c r="H958">
        <v>520.27</v>
      </c>
    </row>
    <row r="959" spans="1:8" x14ac:dyDescent="0.3">
      <c r="A959" t="s">
        <v>1061</v>
      </c>
      <c r="B959" t="s">
        <v>29</v>
      </c>
      <c r="C959">
        <v>45772</v>
      </c>
      <c r="D959">
        <v>546.79999999999995</v>
      </c>
      <c r="E959">
        <v>549.86</v>
      </c>
      <c r="F959">
        <v>536.25</v>
      </c>
      <c r="G959">
        <v>547.27</v>
      </c>
      <c r="H959">
        <v>533.15</v>
      </c>
    </row>
    <row r="960" spans="1:8" x14ac:dyDescent="0.3">
      <c r="A960" t="s">
        <v>1062</v>
      </c>
      <c r="B960" t="s">
        <v>29</v>
      </c>
      <c r="C960">
        <v>45775</v>
      </c>
      <c r="D960">
        <v>555.64</v>
      </c>
      <c r="E960">
        <v>558.48990000000003</v>
      </c>
      <c r="F960">
        <v>540.59</v>
      </c>
      <c r="G960">
        <v>549.74</v>
      </c>
      <c r="H960">
        <v>547.27</v>
      </c>
    </row>
    <row r="961" spans="1:8" x14ac:dyDescent="0.3">
      <c r="A961" t="s">
        <v>1063</v>
      </c>
      <c r="B961" t="s">
        <v>29</v>
      </c>
      <c r="C961">
        <v>45776</v>
      </c>
      <c r="D961">
        <v>546</v>
      </c>
      <c r="E961">
        <v>556.56989999999996</v>
      </c>
      <c r="F961">
        <v>544.12</v>
      </c>
      <c r="G961">
        <v>554.44000000000005</v>
      </c>
      <c r="H961">
        <v>549.74</v>
      </c>
    </row>
    <row r="962" spans="1:8" x14ac:dyDescent="0.3">
      <c r="A962" t="s">
        <v>1064</v>
      </c>
      <c r="B962" t="s">
        <v>29</v>
      </c>
      <c r="C962">
        <v>45777</v>
      </c>
      <c r="D962">
        <v>538.4</v>
      </c>
      <c r="E962">
        <v>549.1</v>
      </c>
      <c r="F962">
        <v>529.5</v>
      </c>
      <c r="G962">
        <v>549</v>
      </c>
      <c r="H962">
        <v>554.44000000000005</v>
      </c>
    </row>
    <row r="963" spans="1:8" x14ac:dyDescent="0.3">
      <c r="A963" t="s">
        <v>1065</v>
      </c>
      <c r="B963" t="s">
        <v>29</v>
      </c>
      <c r="C963">
        <v>45778</v>
      </c>
      <c r="D963">
        <v>592.07500000000005</v>
      </c>
      <c r="E963">
        <v>592.95000000000005</v>
      </c>
      <c r="F963">
        <v>570.5</v>
      </c>
      <c r="G963">
        <v>572.21</v>
      </c>
      <c r="H963">
        <v>549</v>
      </c>
    </row>
    <row r="964" spans="1:8" x14ac:dyDescent="0.3">
      <c r="A964" t="s">
        <v>1066</v>
      </c>
      <c r="B964" t="s">
        <v>29</v>
      </c>
      <c r="C964">
        <v>45779</v>
      </c>
      <c r="D964">
        <v>583.45500000000004</v>
      </c>
      <c r="E964">
        <v>604.34</v>
      </c>
      <c r="F964">
        <v>578.33000000000004</v>
      </c>
      <c r="G964">
        <v>597.02</v>
      </c>
      <c r="H964">
        <v>572.21</v>
      </c>
    </row>
    <row r="965" spans="1:8" x14ac:dyDescent="0.3">
      <c r="A965" t="s">
        <v>1067</v>
      </c>
      <c r="B965" t="s">
        <v>29</v>
      </c>
      <c r="C965">
        <v>45782</v>
      </c>
      <c r="D965">
        <v>591.22</v>
      </c>
      <c r="E965">
        <v>603.21</v>
      </c>
      <c r="F965">
        <v>588.04999999999995</v>
      </c>
      <c r="G965">
        <v>599.27</v>
      </c>
      <c r="H965">
        <v>597.02</v>
      </c>
    </row>
    <row r="966" spans="1:8" x14ac:dyDescent="0.3">
      <c r="A966" t="s">
        <v>1068</v>
      </c>
      <c r="B966" t="s">
        <v>29</v>
      </c>
      <c r="C966">
        <v>45783</v>
      </c>
      <c r="D966">
        <v>592.52499999999998</v>
      </c>
      <c r="E966">
        <v>596.03</v>
      </c>
      <c r="F966">
        <v>586.58000000000004</v>
      </c>
      <c r="G966">
        <v>587.30999999999995</v>
      </c>
      <c r="H966">
        <v>599.27</v>
      </c>
    </row>
    <row r="967" spans="1:8" x14ac:dyDescent="0.3">
      <c r="A967" t="s">
        <v>1069</v>
      </c>
      <c r="B967" t="s">
        <v>29</v>
      </c>
      <c r="C967">
        <v>45784</v>
      </c>
      <c r="D967">
        <v>590.36</v>
      </c>
      <c r="E967">
        <v>603.07500000000005</v>
      </c>
      <c r="F967">
        <v>586.66999999999996</v>
      </c>
      <c r="G967">
        <v>596.80999999999995</v>
      </c>
      <c r="H967">
        <v>587.30999999999995</v>
      </c>
    </row>
    <row r="968" spans="1:8" x14ac:dyDescent="0.3">
      <c r="A968" t="s">
        <v>1070</v>
      </c>
      <c r="B968" t="s">
        <v>29</v>
      </c>
      <c r="C968">
        <v>45785</v>
      </c>
      <c r="D968">
        <v>606.28499999999997</v>
      </c>
      <c r="E968">
        <v>611.29589999999996</v>
      </c>
      <c r="F968">
        <v>596.62</v>
      </c>
      <c r="G968">
        <v>598.01</v>
      </c>
      <c r="H968">
        <v>596.80999999999995</v>
      </c>
    </row>
    <row r="969" spans="1:8" x14ac:dyDescent="0.3">
      <c r="A969" t="s">
        <v>1071</v>
      </c>
      <c r="B969" t="s">
        <v>29</v>
      </c>
      <c r="C969">
        <v>45786</v>
      </c>
      <c r="D969">
        <v>603.72</v>
      </c>
      <c r="E969">
        <v>606.97</v>
      </c>
      <c r="F969">
        <v>591.70619999999997</v>
      </c>
      <c r="G969">
        <v>592.49</v>
      </c>
      <c r="H969">
        <v>598.01</v>
      </c>
    </row>
    <row r="970" spans="1:8" x14ac:dyDescent="0.3">
      <c r="A970" t="s">
        <v>1072</v>
      </c>
      <c r="B970" t="s">
        <v>29</v>
      </c>
      <c r="C970">
        <v>45789</v>
      </c>
      <c r="D970">
        <v>630.91999999999996</v>
      </c>
      <c r="E970">
        <v>640.38959999999997</v>
      </c>
      <c r="F970">
        <v>621.03</v>
      </c>
      <c r="G970">
        <v>639.42999999999995</v>
      </c>
      <c r="H970">
        <v>592.49</v>
      </c>
    </row>
    <row r="971" spans="1:8" x14ac:dyDescent="0.3">
      <c r="A971" t="s">
        <v>1073</v>
      </c>
      <c r="B971" t="s">
        <v>29</v>
      </c>
      <c r="C971">
        <v>45790</v>
      </c>
      <c r="D971">
        <v>645.54499999999996</v>
      </c>
      <c r="E971">
        <v>660.92</v>
      </c>
      <c r="F971">
        <v>642.83000000000004</v>
      </c>
      <c r="G971">
        <v>656.03</v>
      </c>
      <c r="H971">
        <v>639.42999999999995</v>
      </c>
    </row>
    <row r="972" spans="1:8" x14ac:dyDescent="0.3">
      <c r="A972" t="s">
        <v>1074</v>
      </c>
      <c r="B972" t="s">
        <v>29</v>
      </c>
      <c r="C972">
        <v>45791</v>
      </c>
      <c r="D972">
        <v>661.21</v>
      </c>
      <c r="E972">
        <v>662.67</v>
      </c>
      <c r="F972">
        <v>654.30999999999995</v>
      </c>
      <c r="G972">
        <v>659.36</v>
      </c>
      <c r="H972">
        <v>656.03</v>
      </c>
    </row>
    <row r="973" spans="1:8" x14ac:dyDescent="0.3">
      <c r="A973" t="s">
        <v>1075</v>
      </c>
      <c r="B973" t="s">
        <v>29</v>
      </c>
      <c r="C973">
        <v>45792</v>
      </c>
      <c r="D973">
        <v>654.27499999999998</v>
      </c>
      <c r="E973">
        <v>657.31</v>
      </c>
      <c r="F973">
        <v>638.58000000000004</v>
      </c>
      <c r="G973">
        <v>643.88</v>
      </c>
      <c r="H973">
        <v>659.36</v>
      </c>
    </row>
    <row r="974" spans="1:8" x14ac:dyDescent="0.3">
      <c r="A974" t="s">
        <v>1076</v>
      </c>
      <c r="B974" t="s">
        <v>29</v>
      </c>
      <c r="C974">
        <v>45793</v>
      </c>
      <c r="D974">
        <v>637.95500000000004</v>
      </c>
      <c r="E974">
        <v>640.44000000000005</v>
      </c>
      <c r="F974">
        <v>626.15</v>
      </c>
      <c r="G974">
        <v>640.34</v>
      </c>
      <c r="H974">
        <v>643.88</v>
      </c>
    </row>
    <row r="975" spans="1:8" x14ac:dyDescent="0.3">
      <c r="A975" t="s">
        <v>1077</v>
      </c>
      <c r="B975" t="s">
        <v>29</v>
      </c>
      <c r="C975">
        <v>45796</v>
      </c>
      <c r="D975">
        <v>628.25</v>
      </c>
      <c r="E975">
        <v>643</v>
      </c>
      <c r="F975">
        <v>627.79999999999995</v>
      </c>
      <c r="G975">
        <v>640.42999999999995</v>
      </c>
      <c r="H975">
        <v>640.34</v>
      </c>
    </row>
    <row r="976" spans="1:8" x14ac:dyDescent="0.3">
      <c r="A976" t="s">
        <v>1078</v>
      </c>
      <c r="B976" t="s">
        <v>29</v>
      </c>
      <c r="C976">
        <v>45797</v>
      </c>
      <c r="D976">
        <v>636.01</v>
      </c>
      <c r="E976">
        <v>639.35360000000003</v>
      </c>
      <c r="F976">
        <v>632.26</v>
      </c>
      <c r="G976">
        <v>637.1</v>
      </c>
      <c r="H976">
        <v>640.42999999999995</v>
      </c>
    </row>
    <row r="977" spans="1:8" x14ac:dyDescent="0.3">
      <c r="A977" t="s">
        <v>1079</v>
      </c>
      <c r="B977" t="s">
        <v>29</v>
      </c>
      <c r="C977">
        <v>45798</v>
      </c>
      <c r="D977">
        <v>631.79</v>
      </c>
      <c r="E977">
        <v>646.61</v>
      </c>
      <c r="F977">
        <v>630.16999999999996</v>
      </c>
      <c r="G977">
        <v>635.5</v>
      </c>
      <c r="H977">
        <v>637.1</v>
      </c>
    </row>
    <row r="978" spans="1:8" x14ac:dyDescent="0.3">
      <c r="A978" t="s">
        <v>1080</v>
      </c>
      <c r="B978" t="s">
        <v>29</v>
      </c>
      <c r="C978">
        <v>45799</v>
      </c>
      <c r="D978">
        <v>634.04999999999995</v>
      </c>
      <c r="E978">
        <v>643.25</v>
      </c>
      <c r="F978">
        <v>630.71</v>
      </c>
      <c r="G978">
        <v>636.57000000000005</v>
      </c>
      <c r="H978">
        <v>635.5</v>
      </c>
    </row>
    <row r="979" spans="1:8" x14ac:dyDescent="0.3">
      <c r="A979" t="s">
        <v>1081</v>
      </c>
      <c r="B979" t="s">
        <v>29</v>
      </c>
      <c r="C979">
        <v>45800</v>
      </c>
      <c r="D979">
        <v>624</v>
      </c>
      <c r="E979">
        <v>632.44500000000005</v>
      </c>
      <c r="F979">
        <v>622.65</v>
      </c>
      <c r="G979">
        <v>627.05999999999995</v>
      </c>
      <c r="H979">
        <v>636.57000000000005</v>
      </c>
    </row>
    <row r="980" spans="1:8" x14ac:dyDescent="0.3">
      <c r="A980" t="s">
        <v>1082</v>
      </c>
      <c r="B980" t="s">
        <v>29</v>
      </c>
      <c r="C980">
        <v>45804</v>
      </c>
      <c r="D980">
        <v>635.41</v>
      </c>
      <c r="E980">
        <v>643.08000000000004</v>
      </c>
      <c r="F980">
        <v>632.75</v>
      </c>
      <c r="G980">
        <v>642.32000000000005</v>
      </c>
      <c r="H980">
        <v>627.05999999999995</v>
      </c>
    </row>
    <row r="981" spans="1:8" x14ac:dyDescent="0.3">
      <c r="A981" t="s">
        <v>1083</v>
      </c>
      <c r="B981" t="s">
        <v>29</v>
      </c>
      <c r="C981">
        <v>45805</v>
      </c>
      <c r="D981">
        <v>642.6</v>
      </c>
      <c r="E981">
        <v>650.88</v>
      </c>
      <c r="F981">
        <v>642.54719999999998</v>
      </c>
      <c r="G981">
        <v>643.58000000000004</v>
      </c>
      <c r="H981">
        <v>642.32000000000005</v>
      </c>
    </row>
    <row r="982" spans="1:8" x14ac:dyDescent="0.3">
      <c r="A982" t="s">
        <v>1084</v>
      </c>
      <c r="B982" t="s">
        <v>29</v>
      </c>
      <c r="C982">
        <v>45806</v>
      </c>
      <c r="D982">
        <v>651.64499999999998</v>
      </c>
      <c r="E982">
        <v>653.32000000000005</v>
      </c>
      <c r="F982">
        <v>639.5</v>
      </c>
      <c r="G982">
        <v>645.04999999999995</v>
      </c>
      <c r="H982">
        <v>643.58000000000004</v>
      </c>
    </row>
    <row r="983" spans="1:8" x14ac:dyDescent="0.3">
      <c r="A983" t="s">
        <v>1085</v>
      </c>
      <c r="B983" t="s">
        <v>29</v>
      </c>
      <c r="C983">
        <v>45807</v>
      </c>
      <c r="D983">
        <v>642.5</v>
      </c>
      <c r="E983">
        <v>649.40989999999999</v>
      </c>
      <c r="F983">
        <v>632.78</v>
      </c>
      <c r="G983">
        <v>647.49</v>
      </c>
      <c r="H983">
        <v>645.04999999999995</v>
      </c>
    </row>
    <row r="984" spans="1:8" x14ac:dyDescent="0.3">
      <c r="A984" t="s">
        <v>1086</v>
      </c>
      <c r="B984" t="s">
        <v>29</v>
      </c>
      <c r="C984">
        <v>45810</v>
      </c>
      <c r="D984">
        <v>644.39</v>
      </c>
      <c r="E984">
        <v>673.26</v>
      </c>
      <c r="F984">
        <v>644.26160000000004</v>
      </c>
      <c r="G984">
        <v>670.9</v>
      </c>
      <c r="H984">
        <v>647.49</v>
      </c>
    </row>
    <row r="985" spans="1:8" x14ac:dyDescent="0.3">
      <c r="A985" t="s">
        <v>1087</v>
      </c>
      <c r="B985" t="s">
        <v>29</v>
      </c>
      <c r="C985">
        <v>45811</v>
      </c>
      <c r="D985">
        <v>671.44500000000005</v>
      </c>
      <c r="E985">
        <v>675.58</v>
      </c>
      <c r="F985">
        <v>665.03</v>
      </c>
      <c r="G985">
        <v>666.85</v>
      </c>
      <c r="H985">
        <v>670.9</v>
      </c>
    </row>
    <row r="986" spans="1:8" x14ac:dyDescent="0.3">
      <c r="A986" t="s">
        <v>1088</v>
      </c>
      <c r="B986" t="s">
        <v>29</v>
      </c>
      <c r="C986">
        <v>45812</v>
      </c>
      <c r="D986">
        <v>669.32</v>
      </c>
      <c r="E986">
        <v>689</v>
      </c>
      <c r="F986">
        <v>668.57</v>
      </c>
      <c r="G986">
        <v>687.95</v>
      </c>
      <c r="H986">
        <v>666.85</v>
      </c>
    </row>
    <row r="987" spans="1:8" x14ac:dyDescent="0.3">
      <c r="A987" t="s">
        <v>1089</v>
      </c>
      <c r="B987" t="s">
        <v>29</v>
      </c>
      <c r="C987">
        <v>45813</v>
      </c>
      <c r="D987">
        <v>691.66</v>
      </c>
      <c r="E987">
        <v>694.38</v>
      </c>
      <c r="F987">
        <v>682.25</v>
      </c>
      <c r="G987">
        <v>684.62</v>
      </c>
      <c r="H987">
        <v>687.95</v>
      </c>
    </row>
    <row r="988" spans="1:8" x14ac:dyDescent="0.3">
      <c r="A988" t="s">
        <v>1090</v>
      </c>
      <c r="B988" t="s">
        <v>29</v>
      </c>
      <c r="C988">
        <v>45814</v>
      </c>
      <c r="D988">
        <v>696.17</v>
      </c>
      <c r="E988">
        <v>702.80600000000004</v>
      </c>
      <c r="F988">
        <v>691.87</v>
      </c>
      <c r="G988">
        <v>697.71</v>
      </c>
      <c r="H988">
        <v>684.62</v>
      </c>
    </row>
    <row r="989" spans="1:8" x14ac:dyDescent="0.3">
      <c r="A989" t="s">
        <v>1091</v>
      </c>
      <c r="B989" t="s">
        <v>29</v>
      </c>
      <c r="C989">
        <v>45817</v>
      </c>
      <c r="D989">
        <v>698.46</v>
      </c>
      <c r="E989">
        <v>705.19</v>
      </c>
      <c r="F989">
        <v>693.94</v>
      </c>
      <c r="G989">
        <v>694.06</v>
      </c>
      <c r="H989">
        <v>697.71</v>
      </c>
    </row>
    <row r="990" spans="1:8" x14ac:dyDescent="0.3">
      <c r="A990" t="s">
        <v>1092</v>
      </c>
      <c r="B990" t="s">
        <v>29</v>
      </c>
      <c r="C990">
        <v>45818</v>
      </c>
      <c r="D990">
        <v>701.34500000000003</v>
      </c>
      <c r="E990">
        <v>703.23</v>
      </c>
      <c r="F990">
        <v>691.56</v>
      </c>
      <c r="G990">
        <v>702.4</v>
      </c>
      <c r="H990">
        <v>694.06</v>
      </c>
    </row>
    <row r="991" spans="1:8" x14ac:dyDescent="0.3">
      <c r="A991" t="s">
        <v>1093</v>
      </c>
      <c r="B991" t="s">
        <v>29</v>
      </c>
      <c r="C991">
        <v>45819</v>
      </c>
      <c r="D991">
        <v>703.70500000000004</v>
      </c>
      <c r="E991">
        <v>708.87070000000006</v>
      </c>
      <c r="F991">
        <v>691.99</v>
      </c>
      <c r="G991">
        <v>694.14</v>
      </c>
      <c r="H991">
        <v>702.4</v>
      </c>
    </row>
    <row r="992" spans="1:8" x14ac:dyDescent="0.3">
      <c r="A992" t="s">
        <v>1094</v>
      </c>
      <c r="B992" t="s">
        <v>29</v>
      </c>
      <c r="C992">
        <v>45820</v>
      </c>
      <c r="D992">
        <v>693.3</v>
      </c>
      <c r="E992">
        <v>695.38</v>
      </c>
      <c r="F992">
        <v>687</v>
      </c>
      <c r="G992">
        <v>693.36</v>
      </c>
      <c r="H992">
        <v>694.14</v>
      </c>
    </row>
    <row r="993" spans="1:8" x14ac:dyDescent="0.3">
      <c r="A993" t="s">
        <v>1095</v>
      </c>
      <c r="B993" t="s">
        <v>29</v>
      </c>
      <c r="C993">
        <v>45821</v>
      </c>
      <c r="D993">
        <v>687.95</v>
      </c>
      <c r="E993">
        <v>694.57</v>
      </c>
      <c r="F993">
        <v>681.01</v>
      </c>
      <c r="G993">
        <v>682.87</v>
      </c>
      <c r="H993">
        <v>693.36</v>
      </c>
    </row>
    <row r="994" spans="1:8" x14ac:dyDescent="0.3">
      <c r="A994" t="s">
        <v>1096</v>
      </c>
      <c r="B994" t="s">
        <v>29</v>
      </c>
      <c r="C994">
        <v>45824</v>
      </c>
      <c r="D994">
        <v>699.33</v>
      </c>
      <c r="E994">
        <v>707.15</v>
      </c>
      <c r="F994">
        <v>693.51030000000003</v>
      </c>
      <c r="G994">
        <v>702.12</v>
      </c>
      <c r="H994">
        <v>682.87</v>
      </c>
    </row>
    <row r="995" spans="1:8" x14ac:dyDescent="0.3">
      <c r="A995" t="s">
        <v>1097</v>
      </c>
      <c r="B995" t="s">
        <v>29</v>
      </c>
      <c r="C995">
        <v>45825</v>
      </c>
      <c r="D995">
        <v>702</v>
      </c>
      <c r="E995">
        <v>705.97</v>
      </c>
      <c r="F995">
        <v>696.06</v>
      </c>
      <c r="G995">
        <v>697.23</v>
      </c>
      <c r="H995">
        <v>702.12</v>
      </c>
    </row>
    <row r="996" spans="1:8" x14ac:dyDescent="0.3">
      <c r="A996" t="s">
        <v>1098</v>
      </c>
      <c r="B996" t="s">
        <v>29</v>
      </c>
      <c r="C996">
        <v>45826</v>
      </c>
      <c r="D996">
        <v>698.18</v>
      </c>
      <c r="E996">
        <v>701.59</v>
      </c>
      <c r="F996">
        <v>694.9</v>
      </c>
      <c r="G996">
        <v>695.77</v>
      </c>
      <c r="H996">
        <v>697.23</v>
      </c>
    </row>
    <row r="997" spans="1:8" x14ac:dyDescent="0.3">
      <c r="A997" t="s">
        <v>1099</v>
      </c>
      <c r="B997" t="s">
        <v>29</v>
      </c>
      <c r="C997">
        <v>45828</v>
      </c>
      <c r="D997">
        <v>700.75</v>
      </c>
      <c r="E997">
        <v>701.81970000000001</v>
      </c>
      <c r="F997">
        <v>678.67</v>
      </c>
      <c r="G997">
        <v>682.35</v>
      </c>
      <c r="H997">
        <v>695.77</v>
      </c>
    </row>
    <row r="998" spans="1:8" x14ac:dyDescent="0.3">
      <c r="A998" t="s">
        <v>1100</v>
      </c>
      <c r="B998" t="s">
        <v>29</v>
      </c>
      <c r="C998">
        <v>45831</v>
      </c>
      <c r="D998">
        <v>683.69</v>
      </c>
      <c r="E998">
        <v>699.05</v>
      </c>
      <c r="F998">
        <v>678.75</v>
      </c>
      <c r="G998">
        <v>698.53</v>
      </c>
      <c r="H998">
        <v>682.35</v>
      </c>
    </row>
    <row r="999" spans="1:8" x14ac:dyDescent="0.3">
      <c r="A999" t="s">
        <v>1101</v>
      </c>
      <c r="B999" t="s">
        <v>29</v>
      </c>
      <c r="C999">
        <v>45832</v>
      </c>
      <c r="D999">
        <v>704.88499999999999</v>
      </c>
      <c r="E999">
        <v>713.19</v>
      </c>
      <c r="F999">
        <v>702.11</v>
      </c>
      <c r="G999">
        <v>712.2</v>
      </c>
      <c r="H999">
        <v>698.53</v>
      </c>
    </row>
    <row r="1000" spans="1:8" x14ac:dyDescent="0.3">
      <c r="A1000" t="s">
        <v>1102</v>
      </c>
      <c r="B1000" t="s">
        <v>29</v>
      </c>
      <c r="C1000">
        <v>45833</v>
      </c>
      <c r="D1000">
        <v>713.31500000000005</v>
      </c>
      <c r="E1000">
        <v>716.58</v>
      </c>
      <c r="F1000">
        <v>705.38</v>
      </c>
      <c r="G1000">
        <v>708.68</v>
      </c>
      <c r="H1000">
        <v>712.2</v>
      </c>
    </row>
    <row r="1001" spans="1:8" x14ac:dyDescent="0.3">
      <c r="A1001" t="s">
        <v>1103</v>
      </c>
      <c r="B1001" t="s">
        <v>29</v>
      </c>
      <c r="C1001">
        <v>45834</v>
      </c>
      <c r="D1001">
        <v>714.35500000000002</v>
      </c>
      <c r="E1001">
        <v>728.22</v>
      </c>
      <c r="F1001">
        <v>711.05</v>
      </c>
      <c r="G1001">
        <v>726.09</v>
      </c>
      <c r="H1001">
        <v>708.68</v>
      </c>
    </row>
    <row r="1002" spans="1:8" x14ac:dyDescent="0.3">
      <c r="A1002" t="s">
        <v>1104</v>
      </c>
      <c r="B1002" t="s">
        <v>29</v>
      </c>
      <c r="C1002">
        <v>45835</v>
      </c>
      <c r="D1002">
        <v>726.51499999999999</v>
      </c>
      <c r="E1002">
        <v>735.43</v>
      </c>
      <c r="F1002">
        <v>725.86</v>
      </c>
      <c r="G1002">
        <v>733.63</v>
      </c>
      <c r="H1002">
        <v>726.09</v>
      </c>
    </row>
    <row r="1003" spans="1:8" x14ac:dyDescent="0.3">
      <c r="A1003" t="s">
        <v>109</v>
      </c>
      <c r="B1003" t="s">
        <v>29</v>
      </c>
      <c r="C1003">
        <v>45838</v>
      </c>
      <c r="D1003">
        <v>744.55</v>
      </c>
      <c r="E1003">
        <v>747.9</v>
      </c>
      <c r="F1003">
        <v>734.25</v>
      </c>
      <c r="G1003">
        <v>738.09</v>
      </c>
      <c r="H1003">
        <v>733.63</v>
      </c>
    </row>
    <row r="1004" spans="1:8" x14ac:dyDescent="0.3">
      <c r="A1004" t="s">
        <v>1105</v>
      </c>
      <c r="B1004" t="s">
        <v>29</v>
      </c>
      <c r="C1004">
        <v>45839</v>
      </c>
      <c r="D1004">
        <v>736.875</v>
      </c>
      <c r="E1004">
        <v>737.74990000000003</v>
      </c>
      <c r="F1004">
        <v>715.37</v>
      </c>
      <c r="G1004">
        <v>719.22</v>
      </c>
      <c r="H1004">
        <v>738.09</v>
      </c>
    </row>
    <row r="1005" spans="1:8" x14ac:dyDescent="0.3">
      <c r="A1005" t="s">
        <v>1106</v>
      </c>
      <c r="B1005" t="s">
        <v>29</v>
      </c>
      <c r="C1005">
        <v>45840</v>
      </c>
      <c r="D1005">
        <v>715.32500000000005</v>
      </c>
      <c r="E1005">
        <v>720.3</v>
      </c>
      <c r="F1005">
        <v>712.8</v>
      </c>
      <c r="G1005">
        <v>713.57</v>
      </c>
      <c r="H1005">
        <v>719.22</v>
      </c>
    </row>
    <row r="1006" spans="1:8" x14ac:dyDescent="0.3">
      <c r="A1006" t="s">
        <v>1107</v>
      </c>
      <c r="B1006" t="s">
        <v>29</v>
      </c>
      <c r="C1006">
        <v>45841</v>
      </c>
      <c r="D1006">
        <v>726.61</v>
      </c>
      <c r="E1006">
        <v>729.03</v>
      </c>
      <c r="F1006">
        <v>714.42</v>
      </c>
      <c r="G1006">
        <v>719.01</v>
      </c>
      <c r="H1006">
        <v>713.57</v>
      </c>
    </row>
    <row r="1007" spans="1:8" x14ac:dyDescent="0.3">
      <c r="A1007" t="s">
        <v>1108</v>
      </c>
      <c r="B1007" t="s">
        <v>29</v>
      </c>
      <c r="C1007">
        <v>45845</v>
      </c>
      <c r="D1007">
        <v>717.6</v>
      </c>
      <c r="E1007">
        <v>727</v>
      </c>
      <c r="F1007">
        <v>713.51</v>
      </c>
      <c r="G1007">
        <v>718.35</v>
      </c>
      <c r="H1007">
        <v>719.01</v>
      </c>
    </row>
    <row r="1008" spans="1:8" x14ac:dyDescent="0.3">
      <c r="A1008" t="s">
        <v>1109</v>
      </c>
      <c r="B1008" t="s">
        <v>29</v>
      </c>
      <c r="C1008">
        <v>45846</v>
      </c>
      <c r="D1008">
        <v>721.57</v>
      </c>
      <c r="E1008">
        <v>722.90989999999999</v>
      </c>
      <c r="F1008">
        <v>714.81</v>
      </c>
      <c r="G1008">
        <v>720.67</v>
      </c>
      <c r="H1008">
        <v>718.35</v>
      </c>
    </row>
    <row r="1009" spans="1:8" x14ac:dyDescent="0.3">
      <c r="A1009" t="s">
        <v>1110</v>
      </c>
      <c r="B1009" t="s">
        <v>29</v>
      </c>
      <c r="C1009">
        <v>45847</v>
      </c>
      <c r="D1009">
        <v>722.71500000000003</v>
      </c>
      <c r="E1009">
        <v>737.53</v>
      </c>
      <c r="F1009">
        <v>722.71500000000003</v>
      </c>
      <c r="G1009">
        <v>732.78</v>
      </c>
      <c r="H1009">
        <v>720.67</v>
      </c>
    </row>
    <row r="1010" spans="1:8" x14ac:dyDescent="0.3">
      <c r="A1010" t="s">
        <v>1111</v>
      </c>
      <c r="B1010" t="s">
        <v>29</v>
      </c>
      <c r="C1010">
        <v>45848</v>
      </c>
      <c r="D1010">
        <v>731.55</v>
      </c>
      <c r="E1010">
        <v>735.79989999999998</v>
      </c>
      <c r="F1010">
        <v>719.6</v>
      </c>
      <c r="G1010">
        <v>727.24</v>
      </c>
      <c r="H1010">
        <v>732.78</v>
      </c>
    </row>
    <row r="1011" spans="1:8" x14ac:dyDescent="0.3">
      <c r="A1011" t="s">
        <v>1112</v>
      </c>
      <c r="B1011" t="s">
        <v>29</v>
      </c>
      <c r="C1011">
        <v>45849</v>
      </c>
      <c r="D1011">
        <v>722.495</v>
      </c>
      <c r="E1011">
        <v>725.16</v>
      </c>
      <c r="F1011">
        <v>709.7</v>
      </c>
      <c r="G1011">
        <v>717.51</v>
      </c>
      <c r="H1011">
        <v>727.24</v>
      </c>
    </row>
    <row r="1012" spans="1:8" x14ac:dyDescent="0.3">
      <c r="A1012" t="s">
        <v>1113</v>
      </c>
      <c r="B1012" t="s">
        <v>29</v>
      </c>
      <c r="C1012">
        <v>45852</v>
      </c>
      <c r="D1012">
        <v>717.6</v>
      </c>
      <c r="E1012">
        <v>728</v>
      </c>
      <c r="F1012">
        <v>716.54700000000003</v>
      </c>
      <c r="G1012">
        <v>720.92</v>
      </c>
      <c r="H1012">
        <v>717.51</v>
      </c>
    </row>
    <row r="1013" spans="1:8" x14ac:dyDescent="0.3">
      <c r="A1013" t="s">
        <v>1114</v>
      </c>
      <c r="B1013" t="s">
        <v>29</v>
      </c>
      <c r="C1013">
        <v>45853</v>
      </c>
      <c r="D1013">
        <v>723.9</v>
      </c>
      <c r="E1013">
        <v>724.47159999999997</v>
      </c>
      <c r="F1013">
        <v>709.82</v>
      </c>
      <c r="G1013">
        <v>710.39</v>
      </c>
      <c r="H1013">
        <v>720.92</v>
      </c>
    </row>
    <row r="1014" spans="1:8" x14ac:dyDescent="0.3">
      <c r="A1014" t="s">
        <v>1115</v>
      </c>
      <c r="B1014" t="s">
        <v>29</v>
      </c>
      <c r="C1014">
        <v>45854</v>
      </c>
      <c r="D1014">
        <v>713.37</v>
      </c>
      <c r="E1014">
        <v>713.97</v>
      </c>
      <c r="F1014">
        <v>699.27009999999996</v>
      </c>
      <c r="G1014">
        <v>702.91</v>
      </c>
      <c r="H1014">
        <v>710.39</v>
      </c>
    </row>
    <row r="1015" spans="1:8" x14ac:dyDescent="0.3">
      <c r="A1015" t="s">
        <v>1116</v>
      </c>
      <c r="B1015" t="s">
        <v>29</v>
      </c>
      <c r="C1015">
        <v>45855</v>
      </c>
      <c r="D1015">
        <v>704.39</v>
      </c>
      <c r="E1015">
        <v>705.9</v>
      </c>
      <c r="F1015">
        <v>697.10500000000002</v>
      </c>
      <c r="G1015">
        <v>701.41</v>
      </c>
      <c r="H1015">
        <v>702.91</v>
      </c>
    </row>
    <row r="1016" spans="1:8" x14ac:dyDescent="0.3">
      <c r="A1016" t="s">
        <v>1117</v>
      </c>
      <c r="B1016" t="s">
        <v>29</v>
      </c>
      <c r="C1016">
        <v>45856</v>
      </c>
      <c r="D1016">
        <v>702.19</v>
      </c>
      <c r="E1016">
        <v>704.71</v>
      </c>
      <c r="F1016">
        <v>691.65</v>
      </c>
      <c r="G1016">
        <v>704.28</v>
      </c>
      <c r="H1016">
        <v>701.41</v>
      </c>
    </row>
    <row r="1017" spans="1:8" x14ac:dyDescent="0.3">
      <c r="A1017" t="s">
        <v>1118</v>
      </c>
      <c r="B1017" t="s">
        <v>29</v>
      </c>
      <c r="C1017">
        <v>45859</v>
      </c>
      <c r="D1017">
        <v>706.8</v>
      </c>
      <c r="E1017">
        <v>717</v>
      </c>
      <c r="F1017">
        <v>705.76</v>
      </c>
      <c r="G1017">
        <v>712.96500000000003</v>
      </c>
      <c r="H1017">
        <v>704.28</v>
      </c>
    </row>
    <row r="1018" spans="1:8" x14ac:dyDescent="0.3">
      <c r="A1018" t="s">
        <v>1119</v>
      </c>
      <c r="B1018" t="s">
        <v>29</v>
      </c>
      <c r="C1018">
        <v>45860</v>
      </c>
      <c r="D1018">
        <v>716.19</v>
      </c>
      <c r="E1018">
        <v>716.6</v>
      </c>
      <c r="F1018">
        <v>701.41</v>
      </c>
      <c r="G1018">
        <v>704.81</v>
      </c>
      <c r="H1018">
        <v>712.96500000000003</v>
      </c>
    </row>
    <row r="1019" spans="1:8" x14ac:dyDescent="0.3">
      <c r="A1019" t="s">
        <v>1120</v>
      </c>
      <c r="B1019" t="s">
        <v>29</v>
      </c>
      <c r="C1019">
        <v>45861</v>
      </c>
      <c r="D1019">
        <v>706.36500000000001</v>
      </c>
      <c r="E1019">
        <v>714.62850000000003</v>
      </c>
      <c r="F1019">
        <v>704.93</v>
      </c>
      <c r="G1019">
        <v>713.58</v>
      </c>
      <c r="H1019">
        <v>704.81</v>
      </c>
    </row>
    <row r="1020" spans="1:8" x14ac:dyDescent="0.3">
      <c r="A1020" t="s">
        <v>1121</v>
      </c>
      <c r="B1020" t="s">
        <v>29</v>
      </c>
      <c r="C1020">
        <v>45862</v>
      </c>
      <c r="D1020">
        <v>717.05</v>
      </c>
      <c r="E1020">
        <v>723.62390000000005</v>
      </c>
      <c r="F1020">
        <v>714</v>
      </c>
      <c r="G1020">
        <v>714.8</v>
      </c>
      <c r="H1020">
        <v>713.58</v>
      </c>
    </row>
    <row r="1021" spans="1:8" x14ac:dyDescent="0.3">
      <c r="A1021" t="s">
        <v>1122</v>
      </c>
      <c r="B1021" t="s">
        <v>29</v>
      </c>
      <c r="C1021">
        <v>45863</v>
      </c>
      <c r="D1021">
        <v>716.91499999999996</v>
      </c>
      <c r="E1021">
        <v>720.6499</v>
      </c>
      <c r="F1021">
        <v>711.9</v>
      </c>
      <c r="G1021">
        <v>712.68</v>
      </c>
      <c r="H1021">
        <v>714.8</v>
      </c>
    </row>
    <row r="1022" spans="1:8" x14ac:dyDescent="0.3">
      <c r="A1022" t="s">
        <v>1123</v>
      </c>
      <c r="B1022" t="s">
        <v>29</v>
      </c>
      <c r="C1022">
        <v>45866</v>
      </c>
      <c r="D1022">
        <v>715.2</v>
      </c>
      <c r="E1022">
        <v>724.73519999999996</v>
      </c>
      <c r="F1022">
        <v>712.68</v>
      </c>
      <c r="G1022">
        <v>717.63</v>
      </c>
      <c r="H1022">
        <v>712.68</v>
      </c>
    </row>
    <row r="1023" spans="1:8" x14ac:dyDescent="0.3">
      <c r="A1023" t="s">
        <v>1124</v>
      </c>
      <c r="B1023" t="s">
        <v>29</v>
      </c>
      <c r="C1023">
        <v>45867</v>
      </c>
      <c r="D1023">
        <v>720</v>
      </c>
      <c r="E1023">
        <v>724.47</v>
      </c>
      <c r="F1023">
        <v>699.91</v>
      </c>
      <c r="G1023">
        <v>700</v>
      </c>
      <c r="H1023">
        <v>717.63</v>
      </c>
    </row>
    <row r="1024" spans="1:8" x14ac:dyDescent="0.3">
      <c r="A1024" t="s">
        <v>1125</v>
      </c>
      <c r="B1024" t="s">
        <v>29</v>
      </c>
      <c r="C1024">
        <v>45868</v>
      </c>
      <c r="D1024">
        <v>708.09</v>
      </c>
      <c r="E1024">
        <v>708.5</v>
      </c>
      <c r="F1024">
        <v>691.20010000000002</v>
      </c>
      <c r="G1024">
        <v>695.21</v>
      </c>
      <c r="H1024">
        <v>700</v>
      </c>
    </row>
    <row r="1025" spans="1:8" x14ac:dyDescent="0.3">
      <c r="A1025" t="s">
        <v>1126</v>
      </c>
      <c r="B1025" t="s">
        <v>29</v>
      </c>
      <c r="C1025">
        <v>45869</v>
      </c>
      <c r="D1025">
        <v>775.2</v>
      </c>
      <c r="E1025">
        <v>784.75</v>
      </c>
      <c r="F1025">
        <v>765.51</v>
      </c>
      <c r="G1025">
        <v>773.44</v>
      </c>
      <c r="H1025">
        <v>695.21</v>
      </c>
    </row>
    <row r="1026" spans="1:8" x14ac:dyDescent="0.3">
      <c r="A1026" t="s">
        <v>1127</v>
      </c>
      <c r="B1026" t="s">
        <v>29</v>
      </c>
      <c r="C1026">
        <v>45870</v>
      </c>
      <c r="D1026">
        <v>760.73</v>
      </c>
      <c r="E1026">
        <v>765.99990000000003</v>
      </c>
      <c r="F1026">
        <v>745.31</v>
      </c>
      <c r="G1026">
        <v>750.01</v>
      </c>
      <c r="H1026">
        <v>773.44</v>
      </c>
    </row>
    <row r="1027" spans="1:8" x14ac:dyDescent="0.3">
      <c r="A1027" t="s">
        <v>1128</v>
      </c>
      <c r="B1027" t="s">
        <v>29</v>
      </c>
      <c r="C1027">
        <v>45873</v>
      </c>
      <c r="D1027">
        <v>760</v>
      </c>
      <c r="E1027">
        <v>776.85</v>
      </c>
      <c r="F1027">
        <v>758.41</v>
      </c>
      <c r="G1027">
        <v>776.37</v>
      </c>
      <c r="H1027">
        <v>750.01</v>
      </c>
    </row>
    <row r="1028" spans="1:8" x14ac:dyDescent="0.3">
      <c r="A1028" t="s">
        <v>1129</v>
      </c>
      <c r="B1028" t="s">
        <v>29</v>
      </c>
      <c r="C1028">
        <v>45874</v>
      </c>
      <c r="D1028">
        <v>776.44500000000005</v>
      </c>
      <c r="E1028">
        <v>783.12990000000002</v>
      </c>
      <c r="F1028">
        <v>763</v>
      </c>
      <c r="G1028">
        <v>763.46</v>
      </c>
      <c r="H1028">
        <v>776.37</v>
      </c>
    </row>
    <row r="1029" spans="1:8" x14ac:dyDescent="0.3">
      <c r="A1029" t="s">
        <v>1130</v>
      </c>
      <c r="B1029" t="s">
        <v>29</v>
      </c>
      <c r="C1029">
        <v>45875</v>
      </c>
      <c r="D1029">
        <v>770</v>
      </c>
      <c r="E1029">
        <v>773.64</v>
      </c>
      <c r="F1029">
        <v>760.46010000000001</v>
      </c>
      <c r="G1029">
        <v>771.99</v>
      </c>
      <c r="H1029">
        <v>763.46</v>
      </c>
    </row>
    <row r="1030" spans="1:8" x14ac:dyDescent="0.3">
      <c r="A1030" t="s">
        <v>1131</v>
      </c>
      <c r="B1030" t="s">
        <v>29</v>
      </c>
      <c r="C1030">
        <v>45876</v>
      </c>
      <c r="D1030">
        <v>773.49</v>
      </c>
      <c r="E1030">
        <v>775</v>
      </c>
      <c r="F1030">
        <v>759.55</v>
      </c>
      <c r="G1030">
        <v>761.83</v>
      </c>
      <c r="H1030">
        <v>771.99</v>
      </c>
    </row>
    <row r="1031" spans="1:8" x14ac:dyDescent="0.3">
      <c r="A1031" t="s">
        <v>1132</v>
      </c>
      <c r="B1031" t="s">
        <v>29</v>
      </c>
      <c r="C1031">
        <v>45877</v>
      </c>
      <c r="D1031">
        <v>762.75</v>
      </c>
      <c r="E1031">
        <v>769.9</v>
      </c>
      <c r="F1031">
        <v>758.58</v>
      </c>
      <c r="G1031">
        <v>769.3</v>
      </c>
      <c r="H1031">
        <v>761.83</v>
      </c>
    </row>
    <row r="1032" spans="1:8" x14ac:dyDescent="0.3">
      <c r="A1032" t="s">
        <v>1133</v>
      </c>
      <c r="B1032" t="s">
        <v>29</v>
      </c>
      <c r="C1032">
        <v>45880</v>
      </c>
      <c r="D1032">
        <v>770.07500000000005</v>
      </c>
      <c r="E1032">
        <v>773.45839999999998</v>
      </c>
      <c r="F1032">
        <v>764.67</v>
      </c>
      <c r="G1032">
        <v>765.87</v>
      </c>
      <c r="H1032">
        <v>769.3</v>
      </c>
    </row>
    <row r="1033" spans="1:8" x14ac:dyDescent="0.3">
      <c r="A1033" t="s">
        <v>1134</v>
      </c>
      <c r="B1033" t="s">
        <v>29</v>
      </c>
      <c r="C1033">
        <v>45881</v>
      </c>
      <c r="D1033">
        <v>773</v>
      </c>
      <c r="E1033">
        <v>793.67</v>
      </c>
      <c r="F1033">
        <v>772.43</v>
      </c>
      <c r="G1033">
        <v>790</v>
      </c>
      <c r="H1033">
        <v>765.87</v>
      </c>
    </row>
    <row r="1034" spans="1:8" x14ac:dyDescent="0.3">
      <c r="A1034" t="s">
        <v>1135</v>
      </c>
      <c r="B1034" t="s">
        <v>29</v>
      </c>
      <c r="C1034">
        <v>45882</v>
      </c>
      <c r="D1034">
        <v>791.15</v>
      </c>
      <c r="E1034">
        <v>795.45609999999999</v>
      </c>
      <c r="F1034">
        <v>778.23</v>
      </c>
      <c r="G1034">
        <v>780.08</v>
      </c>
      <c r="H1034">
        <v>790</v>
      </c>
    </row>
    <row r="1035" spans="1:8" x14ac:dyDescent="0.3">
      <c r="A1035" t="s">
        <v>1136</v>
      </c>
      <c r="B1035" t="s">
        <v>29</v>
      </c>
      <c r="C1035">
        <v>45883</v>
      </c>
      <c r="D1035">
        <v>777.88</v>
      </c>
      <c r="E1035">
        <v>787.81</v>
      </c>
      <c r="F1035">
        <v>772.51</v>
      </c>
      <c r="G1035">
        <v>782.13</v>
      </c>
      <c r="H1035">
        <v>780.08</v>
      </c>
    </row>
    <row r="1036" spans="1:8" x14ac:dyDescent="0.3">
      <c r="A1036" t="s">
        <v>1137</v>
      </c>
      <c r="B1036" t="s">
        <v>29</v>
      </c>
      <c r="C1036">
        <v>45884</v>
      </c>
      <c r="D1036">
        <v>784.15</v>
      </c>
      <c r="E1036">
        <v>796.25</v>
      </c>
      <c r="F1036">
        <v>780.82</v>
      </c>
      <c r="G1036">
        <v>785.23</v>
      </c>
      <c r="H1036">
        <v>782.13</v>
      </c>
    </row>
    <row r="1037" spans="1:8" x14ac:dyDescent="0.3">
      <c r="A1037" t="s">
        <v>1138</v>
      </c>
      <c r="B1037" t="s">
        <v>29</v>
      </c>
      <c r="C1037">
        <v>45887</v>
      </c>
      <c r="D1037">
        <v>775.08500000000004</v>
      </c>
      <c r="E1037">
        <v>775.81</v>
      </c>
      <c r="F1037">
        <v>756.56010000000003</v>
      </c>
      <c r="G1037">
        <v>767.37</v>
      </c>
      <c r="H1037">
        <v>785.23</v>
      </c>
    </row>
    <row r="1038" spans="1:8" x14ac:dyDescent="0.3">
      <c r="A1038" t="s">
        <v>1139</v>
      </c>
      <c r="B1038" t="s">
        <v>29</v>
      </c>
      <c r="C1038">
        <v>45888</v>
      </c>
      <c r="D1038">
        <v>767.12</v>
      </c>
      <c r="E1038">
        <v>767.17</v>
      </c>
      <c r="F1038">
        <v>749.36</v>
      </c>
      <c r="G1038">
        <v>751.48</v>
      </c>
      <c r="H1038">
        <v>767.37</v>
      </c>
    </row>
    <row r="1039" spans="1:8" x14ac:dyDescent="0.3">
      <c r="A1039" t="s">
        <v>1140</v>
      </c>
      <c r="B1039" t="s">
        <v>29</v>
      </c>
      <c r="C1039">
        <v>45889</v>
      </c>
      <c r="D1039">
        <v>747.57</v>
      </c>
      <c r="E1039">
        <v>750.19989999999996</v>
      </c>
      <c r="F1039">
        <v>731</v>
      </c>
      <c r="G1039">
        <v>747.72</v>
      </c>
      <c r="H1039">
        <v>751.48</v>
      </c>
    </row>
    <row r="1040" spans="1:8" x14ac:dyDescent="0.3">
      <c r="A1040" t="s">
        <v>1141</v>
      </c>
      <c r="B1040" t="s">
        <v>29</v>
      </c>
      <c r="C1040">
        <v>45890</v>
      </c>
      <c r="D1040">
        <v>744.70500000000004</v>
      </c>
      <c r="E1040">
        <v>745.5</v>
      </c>
      <c r="F1040">
        <v>733.11009999999999</v>
      </c>
      <c r="G1040">
        <v>739.1</v>
      </c>
      <c r="H1040">
        <v>747.72</v>
      </c>
    </row>
    <row r="1041" spans="1:8" x14ac:dyDescent="0.3">
      <c r="A1041" t="s">
        <v>1142</v>
      </c>
      <c r="B1041" t="s">
        <v>29</v>
      </c>
      <c r="C1041">
        <v>45891</v>
      </c>
      <c r="D1041">
        <v>739.23</v>
      </c>
      <c r="E1041">
        <v>756.9</v>
      </c>
      <c r="F1041">
        <v>734.39</v>
      </c>
      <c r="G1041">
        <v>754.79</v>
      </c>
      <c r="H1041">
        <v>739.1</v>
      </c>
    </row>
    <row r="1042" spans="1:8" x14ac:dyDescent="0.3">
      <c r="A1042" t="s">
        <v>1143</v>
      </c>
      <c r="B1042" t="s">
        <v>29</v>
      </c>
      <c r="C1042">
        <v>45894</v>
      </c>
      <c r="D1042">
        <v>754.82</v>
      </c>
      <c r="E1042">
        <v>758.88</v>
      </c>
      <c r="F1042">
        <v>750.13</v>
      </c>
      <c r="G1042">
        <v>753.3</v>
      </c>
      <c r="H1042">
        <v>754.79</v>
      </c>
    </row>
    <row r="1043" spans="1:8" x14ac:dyDescent="0.3">
      <c r="A1043" t="s">
        <v>1144</v>
      </c>
      <c r="B1043" t="s">
        <v>29</v>
      </c>
      <c r="C1043">
        <v>45895</v>
      </c>
      <c r="D1043">
        <v>750.8</v>
      </c>
      <c r="E1043">
        <v>754.87</v>
      </c>
      <c r="F1043">
        <v>747.94</v>
      </c>
      <c r="G1043">
        <v>754.1</v>
      </c>
      <c r="H1043">
        <v>753.3</v>
      </c>
    </row>
    <row r="1044" spans="1:8" x14ac:dyDescent="0.3">
      <c r="A1044" t="s">
        <v>1145</v>
      </c>
      <c r="B1044" t="s">
        <v>29</v>
      </c>
      <c r="C1044">
        <v>45896</v>
      </c>
      <c r="D1044">
        <v>752.3</v>
      </c>
      <c r="E1044">
        <v>754.1499</v>
      </c>
      <c r="F1044">
        <v>742.84</v>
      </c>
      <c r="G1044">
        <v>747.38</v>
      </c>
      <c r="H1044">
        <v>754.1</v>
      </c>
    </row>
    <row r="1045" spans="1:8" x14ac:dyDescent="0.3">
      <c r="A1045" t="s">
        <v>1146</v>
      </c>
      <c r="B1045" t="s">
        <v>29</v>
      </c>
      <c r="C1045">
        <v>45897</v>
      </c>
      <c r="D1045">
        <v>744</v>
      </c>
      <c r="E1045">
        <v>753.0548</v>
      </c>
      <c r="F1045">
        <v>740.79499999999996</v>
      </c>
      <c r="G1045">
        <v>751.11</v>
      </c>
      <c r="H1045">
        <v>747.38</v>
      </c>
    </row>
    <row r="1046" spans="1:8" x14ac:dyDescent="0.3">
      <c r="A1046" t="s">
        <v>1147</v>
      </c>
      <c r="B1046" t="s">
        <v>29</v>
      </c>
      <c r="C1046">
        <v>45898</v>
      </c>
      <c r="D1046">
        <v>745.28</v>
      </c>
      <c r="E1046">
        <v>747.14</v>
      </c>
      <c r="F1046">
        <v>735.34659999999997</v>
      </c>
      <c r="G1046">
        <v>738.7</v>
      </c>
      <c r="H1046">
        <v>751.11</v>
      </c>
    </row>
    <row r="1047" spans="1:8" x14ac:dyDescent="0.3">
      <c r="A1047" t="s">
        <v>1148</v>
      </c>
      <c r="B1047" t="s">
        <v>29</v>
      </c>
      <c r="C1047">
        <v>45902</v>
      </c>
      <c r="D1047">
        <v>726.04</v>
      </c>
      <c r="E1047">
        <v>736</v>
      </c>
      <c r="F1047">
        <v>721.73059999999998</v>
      </c>
      <c r="G1047">
        <v>735.11</v>
      </c>
      <c r="H1047">
        <v>738.7</v>
      </c>
    </row>
    <row r="1048" spans="1:8" x14ac:dyDescent="0.3">
      <c r="A1048" t="s">
        <v>1149</v>
      </c>
      <c r="B1048" t="s">
        <v>29</v>
      </c>
      <c r="C1048">
        <v>45903</v>
      </c>
      <c r="D1048">
        <v>736</v>
      </c>
      <c r="E1048">
        <v>740.25</v>
      </c>
      <c r="F1048">
        <v>733.98929999999996</v>
      </c>
      <c r="G1048">
        <v>737.05</v>
      </c>
      <c r="H1048">
        <v>735.11</v>
      </c>
    </row>
    <row r="1049" spans="1:8" x14ac:dyDescent="0.3">
      <c r="A1049" t="s">
        <v>1150</v>
      </c>
      <c r="B1049" t="s">
        <v>29</v>
      </c>
      <c r="C1049">
        <v>45904</v>
      </c>
      <c r="D1049">
        <v>748.57</v>
      </c>
      <c r="E1049">
        <v>761.16</v>
      </c>
      <c r="F1049">
        <v>745.82</v>
      </c>
      <c r="G1049">
        <v>748.89</v>
      </c>
      <c r="H1049">
        <v>737.05</v>
      </c>
    </row>
    <row r="1050" spans="1:8" x14ac:dyDescent="0.3">
      <c r="A1050" t="s">
        <v>1151</v>
      </c>
      <c r="B1050" t="s">
        <v>29</v>
      </c>
      <c r="C1050">
        <v>45905</v>
      </c>
      <c r="D1050">
        <v>752.61500000000001</v>
      </c>
      <c r="E1050">
        <v>757.95</v>
      </c>
      <c r="F1050">
        <v>745.03</v>
      </c>
      <c r="G1050">
        <v>752.45</v>
      </c>
      <c r="H1050">
        <v>748.89</v>
      </c>
    </row>
    <row r="1051" spans="1:8" x14ac:dyDescent="0.3">
      <c r="A1051" t="s">
        <v>1152</v>
      </c>
      <c r="B1051" t="s">
        <v>29</v>
      </c>
      <c r="C1051">
        <v>45908</v>
      </c>
      <c r="D1051">
        <v>755.995</v>
      </c>
      <c r="E1051">
        <v>766.51</v>
      </c>
      <c r="F1051">
        <v>752.02</v>
      </c>
      <c r="G1051">
        <v>752.3</v>
      </c>
      <c r="H1051">
        <v>752.45</v>
      </c>
    </row>
    <row r="1052" spans="1:8" x14ac:dyDescent="0.3">
      <c r="A1052" t="s">
        <v>1153</v>
      </c>
      <c r="B1052" t="s">
        <v>29</v>
      </c>
      <c r="C1052">
        <v>45909</v>
      </c>
      <c r="D1052">
        <v>757.49</v>
      </c>
      <c r="E1052">
        <v>766.3</v>
      </c>
      <c r="F1052">
        <v>753.43</v>
      </c>
      <c r="G1052">
        <v>765.7</v>
      </c>
      <c r="H1052">
        <v>752.3</v>
      </c>
    </row>
    <row r="1053" spans="1:8" x14ac:dyDescent="0.3">
      <c r="A1053" t="s">
        <v>1154</v>
      </c>
      <c r="B1053" t="s">
        <v>29</v>
      </c>
      <c r="C1053">
        <v>45910</v>
      </c>
      <c r="D1053">
        <v>765.13</v>
      </c>
      <c r="E1053">
        <v>765.7</v>
      </c>
      <c r="F1053">
        <v>751</v>
      </c>
      <c r="G1053">
        <v>751.98</v>
      </c>
      <c r="H1053">
        <v>765.7</v>
      </c>
    </row>
    <row r="1054" spans="1:8" x14ac:dyDescent="0.3">
      <c r="A1054" t="s">
        <v>1155</v>
      </c>
      <c r="B1054" t="s">
        <v>29</v>
      </c>
      <c r="C1054">
        <v>45911</v>
      </c>
      <c r="D1054">
        <v>754.65</v>
      </c>
      <c r="E1054">
        <v>757.1</v>
      </c>
      <c r="F1054">
        <v>748.37</v>
      </c>
      <c r="G1054">
        <v>750.9</v>
      </c>
      <c r="H1054">
        <v>751.98</v>
      </c>
    </row>
    <row r="1055" spans="1:8" x14ac:dyDescent="0.3">
      <c r="A1055" t="s">
        <v>1156</v>
      </c>
      <c r="B1055" t="s">
        <v>29</v>
      </c>
      <c r="C1055">
        <v>45912</v>
      </c>
      <c r="D1055">
        <v>748.72500000000002</v>
      </c>
      <c r="E1055">
        <v>757.57029999999997</v>
      </c>
      <c r="F1055">
        <v>743.76</v>
      </c>
      <c r="G1055">
        <v>755.59</v>
      </c>
      <c r="H1055">
        <v>750.9</v>
      </c>
    </row>
    <row r="1056" spans="1:8" x14ac:dyDescent="0.3">
      <c r="A1056" t="s">
        <v>1157</v>
      </c>
      <c r="B1056" t="s">
        <v>29</v>
      </c>
      <c r="C1056">
        <v>45915</v>
      </c>
      <c r="D1056">
        <v>757.47</v>
      </c>
      <c r="E1056">
        <v>774.07</v>
      </c>
      <c r="F1056">
        <v>751.98500000000001</v>
      </c>
      <c r="G1056">
        <v>764.7</v>
      </c>
      <c r="H1056">
        <v>755.59</v>
      </c>
    </row>
    <row r="1057" spans="1:8" x14ac:dyDescent="0.3">
      <c r="A1057" t="s">
        <v>1158</v>
      </c>
      <c r="B1057" t="s">
        <v>29</v>
      </c>
      <c r="C1057">
        <v>45916</v>
      </c>
      <c r="D1057">
        <v>767</v>
      </c>
      <c r="E1057">
        <v>781.36</v>
      </c>
      <c r="F1057">
        <v>765.1</v>
      </c>
      <c r="G1057">
        <v>779</v>
      </c>
      <c r="H1057">
        <v>764.7</v>
      </c>
    </row>
    <row r="1058" spans="1:8" x14ac:dyDescent="0.3">
      <c r="A1058" t="s">
        <v>1159</v>
      </c>
      <c r="B1058" t="s">
        <v>29</v>
      </c>
      <c r="C1058">
        <v>45917</v>
      </c>
      <c r="D1058">
        <v>779.99</v>
      </c>
      <c r="E1058">
        <v>783.29</v>
      </c>
      <c r="F1058">
        <v>766.31</v>
      </c>
      <c r="G1058">
        <v>775.71500000000003</v>
      </c>
      <c r="H1058">
        <v>779</v>
      </c>
    </row>
    <row r="1059" spans="1:8" x14ac:dyDescent="0.3">
      <c r="A1059" t="s">
        <v>1160</v>
      </c>
      <c r="B1059" t="s">
        <v>29</v>
      </c>
      <c r="C1059">
        <v>45918</v>
      </c>
      <c r="D1059">
        <v>780.75</v>
      </c>
      <c r="E1059">
        <v>788.78</v>
      </c>
      <c r="F1059">
        <v>773.36</v>
      </c>
      <c r="G1059">
        <v>780.25</v>
      </c>
      <c r="H1059">
        <v>775.71500000000003</v>
      </c>
    </row>
    <row r="1060" spans="1:8" x14ac:dyDescent="0.3">
      <c r="A1060" t="s">
        <v>1161</v>
      </c>
      <c r="B1060" t="s">
        <v>29</v>
      </c>
      <c r="C1060">
        <v>45919</v>
      </c>
      <c r="D1060">
        <v>786.42</v>
      </c>
      <c r="E1060">
        <v>790.8</v>
      </c>
      <c r="F1060">
        <v>769.19010000000003</v>
      </c>
      <c r="G1060">
        <v>778.38</v>
      </c>
      <c r="H1060">
        <v>780.25</v>
      </c>
    </row>
    <row r="1061" spans="1:8" x14ac:dyDescent="0.3">
      <c r="A1061" t="s">
        <v>1162</v>
      </c>
      <c r="B1061" t="s">
        <v>29</v>
      </c>
      <c r="C1061">
        <v>45922</v>
      </c>
      <c r="D1061">
        <v>781.84500000000003</v>
      </c>
      <c r="E1061">
        <v>785.73</v>
      </c>
      <c r="F1061">
        <v>764.47</v>
      </c>
      <c r="G1061">
        <v>765.16</v>
      </c>
      <c r="H1061">
        <v>778.38</v>
      </c>
    </row>
    <row r="1062" spans="1:8" x14ac:dyDescent="0.3">
      <c r="A1062" t="s">
        <v>1163</v>
      </c>
      <c r="B1062" t="s">
        <v>29</v>
      </c>
      <c r="C1062">
        <v>45923</v>
      </c>
      <c r="D1062">
        <v>769.25</v>
      </c>
      <c r="E1062">
        <v>770.6</v>
      </c>
      <c r="F1062">
        <v>751.07</v>
      </c>
      <c r="G1062">
        <v>755.4</v>
      </c>
      <c r="H1062">
        <v>765.16</v>
      </c>
    </row>
    <row r="1063" spans="1:8" x14ac:dyDescent="0.3">
      <c r="A1063" t="s">
        <v>1164</v>
      </c>
      <c r="B1063" t="s">
        <v>29</v>
      </c>
      <c r="C1063">
        <v>45924</v>
      </c>
      <c r="D1063">
        <v>757.5</v>
      </c>
      <c r="E1063">
        <v>761.11</v>
      </c>
      <c r="F1063">
        <v>752.52509999999995</v>
      </c>
      <c r="G1063">
        <v>760.66</v>
      </c>
      <c r="H1063">
        <v>755.4</v>
      </c>
    </row>
    <row r="1064" spans="1:8" x14ac:dyDescent="0.3">
      <c r="A1064" t="s">
        <v>1165</v>
      </c>
      <c r="B1064" t="s">
        <v>29</v>
      </c>
      <c r="C1064">
        <v>45925</v>
      </c>
      <c r="D1064">
        <v>753.45</v>
      </c>
      <c r="E1064">
        <v>756.76499999999999</v>
      </c>
      <c r="F1064">
        <v>744.55</v>
      </c>
      <c r="G1064">
        <v>748.91</v>
      </c>
      <c r="H1064">
        <v>760.66</v>
      </c>
    </row>
    <row r="1065" spans="1:8" x14ac:dyDescent="0.3">
      <c r="A1065" t="s">
        <v>1166</v>
      </c>
      <c r="B1065" t="s">
        <v>29</v>
      </c>
      <c r="C1065">
        <v>45926</v>
      </c>
      <c r="D1065">
        <v>750</v>
      </c>
      <c r="E1065">
        <v>751.92989999999998</v>
      </c>
      <c r="F1065">
        <v>737.35320000000002</v>
      </c>
      <c r="G1065">
        <v>743.75</v>
      </c>
      <c r="H1065">
        <v>748.91</v>
      </c>
    </row>
    <row r="1066" spans="1:8" x14ac:dyDescent="0.3">
      <c r="A1066" t="s">
        <v>1167</v>
      </c>
      <c r="B1066" t="s">
        <v>29</v>
      </c>
      <c r="C1066">
        <v>45929</v>
      </c>
      <c r="D1066">
        <v>748.72</v>
      </c>
      <c r="E1066">
        <v>750.78</v>
      </c>
      <c r="F1066">
        <v>739.15</v>
      </c>
      <c r="G1066">
        <v>743.4</v>
      </c>
      <c r="H1066">
        <v>743.75</v>
      </c>
    </row>
    <row r="1067" spans="1:8" x14ac:dyDescent="0.3">
      <c r="A1067" t="s">
        <v>108</v>
      </c>
      <c r="B1067" t="s">
        <v>29</v>
      </c>
      <c r="C1067">
        <v>45930</v>
      </c>
      <c r="D1067">
        <v>742.25</v>
      </c>
      <c r="E1067">
        <v>742.97</v>
      </c>
      <c r="F1067">
        <v>726.3</v>
      </c>
      <c r="G1067">
        <v>734.38</v>
      </c>
      <c r="H1067">
        <v>743.4</v>
      </c>
    </row>
    <row r="1068" spans="1:8" x14ac:dyDescent="0.3">
      <c r="A1068" t="s">
        <v>1168</v>
      </c>
      <c r="B1068" t="s">
        <v>29</v>
      </c>
      <c r="C1068">
        <v>45931</v>
      </c>
      <c r="D1068">
        <v>721.49</v>
      </c>
      <c r="E1068">
        <v>721.84990000000005</v>
      </c>
      <c r="F1068">
        <v>710.2</v>
      </c>
      <c r="G1068">
        <v>717.34</v>
      </c>
      <c r="H1068">
        <v>734.38</v>
      </c>
    </row>
    <row r="1069" spans="1:8" x14ac:dyDescent="0.3">
      <c r="A1069" t="s">
        <v>1169</v>
      </c>
      <c r="B1069" t="s">
        <v>29</v>
      </c>
      <c r="C1069">
        <v>45932</v>
      </c>
      <c r="D1069">
        <v>722.58</v>
      </c>
      <c r="E1069">
        <v>727.77</v>
      </c>
      <c r="F1069">
        <v>718.14</v>
      </c>
      <c r="G1069">
        <v>727.05</v>
      </c>
      <c r="H1069">
        <v>717.34</v>
      </c>
    </row>
    <row r="1070" spans="1:8" x14ac:dyDescent="0.3">
      <c r="A1070" t="s">
        <v>1170</v>
      </c>
      <c r="B1070" t="s">
        <v>29</v>
      </c>
      <c r="C1070">
        <v>45933</v>
      </c>
      <c r="D1070">
        <v>729.625</v>
      </c>
      <c r="E1070">
        <v>731</v>
      </c>
      <c r="F1070">
        <v>710.18</v>
      </c>
      <c r="G1070">
        <v>710.56</v>
      </c>
      <c r="H1070">
        <v>727.05</v>
      </c>
    </row>
    <row r="1071" spans="1:8" x14ac:dyDescent="0.3">
      <c r="A1071" t="s">
        <v>1171</v>
      </c>
      <c r="B1071" t="s">
        <v>29</v>
      </c>
      <c r="C1071">
        <v>45936</v>
      </c>
      <c r="D1071">
        <v>705.18499999999995</v>
      </c>
      <c r="E1071">
        <v>716.88</v>
      </c>
      <c r="F1071">
        <v>690.51</v>
      </c>
      <c r="G1071">
        <v>715.66</v>
      </c>
      <c r="H1071">
        <v>710.56</v>
      </c>
    </row>
    <row r="1072" spans="1:8" x14ac:dyDescent="0.3">
      <c r="A1072" t="s">
        <v>1172</v>
      </c>
      <c r="B1072" t="s">
        <v>29</v>
      </c>
      <c r="C1072">
        <v>45937</v>
      </c>
      <c r="D1072">
        <v>717.72</v>
      </c>
      <c r="E1072">
        <v>718.49990000000003</v>
      </c>
      <c r="F1072">
        <v>705.75</v>
      </c>
      <c r="G1072">
        <v>713.08</v>
      </c>
      <c r="H1072">
        <v>715.66</v>
      </c>
    </row>
    <row r="1073" spans="1:8" x14ac:dyDescent="0.3">
      <c r="A1073" t="s">
        <v>1173</v>
      </c>
      <c r="B1073" t="s">
        <v>29</v>
      </c>
      <c r="C1073">
        <v>45938</v>
      </c>
      <c r="D1073">
        <v>713.45</v>
      </c>
      <c r="E1073">
        <v>719.65</v>
      </c>
      <c r="F1073">
        <v>707.81</v>
      </c>
      <c r="G1073">
        <v>717.84</v>
      </c>
      <c r="H1073">
        <v>713.08</v>
      </c>
    </row>
    <row r="1074" spans="1:8" x14ac:dyDescent="0.3">
      <c r="A1074" t="s">
        <v>1174</v>
      </c>
      <c r="B1074" t="s">
        <v>29</v>
      </c>
      <c r="C1074">
        <v>45939</v>
      </c>
      <c r="D1074">
        <v>718.27499999999998</v>
      </c>
      <c r="E1074">
        <v>733.51</v>
      </c>
      <c r="F1074">
        <v>712.44</v>
      </c>
      <c r="G1074">
        <v>733.51</v>
      </c>
      <c r="H1074">
        <v>717.84</v>
      </c>
    </row>
    <row r="1075" spans="1:8" x14ac:dyDescent="0.3">
      <c r="A1075" t="s">
        <v>1175</v>
      </c>
      <c r="B1075" t="s">
        <v>29</v>
      </c>
      <c r="C1075">
        <v>45940</v>
      </c>
      <c r="D1075">
        <v>730.92</v>
      </c>
      <c r="E1075">
        <v>735.27</v>
      </c>
      <c r="F1075">
        <v>704.51</v>
      </c>
      <c r="G1075">
        <v>705.3</v>
      </c>
      <c r="H1075">
        <v>733.51</v>
      </c>
    </row>
    <row r="1076" spans="1:8" x14ac:dyDescent="0.3">
      <c r="A1076" t="s">
        <v>1176</v>
      </c>
      <c r="B1076" t="s">
        <v>29</v>
      </c>
      <c r="C1076">
        <v>45943</v>
      </c>
      <c r="D1076">
        <v>713.01</v>
      </c>
      <c r="E1076">
        <v>719.94</v>
      </c>
      <c r="F1076">
        <v>707.6413</v>
      </c>
      <c r="G1076">
        <v>715.7</v>
      </c>
      <c r="H1076">
        <v>705.3</v>
      </c>
    </row>
    <row r="1077" spans="1:8" x14ac:dyDescent="0.3">
      <c r="A1077" t="s">
        <v>1177</v>
      </c>
      <c r="B1077" t="s">
        <v>29</v>
      </c>
      <c r="C1077">
        <v>45944</v>
      </c>
      <c r="D1077">
        <v>707.78</v>
      </c>
      <c r="E1077">
        <v>715.55</v>
      </c>
      <c r="F1077">
        <v>699.33</v>
      </c>
      <c r="G1077">
        <v>708.65</v>
      </c>
      <c r="H1077">
        <v>715.7</v>
      </c>
    </row>
    <row r="1078" spans="1:8" x14ac:dyDescent="0.3">
      <c r="A1078" t="s">
        <v>1178</v>
      </c>
      <c r="B1078" t="s">
        <v>29</v>
      </c>
      <c r="C1078">
        <v>45945</v>
      </c>
      <c r="D1078">
        <v>717.06</v>
      </c>
      <c r="E1078">
        <v>723.9</v>
      </c>
      <c r="F1078">
        <v>709.51</v>
      </c>
      <c r="G1078">
        <v>717.55</v>
      </c>
      <c r="H1078">
        <v>708.65</v>
      </c>
    </row>
    <row r="1079" spans="1:8" x14ac:dyDescent="0.3">
      <c r="A1079" t="s">
        <v>1179</v>
      </c>
      <c r="B1079" t="s">
        <v>29</v>
      </c>
      <c r="C1079">
        <v>45946</v>
      </c>
      <c r="D1079">
        <v>717.55</v>
      </c>
      <c r="E1079">
        <v>725.49</v>
      </c>
      <c r="F1079">
        <v>703.88</v>
      </c>
      <c r="G1079">
        <v>712.07</v>
      </c>
      <c r="H1079">
        <v>717.55</v>
      </c>
    </row>
    <row r="1080" spans="1:8" x14ac:dyDescent="0.3">
      <c r="A1080" t="s">
        <v>1180</v>
      </c>
      <c r="B1080" t="s">
        <v>29</v>
      </c>
      <c r="C1080">
        <v>45947</v>
      </c>
      <c r="D1080">
        <v>707.07500000000005</v>
      </c>
      <c r="E1080">
        <v>718.54</v>
      </c>
      <c r="F1080">
        <v>706.12</v>
      </c>
      <c r="G1080">
        <v>716.91499999999996</v>
      </c>
      <c r="H1080">
        <v>712.07</v>
      </c>
    </row>
    <row r="1081" spans="1:8" x14ac:dyDescent="0.3">
      <c r="A1081" t="s">
        <v>1181</v>
      </c>
      <c r="B1081" t="s">
        <v>29</v>
      </c>
      <c r="C1081">
        <v>45950</v>
      </c>
      <c r="D1081">
        <v>721.19</v>
      </c>
      <c r="E1081">
        <v>733.77</v>
      </c>
      <c r="F1081">
        <v>720.18</v>
      </c>
      <c r="G1081">
        <v>732.17</v>
      </c>
      <c r="H1081">
        <v>716.91499999999996</v>
      </c>
    </row>
    <row r="1082" spans="1:8" x14ac:dyDescent="0.3">
      <c r="A1082" t="s">
        <v>1182</v>
      </c>
      <c r="B1082" t="s">
        <v>29</v>
      </c>
      <c r="C1082">
        <v>45951</v>
      </c>
      <c r="D1082">
        <v>736.01499999999999</v>
      </c>
      <c r="E1082">
        <v>738.5</v>
      </c>
      <c r="F1082">
        <v>728.75</v>
      </c>
      <c r="G1082">
        <v>733.27</v>
      </c>
      <c r="H1082">
        <v>732.17</v>
      </c>
    </row>
    <row r="1083" spans="1:8" x14ac:dyDescent="0.3">
      <c r="A1083" t="s">
        <v>1183</v>
      </c>
      <c r="B1083" t="s">
        <v>29</v>
      </c>
      <c r="C1083">
        <v>45952</v>
      </c>
      <c r="D1083">
        <v>733.83</v>
      </c>
      <c r="E1083">
        <v>740.6</v>
      </c>
      <c r="F1083">
        <v>724.03</v>
      </c>
      <c r="G1083">
        <v>733.41</v>
      </c>
      <c r="H1083">
        <v>733.27</v>
      </c>
    </row>
    <row r="1084" spans="1:8" x14ac:dyDescent="0.3">
      <c r="A1084" t="s">
        <v>1184</v>
      </c>
      <c r="B1084" t="s">
        <v>29</v>
      </c>
      <c r="C1084">
        <v>45953</v>
      </c>
      <c r="D1084">
        <v>734.7</v>
      </c>
      <c r="E1084">
        <v>742.41</v>
      </c>
      <c r="F1084">
        <v>733.1</v>
      </c>
      <c r="G1084">
        <v>734</v>
      </c>
      <c r="H1084">
        <v>733.41</v>
      </c>
    </row>
    <row r="1085" spans="1:8" x14ac:dyDescent="0.3">
      <c r="A1085" t="s">
        <v>1185</v>
      </c>
      <c r="B1085" t="s">
        <v>29</v>
      </c>
      <c r="C1085">
        <v>45954</v>
      </c>
      <c r="D1085">
        <v>736.79</v>
      </c>
      <c r="E1085">
        <v>741.21</v>
      </c>
      <c r="F1085">
        <v>731.15</v>
      </c>
      <c r="G1085">
        <v>738.36</v>
      </c>
      <c r="H1085">
        <v>734</v>
      </c>
    </row>
    <row r="1086" spans="1:8" x14ac:dyDescent="0.3">
      <c r="A1086" t="s">
        <v>1186</v>
      </c>
      <c r="B1086" t="s">
        <v>29</v>
      </c>
      <c r="C1086">
        <v>45957</v>
      </c>
      <c r="D1086">
        <v>749.73</v>
      </c>
      <c r="E1086">
        <v>755.75</v>
      </c>
      <c r="F1086">
        <v>748.01</v>
      </c>
      <c r="G1086">
        <v>750.82</v>
      </c>
      <c r="H1086">
        <v>738.36</v>
      </c>
    </row>
    <row r="1087" spans="1:8" x14ac:dyDescent="0.3">
      <c r="A1087" t="s">
        <v>1187</v>
      </c>
      <c r="B1087" t="s">
        <v>29</v>
      </c>
      <c r="C1087">
        <v>45958</v>
      </c>
      <c r="D1087">
        <v>752.63</v>
      </c>
      <c r="E1087">
        <v>758.4</v>
      </c>
      <c r="F1087">
        <v>745.52009999999996</v>
      </c>
      <c r="G1087">
        <v>751.44</v>
      </c>
      <c r="H1087">
        <v>750.82</v>
      </c>
    </row>
    <row r="1088" spans="1:8" x14ac:dyDescent="0.3">
      <c r="A1088" t="s">
        <v>1188</v>
      </c>
      <c r="B1088" t="s">
        <v>29</v>
      </c>
      <c r="C1088">
        <v>45959</v>
      </c>
      <c r="D1088">
        <v>754.75</v>
      </c>
      <c r="E1088">
        <v>759.15499999999997</v>
      </c>
      <c r="F1088">
        <v>742.51</v>
      </c>
      <c r="G1088">
        <v>751.67</v>
      </c>
      <c r="H1088">
        <v>751.44</v>
      </c>
    </row>
    <row r="1089" spans="1:8" x14ac:dyDescent="0.3">
      <c r="A1089" t="s">
        <v>1189</v>
      </c>
      <c r="B1089" t="s">
        <v>29</v>
      </c>
      <c r="C1089">
        <v>45960</v>
      </c>
      <c r="D1089">
        <v>669.15</v>
      </c>
      <c r="E1089">
        <v>680.95989999999995</v>
      </c>
      <c r="F1089">
        <v>650.16999999999996</v>
      </c>
      <c r="G1089">
        <v>666.47</v>
      </c>
      <c r="H1089">
        <v>751.67</v>
      </c>
    </row>
    <row r="1090" spans="1:8" x14ac:dyDescent="0.3">
      <c r="A1090" t="s">
        <v>1190</v>
      </c>
      <c r="B1090" t="s">
        <v>29</v>
      </c>
      <c r="C1090">
        <v>45961</v>
      </c>
      <c r="D1090">
        <v>674.51</v>
      </c>
      <c r="E1090">
        <v>674.89</v>
      </c>
      <c r="F1090">
        <v>645.57000000000005</v>
      </c>
      <c r="G1090">
        <v>648.35</v>
      </c>
      <c r="H1090">
        <v>666.47</v>
      </c>
    </row>
    <row r="1091" spans="1:8" x14ac:dyDescent="0.3">
      <c r="A1091" t="s">
        <v>1191</v>
      </c>
      <c r="B1091" t="s">
        <v>29</v>
      </c>
      <c r="C1091">
        <v>45964</v>
      </c>
      <c r="D1091">
        <v>656</v>
      </c>
      <c r="E1091">
        <v>659.32989999999995</v>
      </c>
      <c r="F1091">
        <v>636.17999999999995</v>
      </c>
      <c r="G1091">
        <v>637.71</v>
      </c>
      <c r="H1091">
        <v>648.35</v>
      </c>
    </row>
    <row r="1092" spans="1:8" x14ac:dyDescent="0.3">
      <c r="A1092" t="s">
        <v>1192</v>
      </c>
      <c r="B1092" t="s">
        <v>29</v>
      </c>
      <c r="C1092">
        <v>45965</v>
      </c>
      <c r="D1092">
        <v>628.03499999999997</v>
      </c>
      <c r="E1092">
        <v>641.73990000000003</v>
      </c>
      <c r="F1092">
        <v>626.01</v>
      </c>
      <c r="G1092">
        <v>627.32000000000005</v>
      </c>
      <c r="H1092">
        <v>637.71</v>
      </c>
    </row>
    <row r="1093" spans="1:8" x14ac:dyDescent="0.3">
      <c r="A1093" t="s">
        <v>1193</v>
      </c>
      <c r="B1093" t="s">
        <v>29</v>
      </c>
      <c r="C1093">
        <v>45966</v>
      </c>
      <c r="D1093">
        <v>632.30999999999995</v>
      </c>
      <c r="E1093">
        <v>642.23</v>
      </c>
      <c r="F1093">
        <v>626.53750000000002</v>
      </c>
      <c r="G1093">
        <v>635.95000000000005</v>
      </c>
      <c r="H1093">
        <v>627.32000000000005</v>
      </c>
    </row>
    <row r="1094" spans="1:8" x14ac:dyDescent="0.3">
      <c r="A1094" t="s">
        <v>1194</v>
      </c>
      <c r="B1094" t="s">
        <v>29</v>
      </c>
      <c r="C1094">
        <v>45967</v>
      </c>
      <c r="D1094">
        <v>635.85</v>
      </c>
      <c r="E1094">
        <v>636</v>
      </c>
      <c r="F1094">
        <v>618</v>
      </c>
      <c r="G1094">
        <v>618.94000000000005</v>
      </c>
      <c r="H1094">
        <v>635.95000000000005</v>
      </c>
    </row>
    <row r="1095" spans="1:8" x14ac:dyDescent="0.3">
      <c r="A1095" t="s">
        <v>1195</v>
      </c>
      <c r="B1095" t="s">
        <v>29</v>
      </c>
      <c r="C1095">
        <v>45968</v>
      </c>
      <c r="D1095">
        <v>616.48500000000001</v>
      </c>
      <c r="E1095">
        <v>622.13480000000004</v>
      </c>
      <c r="F1095">
        <v>601.20000000000005</v>
      </c>
      <c r="G1095">
        <v>621.71</v>
      </c>
      <c r="H1095">
        <v>618.94000000000005</v>
      </c>
    </row>
    <row r="1096" spans="1:8" x14ac:dyDescent="0.3">
      <c r="A1096" t="s">
        <v>1196</v>
      </c>
      <c r="B1096" t="s">
        <v>29</v>
      </c>
      <c r="C1096">
        <v>45971</v>
      </c>
      <c r="D1096">
        <v>631.09</v>
      </c>
      <c r="E1096">
        <v>635</v>
      </c>
      <c r="F1096">
        <v>618.10500000000002</v>
      </c>
      <c r="G1096">
        <v>631.76</v>
      </c>
      <c r="H1096">
        <v>621.71</v>
      </c>
    </row>
    <row r="1097" spans="1:8" x14ac:dyDescent="0.3">
      <c r="A1097" t="s">
        <v>1197</v>
      </c>
      <c r="B1097" t="s">
        <v>29</v>
      </c>
      <c r="C1097">
        <v>45972</v>
      </c>
      <c r="D1097">
        <v>628</v>
      </c>
      <c r="E1097">
        <v>629.55999999999995</v>
      </c>
      <c r="F1097">
        <v>619.39</v>
      </c>
      <c r="G1097">
        <v>627.08000000000004</v>
      </c>
      <c r="H1097">
        <v>631.76</v>
      </c>
    </row>
    <row r="1098" spans="1:8" x14ac:dyDescent="0.3">
      <c r="A1098" t="s">
        <v>1198</v>
      </c>
      <c r="B1098" t="s">
        <v>29</v>
      </c>
      <c r="C1098">
        <v>45973</v>
      </c>
      <c r="D1098">
        <v>628.13</v>
      </c>
      <c r="E1098">
        <v>628.99</v>
      </c>
      <c r="F1098">
        <v>607.77</v>
      </c>
      <c r="G1098">
        <v>609.01</v>
      </c>
      <c r="H1098">
        <v>627.08000000000004</v>
      </c>
    </row>
    <row r="1099" spans="1:8" x14ac:dyDescent="0.3">
      <c r="A1099" t="s">
        <v>1199</v>
      </c>
      <c r="B1099" t="s">
        <v>29</v>
      </c>
      <c r="C1099">
        <v>45974</v>
      </c>
      <c r="D1099">
        <v>613.07000000000005</v>
      </c>
      <c r="E1099">
        <v>617.65</v>
      </c>
      <c r="F1099">
        <v>603</v>
      </c>
      <c r="G1099">
        <v>609.89</v>
      </c>
      <c r="H1099">
        <v>609.01</v>
      </c>
    </row>
    <row r="1100" spans="1:8" x14ac:dyDescent="0.3">
      <c r="A1100" t="s">
        <v>1200</v>
      </c>
      <c r="B1100" t="s">
        <v>29</v>
      </c>
      <c r="C1100">
        <v>45975</v>
      </c>
      <c r="D1100">
        <v>601.79</v>
      </c>
      <c r="E1100">
        <v>613.67999999999995</v>
      </c>
      <c r="F1100">
        <v>595.20000000000005</v>
      </c>
      <c r="G1100">
        <v>609.46</v>
      </c>
      <c r="H1100">
        <v>609.89</v>
      </c>
    </row>
    <row r="1101" spans="1:8" x14ac:dyDescent="0.3">
      <c r="A1101" t="s">
        <v>1201</v>
      </c>
      <c r="B1101" t="s">
        <v>29</v>
      </c>
      <c r="C1101">
        <v>45978</v>
      </c>
      <c r="D1101">
        <v>609.03499999999997</v>
      </c>
      <c r="E1101">
        <v>611.69000000000005</v>
      </c>
      <c r="F1101">
        <v>595.4</v>
      </c>
      <c r="G1101">
        <v>602.01</v>
      </c>
      <c r="H1101">
        <v>609.46</v>
      </c>
    </row>
    <row r="1102" spans="1:8" x14ac:dyDescent="0.3">
      <c r="A1102" t="s">
        <v>1202</v>
      </c>
      <c r="B1102" t="s">
        <v>29</v>
      </c>
      <c r="C1102">
        <v>45979</v>
      </c>
      <c r="D1102">
        <v>591.6</v>
      </c>
      <c r="E1102">
        <v>603.66</v>
      </c>
      <c r="F1102">
        <v>583.78</v>
      </c>
      <c r="G1102">
        <v>597.69000000000005</v>
      </c>
      <c r="H1102">
        <v>602.01</v>
      </c>
    </row>
    <row r="1103" spans="1:8" x14ac:dyDescent="0.3">
      <c r="A1103" t="s">
        <v>1203</v>
      </c>
      <c r="B1103" t="s">
        <v>29</v>
      </c>
      <c r="C1103">
        <v>45980</v>
      </c>
      <c r="D1103">
        <v>593.71500000000003</v>
      </c>
      <c r="E1103">
        <v>595.33000000000004</v>
      </c>
      <c r="F1103">
        <v>581.25</v>
      </c>
      <c r="G1103">
        <v>590.32000000000005</v>
      </c>
      <c r="H1103">
        <v>597.69000000000005</v>
      </c>
    </row>
    <row r="1104" spans="1:8" x14ac:dyDescent="0.3">
      <c r="A1104" t="s">
        <v>1204</v>
      </c>
      <c r="B1104" t="s">
        <v>29</v>
      </c>
      <c r="C1104">
        <v>45981</v>
      </c>
      <c r="D1104">
        <v>603.5</v>
      </c>
      <c r="E1104">
        <v>606.72</v>
      </c>
      <c r="F1104">
        <v>583.35</v>
      </c>
      <c r="G1104">
        <v>589.15</v>
      </c>
      <c r="H1104">
        <v>590.32000000000005</v>
      </c>
    </row>
    <row r="1105" spans="1:8" x14ac:dyDescent="0.3">
      <c r="A1105" t="s">
        <v>1205</v>
      </c>
      <c r="B1105" t="s">
        <v>29</v>
      </c>
      <c r="C1105">
        <v>45982</v>
      </c>
      <c r="D1105">
        <v>588.5</v>
      </c>
      <c r="E1105">
        <v>598.12</v>
      </c>
      <c r="F1105">
        <v>581.86</v>
      </c>
      <c r="G1105">
        <v>594.25</v>
      </c>
      <c r="H1105">
        <v>589.15</v>
      </c>
    </row>
    <row r="1106" spans="1:8" x14ac:dyDescent="0.3">
      <c r="A1106" t="s">
        <v>1206</v>
      </c>
      <c r="B1106" t="s">
        <v>29</v>
      </c>
      <c r="C1106">
        <v>45985</v>
      </c>
      <c r="D1106">
        <v>598.72</v>
      </c>
      <c r="E1106">
        <v>616.70000000000005</v>
      </c>
      <c r="F1106">
        <v>597.63009999999997</v>
      </c>
      <c r="G1106">
        <v>613.04999999999995</v>
      </c>
      <c r="H1106">
        <v>594.25</v>
      </c>
    </row>
    <row r="1107" spans="1:8" x14ac:dyDescent="0.3">
      <c r="A1107" t="s">
        <v>1207</v>
      </c>
      <c r="B1107" t="s">
        <v>29</v>
      </c>
      <c r="C1107">
        <v>45986</v>
      </c>
      <c r="D1107">
        <v>624</v>
      </c>
      <c r="E1107">
        <v>637.04499999999996</v>
      </c>
      <c r="F1107">
        <v>618.29999999999995</v>
      </c>
      <c r="G1107">
        <v>636.22</v>
      </c>
      <c r="H1107">
        <v>613.04999999999995</v>
      </c>
    </row>
    <row r="1108" spans="1:8" x14ac:dyDescent="0.3">
      <c r="A1108" t="s">
        <v>1208</v>
      </c>
      <c r="B1108" t="s">
        <v>29</v>
      </c>
      <c r="C1108">
        <v>45987</v>
      </c>
      <c r="D1108">
        <v>637.69000000000005</v>
      </c>
      <c r="E1108">
        <v>638.36</v>
      </c>
      <c r="F1108">
        <v>631.63</v>
      </c>
      <c r="G1108">
        <v>633.61</v>
      </c>
      <c r="H1108">
        <v>636.22</v>
      </c>
    </row>
    <row r="1109" spans="1:8" x14ac:dyDescent="0.3">
      <c r="A1109" t="s">
        <v>1209</v>
      </c>
      <c r="B1109" t="s">
        <v>29</v>
      </c>
      <c r="C1109">
        <v>45989</v>
      </c>
      <c r="D1109">
        <v>636.07500000000005</v>
      </c>
      <c r="E1109">
        <v>648.04999999999995</v>
      </c>
      <c r="F1109">
        <v>635.5</v>
      </c>
      <c r="G1109">
        <v>647.95000000000005</v>
      </c>
      <c r="H1109">
        <v>633.61</v>
      </c>
    </row>
    <row r="1110" spans="1:8" x14ac:dyDescent="0.3">
      <c r="A1110" t="s">
        <v>1210</v>
      </c>
      <c r="B1110" t="s">
        <v>29</v>
      </c>
      <c r="C1110">
        <v>45992</v>
      </c>
      <c r="D1110">
        <v>639.54999999999995</v>
      </c>
      <c r="E1110">
        <v>645.32000000000005</v>
      </c>
      <c r="F1110">
        <v>637.76</v>
      </c>
      <c r="G1110">
        <v>640.87</v>
      </c>
      <c r="H1110">
        <v>647.95000000000005</v>
      </c>
    </row>
    <row r="1111" spans="1:8" x14ac:dyDescent="0.3">
      <c r="A1111" t="s">
        <v>1211</v>
      </c>
      <c r="B1111" t="s">
        <v>29</v>
      </c>
      <c r="C1111">
        <v>45993</v>
      </c>
      <c r="D1111">
        <v>642.34</v>
      </c>
      <c r="E1111">
        <v>647.87</v>
      </c>
      <c r="F1111">
        <v>638.07000000000005</v>
      </c>
      <c r="G1111">
        <v>647.1</v>
      </c>
      <c r="H1111">
        <v>640.87</v>
      </c>
    </row>
    <row r="1112" spans="1:8" x14ac:dyDescent="0.3">
      <c r="A1112" t="s">
        <v>1212</v>
      </c>
      <c r="B1112" t="s">
        <v>29</v>
      </c>
      <c r="C1112">
        <v>45994</v>
      </c>
      <c r="D1112">
        <v>644.41</v>
      </c>
      <c r="E1112">
        <v>648.84990000000005</v>
      </c>
      <c r="F1112">
        <v>637.54999999999995</v>
      </c>
      <c r="G1112">
        <v>639.6</v>
      </c>
      <c r="H1112">
        <v>647.1</v>
      </c>
    </row>
    <row r="1113" spans="1:8" x14ac:dyDescent="0.3">
      <c r="A1113" t="s">
        <v>1213</v>
      </c>
      <c r="B1113" t="s">
        <v>29</v>
      </c>
      <c r="C1113">
        <v>45995</v>
      </c>
      <c r="D1113">
        <v>676</v>
      </c>
      <c r="E1113">
        <v>676.1</v>
      </c>
      <c r="F1113">
        <v>660.05</v>
      </c>
      <c r="G1113">
        <v>661.53</v>
      </c>
      <c r="H1113">
        <v>639.6</v>
      </c>
    </row>
    <row r="1114" spans="1:8" x14ac:dyDescent="0.3">
      <c r="A1114" t="s">
        <v>1214</v>
      </c>
      <c r="B1114" t="s">
        <v>29</v>
      </c>
      <c r="C1114">
        <v>45996</v>
      </c>
      <c r="D1114">
        <v>664</v>
      </c>
      <c r="E1114">
        <v>674.69</v>
      </c>
      <c r="F1114">
        <v>662.39469999999994</v>
      </c>
      <c r="G1114">
        <v>673.42</v>
      </c>
      <c r="H1114">
        <v>661.53</v>
      </c>
    </row>
    <row r="1115" spans="1:8" x14ac:dyDescent="0.3">
      <c r="A1115" t="s">
        <v>1215</v>
      </c>
      <c r="B1115" t="s">
        <v>29</v>
      </c>
      <c r="C1115">
        <v>45999</v>
      </c>
      <c r="D1115">
        <v>669.34</v>
      </c>
      <c r="E1115">
        <v>676.71</v>
      </c>
      <c r="F1115">
        <v>665.07</v>
      </c>
      <c r="G1115">
        <v>666.8</v>
      </c>
      <c r="H1115">
        <v>673.42</v>
      </c>
    </row>
    <row r="1116" spans="1:8" x14ac:dyDescent="0.3">
      <c r="A1116" t="s">
        <v>1216</v>
      </c>
      <c r="B1116" t="s">
        <v>29</v>
      </c>
      <c r="C1116">
        <v>46000</v>
      </c>
      <c r="D1116">
        <v>663.76499999999999</v>
      </c>
      <c r="E1116">
        <v>664.48</v>
      </c>
      <c r="F1116">
        <v>653.34</v>
      </c>
      <c r="G1116">
        <v>656.96</v>
      </c>
      <c r="H1116">
        <v>666.8</v>
      </c>
    </row>
    <row r="1117" spans="1:8" x14ac:dyDescent="0.3">
      <c r="A1117" t="s">
        <v>1217</v>
      </c>
      <c r="B1117" t="s">
        <v>29</v>
      </c>
      <c r="C1117">
        <v>46001</v>
      </c>
      <c r="D1117">
        <v>649.95000000000005</v>
      </c>
      <c r="E1117">
        <v>654.51</v>
      </c>
      <c r="F1117">
        <v>643.39760000000001</v>
      </c>
      <c r="G1117">
        <v>650.13</v>
      </c>
      <c r="H1117">
        <v>656.96</v>
      </c>
    </row>
    <row r="1118" spans="1:8" x14ac:dyDescent="0.3">
      <c r="A1118" t="s">
        <v>1218</v>
      </c>
      <c r="B1118" t="s">
        <v>29</v>
      </c>
      <c r="C1118">
        <v>46002</v>
      </c>
      <c r="D1118">
        <v>643.29</v>
      </c>
      <c r="E1118">
        <v>655.28</v>
      </c>
      <c r="F1118">
        <v>640.79499999999996</v>
      </c>
      <c r="G1118">
        <v>652.71</v>
      </c>
      <c r="H1118">
        <v>650.13</v>
      </c>
    </row>
    <row r="1119" spans="1:8" x14ac:dyDescent="0.3">
      <c r="A1119" t="s">
        <v>1219</v>
      </c>
      <c r="B1119" t="s">
        <v>29</v>
      </c>
      <c r="C1119">
        <v>46003</v>
      </c>
      <c r="D1119">
        <v>649.79999999999995</v>
      </c>
      <c r="E1119">
        <v>711</v>
      </c>
      <c r="F1119">
        <v>638.61</v>
      </c>
      <c r="G1119">
        <v>644.23</v>
      </c>
      <c r="H1119">
        <v>652.71</v>
      </c>
    </row>
    <row r="1120" spans="1:8" x14ac:dyDescent="0.3">
      <c r="A1120" t="s">
        <v>1220</v>
      </c>
      <c r="B1120" t="s">
        <v>29</v>
      </c>
      <c r="C1120">
        <v>46006</v>
      </c>
      <c r="D1120">
        <v>645.70000000000005</v>
      </c>
      <c r="E1120">
        <v>653</v>
      </c>
      <c r="F1120">
        <v>638.70010000000002</v>
      </c>
      <c r="G1120">
        <v>647.51</v>
      </c>
      <c r="H1120">
        <v>644.23</v>
      </c>
    </row>
    <row r="1121" spans="1:8" x14ac:dyDescent="0.3">
      <c r="A1121" t="s">
        <v>1221</v>
      </c>
      <c r="B1121" t="s">
        <v>29</v>
      </c>
      <c r="C1121">
        <v>46007</v>
      </c>
      <c r="D1121">
        <v>643.5</v>
      </c>
      <c r="E1121">
        <v>662.54</v>
      </c>
      <c r="F1121">
        <v>643.20000000000005</v>
      </c>
      <c r="G1121">
        <v>657.15</v>
      </c>
      <c r="H1121">
        <v>647.51</v>
      </c>
    </row>
    <row r="1122" spans="1:8" x14ac:dyDescent="0.3">
      <c r="A1122" t="s">
        <v>1222</v>
      </c>
      <c r="B1122" t="s">
        <v>29</v>
      </c>
      <c r="C1122">
        <v>46008</v>
      </c>
      <c r="D1122">
        <v>655.61</v>
      </c>
      <c r="E1122">
        <v>661.23</v>
      </c>
      <c r="F1122">
        <v>649.20000000000005</v>
      </c>
      <c r="G1122">
        <v>649.5</v>
      </c>
      <c r="H1122">
        <v>657.15</v>
      </c>
    </row>
    <row r="1123" spans="1:8" x14ac:dyDescent="0.3">
      <c r="A1123" t="s">
        <v>1223</v>
      </c>
      <c r="B1123" t="s">
        <v>29</v>
      </c>
      <c r="C1123">
        <v>46009</v>
      </c>
      <c r="D1123">
        <v>657.02499999999998</v>
      </c>
      <c r="E1123">
        <v>670.56</v>
      </c>
      <c r="F1123">
        <v>656.46</v>
      </c>
      <c r="G1123">
        <v>664.45</v>
      </c>
      <c r="H1123">
        <v>649.5</v>
      </c>
    </row>
    <row r="1124" spans="1:8" x14ac:dyDescent="0.3">
      <c r="A1124" t="s">
        <v>1224</v>
      </c>
      <c r="B1124" t="s">
        <v>29</v>
      </c>
      <c r="C1124">
        <v>46010</v>
      </c>
      <c r="D1124">
        <v>666.42</v>
      </c>
      <c r="E1124">
        <v>671</v>
      </c>
      <c r="F1124">
        <v>658.18</v>
      </c>
      <c r="G1124">
        <v>658.77</v>
      </c>
      <c r="H1124">
        <v>664.45</v>
      </c>
    </row>
    <row r="1125" spans="1:8" x14ac:dyDescent="0.3">
      <c r="A1125" t="s">
        <v>1225</v>
      </c>
      <c r="B1125" t="s">
        <v>29</v>
      </c>
      <c r="C1125">
        <v>46013</v>
      </c>
      <c r="D1125">
        <v>661.64499999999998</v>
      </c>
      <c r="E1125">
        <v>673.58</v>
      </c>
      <c r="F1125">
        <v>656.65</v>
      </c>
      <c r="G1125">
        <v>661.5</v>
      </c>
      <c r="H1125">
        <v>658.77</v>
      </c>
    </row>
    <row r="1126" spans="1:8" x14ac:dyDescent="0.3">
      <c r="A1126" t="s">
        <v>1226</v>
      </c>
      <c r="B1126" t="s">
        <v>29</v>
      </c>
      <c r="C1126">
        <v>46014</v>
      </c>
      <c r="D1126">
        <v>660.05</v>
      </c>
      <c r="E1126">
        <v>666</v>
      </c>
      <c r="F1126">
        <v>658.25</v>
      </c>
      <c r="G1126">
        <v>664.94</v>
      </c>
      <c r="H1126">
        <v>661.5</v>
      </c>
    </row>
    <row r="1127" spans="1:8" x14ac:dyDescent="0.3">
      <c r="A1127" t="s">
        <v>1227</v>
      </c>
      <c r="B1127" t="s">
        <v>29</v>
      </c>
      <c r="C1127">
        <v>46015</v>
      </c>
      <c r="D1127">
        <v>662.53</v>
      </c>
      <c r="E1127">
        <v>668.18</v>
      </c>
      <c r="F1127">
        <v>662.2</v>
      </c>
      <c r="G1127">
        <v>667.55</v>
      </c>
      <c r="H1127">
        <v>664.94</v>
      </c>
    </row>
    <row r="1128" spans="1:8" x14ac:dyDescent="0.3">
      <c r="A1128" t="s">
        <v>1228</v>
      </c>
      <c r="B1128" t="s">
        <v>29</v>
      </c>
      <c r="C1128">
        <v>46017</v>
      </c>
      <c r="D1128">
        <v>668.06</v>
      </c>
      <c r="E1128">
        <v>668.94989999999996</v>
      </c>
      <c r="F1128">
        <v>661.32010000000002</v>
      </c>
      <c r="G1128">
        <v>663.29</v>
      </c>
      <c r="H1128">
        <v>667.55</v>
      </c>
    </row>
    <row r="1129" spans="1:8" x14ac:dyDescent="0.3">
      <c r="A1129" t="s">
        <v>1229</v>
      </c>
      <c r="B1129" t="s">
        <v>29</v>
      </c>
      <c r="C1129">
        <v>46020</v>
      </c>
      <c r="D1129">
        <v>658.01</v>
      </c>
      <c r="E1129">
        <v>660.25</v>
      </c>
      <c r="F1129">
        <v>654.39</v>
      </c>
      <c r="G1129">
        <v>658.69</v>
      </c>
      <c r="H1129">
        <v>663.29</v>
      </c>
    </row>
    <row r="1130" spans="1:8" x14ac:dyDescent="0.3">
      <c r="A1130" t="s">
        <v>1230</v>
      </c>
      <c r="B1130" t="s">
        <v>29</v>
      </c>
      <c r="C1130">
        <v>46021</v>
      </c>
      <c r="D1130">
        <v>658.69</v>
      </c>
      <c r="E1130">
        <v>672.22</v>
      </c>
      <c r="F1130">
        <v>657.84</v>
      </c>
      <c r="G1130">
        <v>665.95</v>
      </c>
      <c r="H1130">
        <v>658.69</v>
      </c>
    </row>
    <row r="1131" spans="1:8" x14ac:dyDescent="0.3">
      <c r="A1131" t="s">
        <v>107</v>
      </c>
      <c r="B1131" t="s">
        <v>29</v>
      </c>
      <c r="C1131">
        <v>46022</v>
      </c>
      <c r="D1131">
        <v>664.75</v>
      </c>
      <c r="E1131">
        <v>665</v>
      </c>
      <c r="F1131">
        <v>659.44</v>
      </c>
      <c r="G1131">
        <v>660.09</v>
      </c>
      <c r="H1131">
        <v>665.95</v>
      </c>
    </row>
    <row r="1132" spans="1:8" x14ac:dyDescent="0.3">
      <c r="A1132" t="s">
        <v>1231</v>
      </c>
      <c r="B1132" t="s">
        <v>29</v>
      </c>
      <c r="C1132">
        <v>46024</v>
      </c>
      <c r="D1132">
        <v>662.72500000000002</v>
      </c>
      <c r="E1132">
        <v>664.39</v>
      </c>
      <c r="F1132">
        <v>643.5</v>
      </c>
      <c r="G1132">
        <v>650.41</v>
      </c>
      <c r="H1132">
        <v>660.09</v>
      </c>
    </row>
    <row r="1133" spans="1:8" x14ac:dyDescent="0.3">
      <c r="A1133" t="s">
        <v>1232</v>
      </c>
      <c r="B1133" t="s">
        <v>29</v>
      </c>
      <c r="C1133">
        <v>46027</v>
      </c>
      <c r="D1133">
        <v>651.01</v>
      </c>
      <c r="E1133">
        <v>664.54</v>
      </c>
      <c r="F1133">
        <v>647.75120000000004</v>
      </c>
      <c r="G1133">
        <v>658.79</v>
      </c>
      <c r="H1133">
        <v>650.41</v>
      </c>
    </row>
    <row r="1134" spans="1:8" x14ac:dyDescent="0.3">
      <c r="A1134" t="s">
        <v>1233</v>
      </c>
      <c r="B1134" t="s">
        <v>29</v>
      </c>
      <c r="C1134">
        <v>46028</v>
      </c>
      <c r="D1134">
        <v>659.57</v>
      </c>
      <c r="E1134">
        <v>665.52</v>
      </c>
      <c r="F1134">
        <v>651.9</v>
      </c>
      <c r="G1134">
        <v>660.62</v>
      </c>
      <c r="H1134">
        <v>658.79</v>
      </c>
    </row>
    <row r="1135" spans="1:8" x14ac:dyDescent="0.3">
      <c r="A1135" t="s">
        <v>1234</v>
      </c>
      <c r="B1135" t="s">
        <v>29</v>
      </c>
      <c r="C1135">
        <v>46029</v>
      </c>
      <c r="D1135">
        <v>655.64</v>
      </c>
      <c r="E1135">
        <v>659.15</v>
      </c>
      <c r="F1135">
        <v>644.80999999999995</v>
      </c>
      <c r="G1135">
        <v>648.69000000000005</v>
      </c>
      <c r="H1135">
        <v>660.62</v>
      </c>
    </row>
    <row r="1136" spans="1:8" x14ac:dyDescent="0.3">
      <c r="A1136" t="s">
        <v>1235</v>
      </c>
      <c r="B1136" t="s">
        <v>29</v>
      </c>
      <c r="C1136">
        <v>46030</v>
      </c>
      <c r="D1136">
        <v>645.88</v>
      </c>
      <c r="E1136">
        <v>647.10199999999998</v>
      </c>
      <c r="F1136">
        <v>635.72</v>
      </c>
      <c r="G1136">
        <v>646.05999999999995</v>
      </c>
      <c r="H1136">
        <v>648.69000000000005</v>
      </c>
    </row>
    <row r="1137" spans="1:8" x14ac:dyDescent="0.3">
      <c r="A1137" t="s">
        <v>1236</v>
      </c>
      <c r="B1137" t="s">
        <v>29</v>
      </c>
      <c r="C1137">
        <v>46031</v>
      </c>
      <c r="D1137">
        <v>645.43499999999995</v>
      </c>
      <c r="E1137">
        <v>654.95000000000005</v>
      </c>
      <c r="F1137">
        <v>642.85</v>
      </c>
      <c r="G1137">
        <v>653.05999999999995</v>
      </c>
      <c r="H1137">
        <v>646.05999999999995</v>
      </c>
    </row>
    <row r="1138" spans="1:8" x14ac:dyDescent="0.3">
      <c r="A1138" t="s">
        <v>1237</v>
      </c>
      <c r="B1138" t="s">
        <v>29</v>
      </c>
      <c r="C1138">
        <v>46034</v>
      </c>
      <c r="D1138">
        <v>652.52499999999998</v>
      </c>
      <c r="E1138">
        <v>653.97</v>
      </c>
      <c r="F1138">
        <v>641.22500000000002</v>
      </c>
      <c r="G1138">
        <v>641.97</v>
      </c>
      <c r="H1138">
        <v>653.05999999999995</v>
      </c>
    </row>
    <row r="1139" spans="1:8" x14ac:dyDescent="0.3">
      <c r="A1139" t="s">
        <v>1238</v>
      </c>
      <c r="B1139" t="s">
        <v>29</v>
      </c>
      <c r="C1139">
        <v>46035</v>
      </c>
      <c r="D1139">
        <v>642.27</v>
      </c>
      <c r="E1139">
        <v>642.27</v>
      </c>
      <c r="F1139">
        <v>624.1</v>
      </c>
      <c r="G1139">
        <v>631.09</v>
      </c>
      <c r="H1139">
        <v>641.97</v>
      </c>
    </row>
    <row r="1140" spans="1:8" x14ac:dyDescent="0.3">
      <c r="A1140" t="s">
        <v>1239</v>
      </c>
      <c r="B1140" t="s">
        <v>29</v>
      </c>
      <c r="C1140">
        <v>46036</v>
      </c>
      <c r="D1140">
        <v>626.5</v>
      </c>
      <c r="E1140">
        <v>628.45000000000005</v>
      </c>
      <c r="F1140">
        <v>614.81500000000005</v>
      </c>
      <c r="G1140">
        <v>615.52</v>
      </c>
      <c r="H1140">
        <v>631.09</v>
      </c>
    </row>
    <row r="1141" spans="1:8" x14ac:dyDescent="0.3">
      <c r="A1141" t="s">
        <v>1240</v>
      </c>
      <c r="B1141" t="s">
        <v>29</v>
      </c>
      <c r="C1141">
        <v>46037</v>
      </c>
      <c r="D1141">
        <v>618.48</v>
      </c>
      <c r="E1141">
        <v>624.16999999999996</v>
      </c>
      <c r="F1141">
        <v>614.23</v>
      </c>
      <c r="G1141">
        <v>620.79999999999995</v>
      </c>
      <c r="H1141">
        <v>615.52</v>
      </c>
    </row>
    <row r="1142" spans="1:8" x14ac:dyDescent="0.3">
      <c r="A1142" t="s">
        <v>1241</v>
      </c>
      <c r="B1142" t="s">
        <v>29</v>
      </c>
      <c r="C1142">
        <v>46038</v>
      </c>
      <c r="D1142">
        <v>624.17619999999999</v>
      </c>
      <c r="E1142">
        <v>629.08000000000004</v>
      </c>
      <c r="F1142">
        <v>620.08000000000004</v>
      </c>
      <c r="G1142">
        <v>620.25</v>
      </c>
      <c r="H1142">
        <v>620.79999999999995</v>
      </c>
    </row>
    <row r="1143" spans="1:8" x14ac:dyDescent="0.3">
      <c r="A1143" t="s">
        <v>1242</v>
      </c>
      <c r="B1143" t="s">
        <v>29</v>
      </c>
      <c r="C1143">
        <v>46042</v>
      </c>
      <c r="D1143">
        <v>607.88</v>
      </c>
      <c r="E1143">
        <v>611.4</v>
      </c>
      <c r="F1143">
        <v>600</v>
      </c>
      <c r="G1143">
        <v>604.12</v>
      </c>
      <c r="H1143">
        <v>620.25</v>
      </c>
    </row>
    <row r="1144" spans="1:8" x14ac:dyDescent="0.3">
      <c r="A1144" t="s">
        <v>1243</v>
      </c>
      <c r="B1144" t="s">
        <v>29</v>
      </c>
      <c r="C1144">
        <v>46043</v>
      </c>
      <c r="D1144">
        <v>606.74</v>
      </c>
      <c r="E1144">
        <v>618.27</v>
      </c>
      <c r="F1144">
        <v>600.08000000000004</v>
      </c>
      <c r="G1144">
        <v>612.96</v>
      </c>
      <c r="H1144">
        <v>604.12</v>
      </c>
    </row>
    <row r="1145" spans="1:8" x14ac:dyDescent="0.3">
      <c r="A1145" t="s">
        <v>1244</v>
      </c>
      <c r="B1145" t="s">
        <v>29</v>
      </c>
      <c r="C1145">
        <v>46044</v>
      </c>
      <c r="D1145">
        <v>629.35</v>
      </c>
      <c r="E1145">
        <v>660.57</v>
      </c>
      <c r="F1145">
        <v>626.54999999999995</v>
      </c>
      <c r="G1145">
        <v>647.63</v>
      </c>
      <c r="H1145">
        <v>612.96</v>
      </c>
    </row>
    <row r="1146" spans="1:8" x14ac:dyDescent="0.3">
      <c r="A1146" t="s">
        <v>1245</v>
      </c>
      <c r="B1146" t="s">
        <v>29</v>
      </c>
      <c r="C1146">
        <v>46045</v>
      </c>
      <c r="D1146">
        <v>644.77</v>
      </c>
      <c r="E1146">
        <v>666.48990000000003</v>
      </c>
      <c r="F1146">
        <v>644.44500000000005</v>
      </c>
      <c r="G1146">
        <v>658.76</v>
      </c>
      <c r="H1146">
        <v>647.63</v>
      </c>
    </row>
    <row r="1147" spans="1:8" x14ac:dyDescent="0.3">
      <c r="A1147" t="s">
        <v>1246</v>
      </c>
      <c r="B1147" t="s">
        <v>29</v>
      </c>
      <c r="C1147">
        <v>46048</v>
      </c>
      <c r="D1147">
        <v>665.125</v>
      </c>
      <c r="E1147">
        <v>675.28</v>
      </c>
      <c r="F1147">
        <v>661.28549999999996</v>
      </c>
      <c r="G1147">
        <v>672.36</v>
      </c>
      <c r="H1147">
        <v>658.76</v>
      </c>
    </row>
    <row r="1148" spans="1:8" x14ac:dyDescent="0.3">
      <c r="A1148" t="s">
        <v>1247</v>
      </c>
      <c r="B1148" t="s">
        <v>29</v>
      </c>
      <c r="C1148">
        <v>46049</v>
      </c>
      <c r="D1148">
        <v>674.59</v>
      </c>
      <c r="E1148">
        <v>676.81500000000005</v>
      </c>
      <c r="F1148">
        <v>664.66</v>
      </c>
      <c r="G1148">
        <v>672.97</v>
      </c>
      <c r="H1148">
        <v>672.36</v>
      </c>
    </row>
    <row r="1149" spans="1:8" x14ac:dyDescent="0.3">
      <c r="A1149" t="s">
        <v>1248</v>
      </c>
      <c r="B1149" t="s">
        <v>29</v>
      </c>
      <c r="C1149">
        <v>46050</v>
      </c>
      <c r="D1149">
        <v>674.5</v>
      </c>
      <c r="E1149">
        <v>677.67750000000001</v>
      </c>
      <c r="F1149">
        <v>666.1</v>
      </c>
      <c r="G1149">
        <v>668.73</v>
      </c>
      <c r="H1149">
        <v>672.97</v>
      </c>
    </row>
    <row r="1150" spans="1:8" x14ac:dyDescent="0.3">
      <c r="A1150" t="s">
        <v>1249</v>
      </c>
      <c r="B1150" t="s">
        <v>29</v>
      </c>
      <c r="C1150">
        <v>46051</v>
      </c>
      <c r="D1150">
        <v>737.43</v>
      </c>
      <c r="E1150">
        <v>744</v>
      </c>
      <c r="F1150">
        <v>712.55</v>
      </c>
      <c r="G1150">
        <v>738.31</v>
      </c>
      <c r="H1150">
        <v>668.73</v>
      </c>
    </row>
    <row r="1151" spans="1:8" x14ac:dyDescent="0.3">
      <c r="A1151" t="s">
        <v>1250</v>
      </c>
      <c r="B1151" t="s">
        <v>29</v>
      </c>
      <c r="C1151">
        <v>46052</v>
      </c>
      <c r="D1151">
        <v>727.5</v>
      </c>
      <c r="E1151">
        <v>732.17</v>
      </c>
      <c r="F1151">
        <v>713.59</v>
      </c>
      <c r="G1151">
        <v>716.5</v>
      </c>
      <c r="H1151">
        <v>738.31</v>
      </c>
    </row>
    <row r="1152" spans="1:8" x14ac:dyDescent="0.3">
      <c r="A1152" t="s">
        <v>1251</v>
      </c>
      <c r="B1152" t="s">
        <v>29</v>
      </c>
      <c r="C1152">
        <v>46055</v>
      </c>
      <c r="D1152">
        <v>714.6</v>
      </c>
      <c r="E1152">
        <v>721.3</v>
      </c>
      <c r="F1152">
        <v>703.52009999999996</v>
      </c>
      <c r="G1152">
        <v>706.41</v>
      </c>
      <c r="H1152">
        <v>716.5</v>
      </c>
    </row>
    <row r="1153" spans="1:8" x14ac:dyDescent="0.3">
      <c r="A1153" t="s">
        <v>1252</v>
      </c>
      <c r="B1153" t="s">
        <v>29</v>
      </c>
      <c r="C1153">
        <v>46056</v>
      </c>
      <c r="D1153">
        <v>707.37</v>
      </c>
      <c r="E1153">
        <v>717</v>
      </c>
      <c r="F1153">
        <v>686.41</v>
      </c>
      <c r="G1153">
        <v>691.7</v>
      </c>
      <c r="H1153">
        <v>706.41</v>
      </c>
    </row>
    <row r="1154" spans="1:8" x14ac:dyDescent="0.3">
      <c r="A1154" t="s">
        <v>1253</v>
      </c>
      <c r="B1154" t="s">
        <v>29</v>
      </c>
      <c r="C1154">
        <v>46057</v>
      </c>
      <c r="D1154">
        <v>687.73</v>
      </c>
      <c r="E1154">
        <v>688.83</v>
      </c>
      <c r="F1154">
        <v>667.46</v>
      </c>
      <c r="G1154">
        <v>668.99</v>
      </c>
      <c r="H1154">
        <v>691.7</v>
      </c>
    </row>
    <row r="1155" spans="1:8" x14ac:dyDescent="0.3">
      <c r="A1155" t="s">
        <v>1254</v>
      </c>
      <c r="B1155" t="s">
        <v>29</v>
      </c>
      <c r="C1155">
        <v>46058</v>
      </c>
      <c r="D1155">
        <v>663.58</v>
      </c>
      <c r="E1155">
        <v>681.5</v>
      </c>
      <c r="F1155">
        <v>653.5</v>
      </c>
      <c r="G1155">
        <v>670.21</v>
      </c>
      <c r="H1155">
        <v>668.99</v>
      </c>
    </row>
    <row r="1156" spans="1:8" x14ac:dyDescent="0.3">
      <c r="A1156" t="s">
        <v>1255</v>
      </c>
      <c r="B1156" t="s">
        <v>29</v>
      </c>
      <c r="C1156">
        <v>46059</v>
      </c>
      <c r="D1156">
        <v>665.49</v>
      </c>
      <c r="E1156">
        <v>671.98990000000003</v>
      </c>
      <c r="F1156">
        <v>646.50009999999997</v>
      </c>
      <c r="G1156">
        <v>661.46</v>
      </c>
      <c r="H1156">
        <v>670.21</v>
      </c>
    </row>
    <row r="1157" spans="1:8" x14ac:dyDescent="0.3">
      <c r="A1157" t="s">
        <v>1256</v>
      </c>
      <c r="B1157" t="s">
        <v>29</v>
      </c>
      <c r="C1157">
        <v>46062</v>
      </c>
      <c r="D1157">
        <v>663.18</v>
      </c>
      <c r="E1157">
        <v>683.30989999999997</v>
      </c>
      <c r="F1157">
        <v>658.78</v>
      </c>
      <c r="G1157">
        <v>677.22</v>
      </c>
      <c r="H1157">
        <v>661.46</v>
      </c>
    </row>
    <row r="1158" spans="1:8" x14ac:dyDescent="0.3">
      <c r="A1158" t="s">
        <v>1257</v>
      </c>
      <c r="B1158" t="s">
        <v>29</v>
      </c>
      <c r="C1158">
        <v>46063</v>
      </c>
      <c r="D1158">
        <v>677.6</v>
      </c>
      <c r="E1158">
        <v>680.65</v>
      </c>
      <c r="F1158">
        <v>669.79</v>
      </c>
      <c r="G1158">
        <v>670.72</v>
      </c>
      <c r="H1158">
        <v>677.22</v>
      </c>
    </row>
    <row r="1159" spans="1:8" x14ac:dyDescent="0.3">
      <c r="A1159" t="s">
        <v>1258</v>
      </c>
      <c r="B1159" t="s">
        <v>29</v>
      </c>
      <c r="C1159">
        <v>46064</v>
      </c>
      <c r="D1159">
        <v>674</v>
      </c>
      <c r="E1159">
        <v>679.26750000000004</v>
      </c>
      <c r="F1159">
        <v>657.1</v>
      </c>
      <c r="G1159">
        <v>668.69</v>
      </c>
      <c r="H1159">
        <v>670.72</v>
      </c>
    </row>
    <row r="1160" spans="1:8" x14ac:dyDescent="0.3">
      <c r="A1160" t="s">
        <v>1259</v>
      </c>
      <c r="B1160" t="s">
        <v>29</v>
      </c>
      <c r="C1160">
        <v>46065</v>
      </c>
      <c r="D1160">
        <v>669.97</v>
      </c>
      <c r="E1160">
        <v>676</v>
      </c>
      <c r="F1160">
        <v>645.28</v>
      </c>
      <c r="G1160">
        <v>649.80999999999995</v>
      </c>
      <c r="H1160">
        <v>668.69</v>
      </c>
    </row>
    <row r="1161" spans="1:8" x14ac:dyDescent="0.3">
      <c r="A1161" t="s">
        <v>1260</v>
      </c>
      <c r="B1161" t="s">
        <v>29</v>
      </c>
      <c r="C1161">
        <v>46066</v>
      </c>
      <c r="D1161">
        <v>645.1</v>
      </c>
      <c r="E1161">
        <v>651.42989999999998</v>
      </c>
      <c r="F1161">
        <v>634.57000000000005</v>
      </c>
      <c r="G1161">
        <v>639.77</v>
      </c>
      <c r="H1161">
        <v>649.80999999999995</v>
      </c>
    </row>
    <row r="1162" spans="1:8" x14ac:dyDescent="0.3">
      <c r="A1162" t="s">
        <v>1261</v>
      </c>
      <c r="B1162" t="s">
        <v>29</v>
      </c>
      <c r="C1162">
        <v>46070</v>
      </c>
      <c r="D1162">
        <v>639.495</v>
      </c>
      <c r="E1162">
        <v>642.6</v>
      </c>
      <c r="F1162">
        <v>628.79999999999995</v>
      </c>
      <c r="G1162">
        <v>639.29</v>
      </c>
      <c r="H1162">
        <v>639.77</v>
      </c>
    </row>
    <row r="1163" spans="1:8" x14ac:dyDescent="0.3">
      <c r="A1163" t="s">
        <v>1262</v>
      </c>
      <c r="B1163" t="s">
        <v>29</v>
      </c>
      <c r="C1163">
        <v>46071</v>
      </c>
      <c r="D1163">
        <v>633.79999999999995</v>
      </c>
      <c r="E1163">
        <v>645</v>
      </c>
      <c r="F1163">
        <v>628.14499999999998</v>
      </c>
      <c r="G1163">
        <v>643.22</v>
      </c>
      <c r="H1163">
        <v>639.29</v>
      </c>
    </row>
    <row r="1164" spans="1:8" x14ac:dyDescent="0.3">
      <c r="A1164" t="s">
        <v>1263</v>
      </c>
      <c r="B1164" t="s">
        <v>29</v>
      </c>
      <c r="C1164">
        <v>46072</v>
      </c>
      <c r="D1164">
        <v>638.57000000000005</v>
      </c>
      <c r="E1164">
        <v>647.19000000000005</v>
      </c>
      <c r="F1164">
        <v>636.72</v>
      </c>
      <c r="G1164">
        <v>644.78</v>
      </c>
      <c r="H1164">
        <v>643.22</v>
      </c>
    </row>
    <row r="1165" spans="1:8" x14ac:dyDescent="0.3">
      <c r="A1165" t="s">
        <v>1264</v>
      </c>
      <c r="B1165" t="s">
        <v>29</v>
      </c>
      <c r="C1165">
        <v>46073</v>
      </c>
      <c r="D1165">
        <v>639.68499999999995</v>
      </c>
      <c r="E1165">
        <v>663.34990000000005</v>
      </c>
      <c r="F1165">
        <v>638.78</v>
      </c>
      <c r="G1165">
        <v>655.66</v>
      </c>
      <c r="H1165">
        <v>644.78</v>
      </c>
    </row>
    <row r="1166" spans="1:8" x14ac:dyDescent="0.3">
      <c r="A1166" t="s">
        <v>1265</v>
      </c>
      <c r="B1166" t="s">
        <v>29</v>
      </c>
      <c r="C1166">
        <v>46076</v>
      </c>
      <c r="D1166">
        <v>652.54</v>
      </c>
      <c r="E1166">
        <v>657.7</v>
      </c>
      <c r="F1166">
        <v>636</v>
      </c>
      <c r="G1166">
        <v>637.25</v>
      </c>
      <c r="H1166">
        <v>655.66</v>
      </c>
    </row>
    <row r="1167" spans="1:8" x14ac:dyDescent="0.3">
      <c r="A1167" t="s">
        <v>1266</v>
      </c>
      <c r="B1167" t="s">
        <v>29</v>
      </c>
      <c r="C1167">
        <v>46077</v>
      </c>
      <c r="D1167">
        <v>633.08000000000004</v>
      </c>
      <c r="E1167">
        <v>641.11</v>
      </c>
      <c r="F1167">
        <v>628.98</v>
      </c>
      <c r="G1167">
        <v>639.29999999999995</v>
      </c>
      <c r="H1167">
        <v>637.25</v>
      </c>
    </row>
    <row r="1168" spans="1:8" x14ac:dyDescent="0.3">
      <c r="A1168" t="s">
        <v>1267</v>
      </c>
      <c r="B1168" t="s">
        <v>23</v>
      </c>
      <c r="C1168">
        <v>45650</v>
      </c>
      <c r="D1168">
        <v>434.65</v>
      </c>
      <c r="E1168">
        <v>439.6</v>
      </c>
      <c r="F1168">
        <v>434.19</v>
      </c>
      <c r="G1168">
        <v>439.33</v>
      </c>
      <c r="H1168">
        <v>435.25</v>
      </c>
    </row>
    <row r="1169" spans="1:8" x14ac:dyDescent="0.3">
      <c r="A1169" t="s">
        <v>1268</v>
      </c>
      <c r="B1169" t="s">
        <v>23</v>
      </c>
      <c r="C1169">
        <v>45652</v>
      </c>
      <c r="D1169">
        <v>439.08</v>
      </c>
      <c r="E1169">
        <v>440.94</v>
      </c>
      <c r="F1169">
        <v>436.63</v>
      </c>
      <c r="G1169">
        <v>438.11</v>
      </c>
      <c r="H1169">
        <v>439.33</v>
      </c>
    </row>
    <row r="1170" spans="1:8" x14ac:dyDescent="0.3">
      <c r="A1170" t="s">
        <v>1269</v>
      </c>
      <c r="B1170" t="s">
        <v>23</v>
      </c>
      <c r="C1170">
        <v>45653</v>
      </c>
      <c r="D1170">
        <v>434.6</v>
      </c>
      <c r="E1170">
        <v>435.22</v>
      </c>
      <c r="F1170">
        <v>426.35</v>
      </c>
      <c r="G1170">
        <v>430.53</v>
      </c>
      <c r="H1170">
        <v>438.11</v>
      </c>
    </row>
    <row r="1171" spans="1:8" x14ac:dyDescent="0.3">
      <c r="A1171" t="s">
        <v>1270</v>
      </c>
      <c r="B1171" t="s">
        <v>23</v>
      </c>
      <c r="C1171">
        <v>45656</v>
      </c>
      <c r="D1171">
        <v>426.06</v>
      </c>
      <c r="E1171">
        <v>427.55</v>
      </c>
      <c r="F1171">
        <v>421.9</v>
      </c>
      <c r="G1171">
        <v>424.83</v>
      </c>
      <c r="H1171">
        <v>430.53</v>
      </c>
    </row>
    <row r="1172" spans="1:8" x14ac:dyDescent="0.3">
      <c r="A1172" t="s">
        <v>1271</v>
      </c>
      <c r="B1172" t="s">
        <v>23</v>
      </c>
      <c r="C1172">
        <v>45657</v>
      </c>
      <c r="D1172">
        <v>426.1</v>
      </c>
      <c r="E1172">
        <v>426.73</v>
      </c>
      <c r="F1172">
        <v>420.66</v>
      </c>
      <c r="G1172">
        <v>421.5</v>
      </c>
      <c r="H1172">
        <v>424.83</v>
      </c>
    </row>
    <row r="1173" spans="1:8" x14ac:dyDescent="0.3">
      <c r="A1173" t="s">
        <v>1272</v>
      </c>
      <c r="B1173" t="s">
        <v>23</v>
      </c>
      <c r="C1173">
        <v>45659</v>
      </c>
      <c r="D1173">
        <v>425.53</v>
      </c>
      <c r="E1173">
        <v>426.07</v>
      </c>
      <c r="F1173">
        <v>414.85</v>
      </c>
      <c r="G1173">
        <v>418.58</v>
      </c>
      <c r="H1173">
        <v>421.5</v>
      </c>
    </row>
    <row r="1174" spans="1:8" x14ac:dyDescent="0.3">
      <c r="A1174" t="s">
        <v>1273</v>
      </c>
      <c r="B1174" t="s">
        <v>23</v>
      </c>
      <c r="C1174">
        <v>45660</v>
      </c>
      <c r="D1174">
        <v>421.08</v>
      </c>
      <c r="E1174">
        <v>424.03</v>
      </c>
      <c r="F1174">
        <v>419.54</v>
      </c>
      <c r="G1174">
        <v>423.35</v>
      </c>
      <c r="H1174">
        <v>418.58</v>
      </c>
    </row>
    <row r="1175" spans="1:8" x14ac:dyDescent="0.3">
      <c r="A1175" t="s">
        <v>1274</v>
      </c>
      <c r="B1175" t="s">
        <v>23</v>
      </c>
      <c r="C1175">
        <v>45663</v>
      </c>
      <c r="D1175">
        <v>428</v>
      </c>
      <c r="E1175">
        <v>434.32</v>
      </c>
      <c r="F1175">
        <v>425.47739999999999</v>
      </c>
      <c r="G1175">
        <v>427.85</v>
      </c>
      <c r="H1175">
        <v>423.35</v>
      </c>
    </row>
    <row r="1176" spans="1:8" x14ac:dyDescent="0.3">
      <c r="A1176" t="s">
        <v>1275</v>
      </c>
      <c r="B1176" t="s">
        <v>23</v>
      </c>
      <c r="C1176">
        <v>45664</v>
      </c>
      <c r="D1176">
        <v>429</v>
      </c>
      <c r="E1176">
        <v>430.65</v>
      </c>
      <c r="F1176">
        <v>420.8</v>
      </c>
      <c r="G1176">
        <v>422.37</v>
      </c>
      <c r="H1176">
        <v>427.85</v>
      </c>
    </row>
    <row r="1177" spans="1:8" x14ac:dyDescent="0.3">
      <c r="A1177" t="s">
        <v>1276</v>
      </c>
      <c r="B1177" t="s">
        <v>23</v>
      </c>
      <c r="C1177">
        <v>45665</v>
      </c>
      <c r="D1177">
        <v>423.46</v>
      </c>
      <c r="E1177">
        <v>426.97</v>
      </c>
      <c r="F1177">
        <v>421.54</v>
      </c>
      <c r="G1177">
        <v>424.56</v>
      </c>
      <c r="H1177">
        <v>422.37</v>
      </c>
    </row>
    <row r="1178" spans="1:8" x14ac:dyDescent="0.3">
      <c r="A1178" t="s">
        <v>1277</v>
      </c>
      <c r="B1178" t="s">
        <v>23</v>
      </c>
      <c r="C1178">
        <v>45667</v>
      </c>
      <c r="D1178">
        <v>424.63</v>
      </c>
      <c r="E1178">
        <v>424.71</v>
      </c>
      <c r="F1178">
        <v>415.02</v>
      </c>
      <c r="G1178">
        <v>418.95</v>
      </c>
      <c r="H1178">
        <v>424.56</v>
      </c>
    </row>
    <row r="1179" spans="1:8" x14ac:dyDescent="0.3">
      <c r="A1179" t="s">
        <v>1278</v>
      </c>
      <c r="B1179" t="s">
        <v>23</v>
      </c>
      <c r="C1179">
        <v>45670</v>
      </c>
      <c r="D1179">
        <v>415.23500000000001</v>
      </c>
      <c r="E1179">
        <v>418.5</v>
      </c>
      <c r="F1179">
        <v>412.29</v>
      </c>
      <c r="G1179">
        <v>417.19</v>
      </c>
      <c r="H1179">
        <v>418.95</v>
      </c>
    </row>
    <row r="1180" spans="1:8" x14ac:dyDescent="0.3">
      <c r="A1180" t="s">
        <v>1279</v>
      </c>
      <c r="B1180" t="s">
        <v>23</v>
      </c>
      <c r="C1180">
        <v>45671</v>
      </c>
      <c r="D1180">
        <v>417.81</v>
      </c>
      <c r="E1180">
        <v>419.74</v>
      </c>
      <c r="F1180">
        <v>410.72</v>
      </c>
      <c r="G1180">
        <v>415.67</v>
      </c>
      <c r="H1180">
        <v>417.19</v>
      </c>
    </row>
    <row r="1181" spans="1:8" x14ac:dyDescent="0.3">
      <c r="A1181" t="s">
        <v>1280</v>
      </c>
      <c r="B1181" t="s">
        <v>23</v>
      </c>
      <c r="C1181">
        <v>45672</v>
      </c>
      <c r="D1181">
        <v>419.13</v>
      </c>
      <c r="E1181">
        <v>428.15</v>
      </c>
      <c r="F1181">
        <v>418.26499999999999</v>
      </c>
      <c r="G1181">
        <v>426.31</v>
      </c>
      <c r="H1181">
        <v>415.67</v>
      </c>
    </row>
    <row r="1182" spans="1:8" x14ac:dyDescent="0.3">
      <c r="A1182" t="s">
        <v>1281</v>
      </c>
      <c r="B1182" t="s">
        <v>23</v>
      </c>
      <c r="C1182">
        <v>45673</v>
      </c>
      <c r="D1182">
        <v>428.69499999999999</v>
      </c>
      <c r="E1182">
        <v>429.49</v>
      </c>
      <c r="F1182">
        <v>424.39</v>
      </c>
      <c r="G1182">
        <v>424.58</v>
      </c>
      <c r="H1182">
        <v>426.31</v>
      </c>
    </row>
    <row r="1183" spans="1:8" x14ac:dyDescent="0.3">
      <c r="A1183" t="s">
        <v>1282</v>
      </c>
      <c r="B1183" t="s">
        <v>23</v>
      </c>
      <c r="C1183">
        <v>45674</v>
      </c>
      <c r="D1183">
        <v>434.08499999999998</v>
      </c>
      <c r="E1183">
        <v>434.48</v>
      </c>
      <c r="F1183">
        <v>428.17</v>
      </c>
      <c r="G1183">
        <v>429.03</v>
      </c>
      <c r="H1183">
        <v>424.58</v>
      </c>
    </row>
    <row r="1184" spans="1:8" x14ac:dyDescent="0.3">
      <c r="A1184" t="s">
        <v>1283</v>
      </c>
      <c r="B1184" t="s">
        <v>23</v>
      </c>
      <c r="C1184">
        <v>45678</v>
      </c>
      <c r="D1184">
        <v>430.2</v>
      </c>
      <c r="E1184">
        <v>430.8999</v>
      </c>
      <c r="F1184">
        <v>425.59500000000003</v>
      </c>
      <c r="G1184">
        <v>428.5</v>
      </c>
      <c r="H1184">
        <v>429.03</v>
      </c>
    </row>
    <row r="1185" spans="1:8" x14ac:dyDescent="0.3">
      <c r="A1185" t="s">
        <v>1284</v>
      </c>
      <c r="B1185" t="s">
        <v>23</v>
      </c>
      <c r="C1185">
        <v>45679</v>
      </c>
      <c r="D1185">
        <v>437.56</v>
      </c>
      <c r="E1185">
        <v>447.27</v>
      </c>
      <c r="F1185">
        <v>436</v>
      </c>
      <c r="G1185">
        <v>446.2</v>
      </c>
      <c r="H1185">
        <v>428.5</v>
      </c>
    </row>
    <row r="1186" spans="1:8" x14ac:dyDescent="0.3">
      <c r="A1186" t="s">
        <v>1285</v>
      </c>
      <c r="B1186" t="s">
        <v>23</v>
      </c>
      <c r="C1186">
        <v>45680</v>
      </c>
      <c r="D1186">
        <v>442</v>
      </c>
      <c r="E1186">
        <v>446.75</v>
      </c>
      <c r="F1186">
        <v>441.50479999999999</v>
      </c>
      <c r="G1186">
        <v>446.71</v>
      </c>
      <c r="H1186">
        <v>446.2</v>
      </c>
    </row>
    <row r="1187" spans="1:8" x14ac:dyDescent="0.3">
      <c r="A1187" t="s">
        <v>1286</v>
      </c>
      <c r="B1187" t="s">
        <v>23</v>
      </c>
      <c r="C1187">
        <v>45681</v>
      </c>
      <c r="D1187">
        <v>445.16</v>
      </c>
      <c r="E1187">
        <v>446.65</v>
      </c>
      <c r="F1187">
        <v>441.4</v>
      </c>
      <c r="G1187">
        <v>444.06</v>
      </c>
      <c r="H1187">
        <v>446.71</v>
      </c>
    </row>
    <row r="1188" spans="1:8" x14ac:dyDescent="0.3">
      <c r="A1188" t="s">
        <v>1287</v>
      </c>
      <c r="B1188" t="s">
        <v>23</v>
      </c>
      <c r="C1188">
        <v>45684</v>
      </c>
      <c r="D1188">
        <v>424.01</v>
      </c>
      <c r="E1188">
        <v>435.2</v>
      </c>
      <c r="F1188">
        <v>423.5</v>
      </c>
      <c r="G1188">
        <v>434.56</v>
      </c>
      <c r="H1188">
        <v>444.06</v>
      </c>
    </row>
    <row r="1189" spans="1:8" x14ac:dyDescent="0.3">
      <c r="A1189" t="s">
        <v>1288</v>
      </c>
      <c r="B1189" t="s">
        <v>23</v>
      </c>
      <c r="C1189">
        <v>45685</v>
      </c>
      <c r="D1189">
        <v>434.6</v>
      </c>
      <c r="E1189">
        <v>448.38</v>
      </c>
      <c r="F1189">
        <v>431.38</v>
      </c>
      <c r="G1189">
        <v>447.2</v>
      </c>
      <c r="H1189">
        <v>434.56</v>
      </c>
    </row>
    <row r="1190" spans="1:8" x14ac:dyDescent="0.3">
      <c r="A1190" t="s">
        <v>1289</v>
      </c>
      <c r="B1190" t="s">
        <v>23</v>
      </c>
      <c r="C1190">
        <v>45686</v>
      </c>
      <c r="D1190">
        <v>446.69</v>
      </c>
      <c r="E1190">
        <v>446.88</v>
      </c>
      <c r="F1190">
        <v>440.4</v>
      </c>
      <c r="G1190">
        <v>442.33</v>
      </c>
      <c r="H1190">
        <v>447.2</v>
      </c>
    </row>
    <row r="1191" spans="1:8" x14ac:dyDescent="0.3">
      <c r="A1191" t="s">
        <v>1290</v>
      </c>
      <c r="B1191" t="s">
        <v>23</v>
      </c>
      <c r="C1191">
        <v>45687</v>
      </c>
      <c r="D1191">
        <v>418.77</v>
      </c>
      <c r="E1191">
        <v>422.86</v>
      </c>
      <c r="F1191">
        <v>413.16</v>
      </c>
      <c r="G1191">
        <v>414.99</v>
      </c>
      <c r="H1191">
        <v>442.33</v>
      </c>
    </row>
    <row r="1192" spans="1:8" x14ac:dyDescent="0.3">
      <c r="A1192" t="s">
        <v>1291</v>
      </c>
      <c r="B1192" t="s">
        <v>23</v>
      </c>
      <c r="C1192">
        <v>45688</v>
      </c>
      <c r="D1192">
        <v>418.98</v>
      </c>
      <c r="E1192">
        <v>420.69</v>
      </c>
      <c r="F1192">
        <v>414.91</v>
      </c>
      <c r="G1192">
        <v>415.06</v>
      </c>
      <c r="H1192">
        <v>414.99</v>
      </c>
    </row>
    <row r="1193" spans="1:8" x14ac:dyDescent="0.3">
      <c r="A1193" t="s">
        <v>1292</v>
      </c>
      <c r="B1193" t="s">
        <v>23</v>
      </c>
      <c r="C1193">
        <v>45691</v>
      </c>
      <c r="D1193">
        <v>411.6</v>
      </c>
      <c r="E1193">
        <v>415.41</v>
      </c>
      <c r="F1193">
        <v>408.66</v>
      </c>
      <c r="G1193">
        <v>410.92</v>
      </c>
      <c r="H1193">
        <v>415.06</v>
      </c>
    </row>
    <row r="1194" spans="1:8" x14ac:dyDescent="0.3">
      <c r="A1194" t="s">
        <v>1293</v>
      </c>
      <c r="B1194" t="s">
        <v>23</v>
      </c>
      <c r="C1194">
        <v>45692</v>
      </c>
      <c r="D1194">
        <v>412.685</v>
      </c>
      <c r="E1194">
        <v>413.91989999999998</v>
      </c>
      <c r="F1194">
        <v>409.74</v>
      </c>
      <c r="G1194">
        <v>412.37</v>
      </c>
      <c r="H1194">
        <v>410.92</v>
      </c>
    </row>
    <row r="1195" spans="1:8" x14ac:dyDescent="0.3">
      <c r="A1195" t="s">
        <v>1294</v>
      </c>
      <c r="B1195" t="s">
        <v>23</v>
      </c>
      <c r="C1195">
        <v>45693</v>
      </c>
      <c r="D1195">
        <v>412.35</v>
      </c>
      <c r="E1195">
        <v>413.827</v>
      </c>
      <c r="F1195">
        <v>410.4</v>
      </c>
      <c r="G1195">
        <v>413.29</v>
      </c>
      <c r="H1195">
        <v>412.37</v>
      </c>
    </row>
    <row r="1196" spans="1:8" x14ac:dyDescent="0.3">
      <c r="A1196" t="s">
        <v>1295</v>
      </c>
      <c r="B1196" t="s">
        <v>23</v>
      </c>
      <c r="C1196">
        <v>45694</v>
      </c>
      <c r="D1196">
        <v>414</v>
      </c>
      <c r="E1196">
        <v>418.2</v>
      </c>
      <c r="F1196">
        <v>414</v>
      </c>
      <c r="G1196">
        <v>415.82</v>
      </c>
      <c r="H1196">
        <v>413.29</v>
      </c>
    </row>
    <row r="1197" spans="1:8" x14ac:dyDescent="0.3">
      <c r="A1197" t="s">
        <v>1296</v>
      </c>
      <c r="B1197" t="s">
        <v>23</v>
      </c>
      <c r="C1197">
        <v>45695</v>
      </c>
      <c r="D1197">
        <v>416.48</v>
      </c>
      <c r="E1197">
        <v>418.65</v>
      </c>
      <c r="F1197">
        <v>408.1</v>
      </c>
      <c r="G1197">
        <v>409.75</v>
      </c>
      <c r="H1197">
        <v>415.82</v>
      </c>
    </row>
    <row r="1198" spans="1:8" x14ac:dyDescent="0.3">
      <c r="A1198" t="s">
        <v>1297</v>
      </c>
      <c r="B1198" t="s">
        <v>23</v>
      </c>
      <c r="C1198">
        <v>45698</v>
      </c>
      <c r="D1198">
        <v>413.71</v>
      </c>
      <c r="E1198">
        <v>415.4624</v>
      </c>
      <c r="F1198">
        <v>410.92</v>
      </c>
      <c r="G1198">
        <v>412.22</v>
      </c>
      <c r="H1198">
        <v>409.75</v>
      </c>
    </row>
    <row r="1199" spans="1:8" x14ac:dyDescent="0.3">
      <c r="A1199" t="s">
        <v>1298</v>
      </c>
      <c r="B1199" t="s">
        <v>23</v>
      </c>
      <c r="C1199">
        <v>45699</v>
      </c>
      <c r="D1199">
        <v>409.64</v>
      </c>
      <c r="E1199">
        <v>412.49</v>
      </c>
      <c r="F1199">
        <v>409.3</v>
      </c>
      <c r="G1199">
        <v>411.44</v>
      </c>
      <c r="H1199">
        <v>412.22</v>
      </c>
    </row>
    <row r="1200" spans="1:8" x14ac:dyDescent="0.3">
      <c r="A1200" t="s">
        <v>1299</v>
      </c>
      <c r="B1200" t="s">
        <v>23</v>
      </c>
      <c r="C1200">
        <v>45700</v>
      </c>
      <c r="D1200">
        <v>407.21</v>
      </c>
      <c r="E1200">
        <v>410.75</v>
      </c>
      <c r="F1200">
        <v>404.3673</v>
      </c>
      <c r="G1200">
        <v>409.04</v>
      </c>
      <c r="H1200">
        <v>411.44</v>
      </c>
    </row>
    <row r="1201" spans="1:8" x14ac:dyDescent="0.3">
      <c r="A1201" t="s">
        <v>1300</v>
      </c>
      <c r="B1201" t="s">
        <v>23</v>
      </c>
      <c r="C1201">
        <v>45701</v>
      </c>
      <c r="D1201">
        <v>407</v>
      </c>
      <c r="E1201">
        <v>411</v>
      </c>
      <c r="F1201">
        <v>406.36</v>
      </c>
      <c r="G1201">
        <v>410.54</v>
      </c>
      <c r="H1201">
        <v>409.04</v>
      </c>
    </row>
    <row r="1202" spans="1:8" x14ac:dyDescent="0.3">
      <c r="A1202" t="s">
        <v>1301</v>
      </c>
      <c r="B1202" t="s">
        <v>23</v>
      </c>
      <c r="C1202">
        <v>45702</v>
      </c>
      <c r="D1202">
        <v>407.79</v>
      </c>
      <c r="E1202">
        <v>408.91</v>
      </c>
      <c r="F1202">
        <v>405.88</v>
      </c>
      <c r="G1202">
        <v>408.43</v>
      </c>
      <c r="H1202">
        <v>410.54</v>
      </c>
    </row>
    <row r="1203" spans="1:8" x14ac:dyDescent="0.3">
      <c r="A1203" t="s">
        <v>1302</v>
      </c>
      <c r="B1203" t="s">
        <v>23</v>
      </c>
      <c r="C1203">
        <v>45706</v>
      </c>
      <c r="D1203">
        <v>408</v>
      </c>
      <c r="E1203">
        <v>410.59699999999998</v>
      </c>
      <c r="F1203">
        <v>406.5</v>
      </c>
      <c r="G1203">
        <v>409.64</v>
      </c>
      <c r="H1203">
        <v>408.43</v>
      </c>
    </row>
    <row r="1204" spans="1:8" x14ac:dyDescent="0.3">
      <c r="A1204" t="s">
        <v>1303</v>
      </c>
      <c r="B1204" t="s">
        <v>23</v>
      </c>
      <c r="C1204">
        <v>45707</v>
      </c>
      <c r="D1204">
        <v>407.88</v>
      </c>
      <c r="E1204">
        <v>415.49</v>
      </c>
      <c r="F1204">
        <v>407.65</v>
      </c>
      <c r="G1204">
        <v>414.77</v>
      </c>
      <c r="H1204">
        <v>409.64</v>
      </c>
    </row>
    <row r="1205" spans="1:8" x14ac:dyDescent="0.3">
      <c r="A1205" t="s">
        <v>1304</v>
      </c>
      <c r="B1205" t="s">
        <v>23</v>
      </c>
      <c r="C1205">
        <v>45708</v>
      </c>
      <c r="D1205">
        <v>415.29</v>
      </c>
      <c r="E1205">
        <v>419.31</v>
      </c>
      <c r="F1205">
        <v>412.54</v>
      </c>
      <c r="G1205">
        <v>416.13</v>
      </c>
      <c r="H1205">
        <v>414.77</v>
      </c>
    </row>
    <row r="1206" spans="1:8" x14ac:dyDescent="0.3">
      <c r="A1206" t="s">
        <v>1305</v>
      </c>
      <c r="B1206" t="s">
        <v>23</v>
      </c>
      <c r="C1206">
        <v>45709</v>
      </c>
      <c r="D1206">
        <v>417.33499999999998</v>
      </c>
      <c r="E1206">
        <v>418.048</v>
      </c>
      <c r="F1206">
        <v>407.89</v>
      </c>
      <c r="G1206">
        <v>408.21</v>
      </c>
      <c r="H1206">
        <v>416.13</v>
      </c>
    </row>
    <row r="1207" spans="1:8" x14ac:dyDescent="0.3">
      <c r="A1207" t="s">
        <v>1306</v>
      </c>
      <c r="B1207" t="s">
        <v>23</v>
      </c>
      <c r="C1207">
        <v>45712</v>
      </c>
      <c r="D1207">
        <v>408.51</v>
      </c>
      <c r="E1207">
        <v>409.37</v>
      </c>
      <c r="F1207">
        <v>399.32</v>
      </c>
      <c r="G1207">
        <v>404</v>
      </c>
      <c r="H1207">
        <v>408.21</v>
      </c>
    </row>
    <row r="1208" spans="1:8" x14ac:dyDescent="0.3">
      <c r="A1208" t="s">
        <v>1307</v>
      </c>
      <c r="B1208" t="s">
        <v>23</v>
      </c>
      <c r="C1208">
        <v>45713</v>
      </c>
      <c r="D1208">
        <v>401.1</v>
      </c>
      <c r="E1208">
        <v>401.91500000000002</v>
      </c>
      <c r="F1208">
        <v>396.7</v>
      </c>
      <c r="G1208">
        <v>397.9</v>
      </c>
      <c r="H1208">
        <v>404</v>
      </c>
    </row>
    <row r="1209" spans="1:8" x14ac:dyDescent="0.3">
      <c r="A1209" t="s">
        <v>1308</v>
      </c>
      <c r="B1209" t="s">
        <v>23</v>
      </c>
      <c r="C1209">
        <v>45714</v>
      </c>
      <c r="D1209">
        <v>398.01</v>
      </c>
      <c r="E1209">
        <v>403.6</v>
      </c>
      <c r="F1209">
        <v>394.245</v>
      </c>
      <c r="G1209">
        <v>399.73</v>
      </c>
      <c r="H1209">
        <v>397.9</v>
      </c>
    </row>
    <row r="1210" spans="1:8" x14ac:dyDescent="0.3">
      <c r="A1210" t="s">
        <v>1309</v>
      </c>
      <c r="B1210" t="s">
        <v>23</v>
      </c>
      <c r="C1210">
        <v>45715</v>
      </c>
      <c r="D1210">
        <v>401.26499999999999</v>
      </c>
      <c r="E1210">
        <v>405.74</v>
      </c>
      <c r="F1210">
        <v>392.17</v>
      </c>
      <c r="G1210">
        <v>392.53</v>
      </c>
      <c r="H1210">
        <v>399.73</v>
      </c>
    </row>
    <row r="1211" spans="1:8" x14ac:dyDescent="0.3">
      <c r="A1211" t="s">
        <v>1310</v>
      </c>
      <c r="B1211" t="s">
        <v>23</v>
      </c>
      <c r="C1211">
        <v>45716</v>
      </c>
      <c r="D1211">
        <v>392.65499999999997</v>
      </c>
      <c r="E1211">
        <v>397.63</v>
      </c>
      <c r="F1211">
        <v>386.57</v>
      </c>
      <c r="G1211">
        <v>396.99</v>
      </c>
      <c r="H1211">
        <v>392.53</v>
      </c>
    </row>
    <row r="1212" spans="1:8" x14ac:dyDescent="0.3">
      <c r="A1212" t="s">
        <v>1311</v>
      </c>
      <c r="B1212" t="s">
        <v>23</v>
      </c>
      <c r="C1212">
        <v>45719</v>
      </c>
      <c r="D1212">
        <v>398.82</v>
      </c>
      <c r="E1212">
        <v>398.82</v>
      </c>
      <c r="F1212">
        <v>386.15499999999997</v>
      </c>
      <c r="G1212">
        <v>388.49</v>
      </c>
      <c r="H1212">
        <v>396.99</v>
      </c>
    </row>
    <row r="1213" spans="1:8" x14ac:dyDescent="0.3">
      <c r="A1213" t="s">
        <v>1312</v>
      </c>
      <c r="B1213" t="s">
        <v>23</v>
      </c>
      <c r="C1213">
        <v>45720</v>
      </c>
      <c r="D1213">
        <v>383.4</v>
      </c>
      <c r="E1213">
        <v>392.58</v>
      </c>
      <c r="F1213">
        <v>381</v>
      </c>
      <c r="G1213">
        <v>388.61</v>
      </c>
      <c r="H1213">
        <v>388.49</v>
      </c>
    </row>
    <row r="1214" spans="1:8" x14ac:dyDescent="0.3">
      <c r="A1214" t="s">
        <v>1313</v>
      </c>
      <c r="B1214" t="s">
        <v>23</v>
      </c>
      <c r="C1214">
        <v>45721</v>
      </c>
      <c r="D1214">
        <v>389.34</v>
      </c>
      <c r="E1214">
        <v>401.67</v>
      </c>
      <c r="F1214">
        <v>388.81</v>
      </c>
      <c r="G1214">
        <v>401.02</v>
      </c>
      <c r="H1214">
        <v>388.61</v>
      </c>
    </row>
    <row r="1215" spans="1:8" x14ac:dyDescent="0.3">
      <c r="A1215" t="s">
        <v>1314</v>
      </c>
      <c r="B1215" t="s">
        <v>23</v>
      </c>
      <c r="C1215">
        <v>45722</v>
      </c>
      <c r="D1215">
        <v>394.28</v>
      </c>
      <c r="E1215">
        <v>402.15</v>
      </c>
      <c r="F1215">
        <v>392.67770000000002</v>
      </c>
      <c r="G1215">
        <v>396.89</v>
      </c>
      <c r="H1215">
        <v>401.02</v>
      </c>
    </row>
    <row r="1216" spans="1:8" x14ac:dyDescent="0.3">
      <c r="A1216" t="s">
        <v>1315</v>
      </c>
      <c r="B1216" t="s">
        <v>23</v>
      </c>
      <c r="C1216">
        <v>45723</v>
      </c>
      <c r="D1216">
        <v>392.32</v>
      </c>
      <c r="E1216">
        <v>394.8</v>
      </c>
      <c r="F1216">
        <v>385.54</v>
      </c>
      <c r="G1216">
        <v>393.31</v>
      </c>
      <c r="H1216">
        <v>396.89</v>
      </c>
    </row>
    <row r="1217" spans="1:8" x14ac:dyDescent="0.3">
      <c r="A1217" t="s">
        <v>1316</v>
      </c>
      <c r="B1217" t="s">
        <v>23</v>
      </c>
      <c r="C1217">
        <v>45726</v>
      </c>
      <c r="D1217">
        <v>385.84</v>
      </c>
      <c r="E1217">
        <v>386.4</v>
      </c>
      <c r="F1217">
        <v>377.22</v>
      </c>
      <c r="G1217">
        <v>380.16</v>
      </c>
      <c r="H1217">
        <v>393.31</v>
      </c>
    </row>
    <row r="1218" spans="1:8" x14ac:dyDescent="0.3">
      <c r="A1218" t="s">
        <v>1317</v>
      </c>
      <c r="B1218" t="s">
        <v>23</v>
      </c>
      <c r="C1218">
        <v>45727</v>
      </c>
      <c r="D1218">
        <v>379</v>
      </c>
      <c r="E1218">
        <v>386</v>
      </c>
      <c r="F1218">
        <v>376.91</v>
      </c>
      <c r="G1218">
        <v>380.45</v>
      </c>
      <c r="H1218">
        <v>380.16</v>
      </c>
    </row>
    <row r="1219" spans="1:8" x14ac:dyDescent="0.3">
      <c r="A1219" t="s">
        <v>1318</v>
      </c>
      <c r="B1219" t="s">
        <v>23</v>
      </c>
      <c r="C1219">
        <v>45728</v>
      </c>
      <c r="D1219">
        <v>382.95</v>
      </c>
      <c r="E1219">
        <v>385.2165</v>
      </c>
      <c r="F1219">
        <v>378.95069999999998</v>
      </c>
      <c r="G1219">
        <v>383.27</v>
      </c>
      <c r="H1219">
        <v>380.45</v>
      </c>
    </row>
    <row r="1220" spans="1:8" x14ac:dyDescent="0.3">
      <c r="A1220" t="s">
        <v>1319</v>
      </c>
      <c r="B1220" t="s">
        <v>23</v>
      </c>
      <c r="C1220">
        <v>45729</v>
      </c>
      <c r="D1220">
        <v>383.15499999999997</v>
      </c>
      <c r="E1220">
        <v>385.32</v>
      </c>
      <c r="F1220">
        <v>377.45</v>
      </c>
      <c r="G1220">
        <v>378.77</v>
      </c>
      <c r="H1220">
        <v>383.27</v>
      </c>
    </row>
    <row r="1221" spans="1:8" x14ac:dyDescent="0.3">
      <c r="A1221" t="s">
        <v>1320</v>
      </c>
      <c r="B1221" t="s">
        <v>23</v>
      </c>
      <c r="C1221">
        <v>45730</v>
      </c>
      <c r="D1221">
        <v>379.77499999999998</v>
      </c>
      <c r="E1221">
        <v>390.23</v>
      </c>
      <c r="F1221">
        <v>379.51</v>
      </c>
      <c r="G1221">
        <v>388.56</v>
      </c>
      <c r="H1221">
        <v>378.77</v>
      </c>
    </row>
    <row r="1222" spans="1:8" x14ac:dyDescent="0.3">
      <c r="A1222" t="s">
        <v>1321</v>
      </c>
      <c r="B1222" t="s">
        <v>23</v>
      </c>
      <c r="C1222">
        <v>45733</v>
      </c>
      <c r="D1222">
        <v>386.7</v>
      </c>
      <c r="E1222">
        <v>392.70499999999998</v>
      </c>
      <c r="F1222">
        <v>385.57</v>
      </c>
      <c r="G1222">
        <v>388.7</v>
      </c>
      <c r="H1222">
        <v>388.56</v>
      </c>
    </row>
    <row r="1223" spans="1:8" x14ac:dyDescent="0.3">
      <c r="A1223" t="s">
        <v>1322</v>
      </c>
      <c r="B1223" t="s">
        <v>23</v>
      </c>
      <c r="C1223">
        <v>45734</v>
      </c>
      <c r="D1223">
        <v>387.07</v>
      </c>
      <c r="E1223">
        <v>387.37</v>
      </c>
      <c r="F1223">
        <v>381.1</v>
      </c>
      <c r="G1223">
        <v>383.52</v>
      </c>
      <c r="H1223">
        <v>388.7</v>
      </c>
    </row>
    <row r="1224" spans="1:8" x14ac:dyDescent="0.3">
      <c r="A1224" t="s">
        <v>1323</v>
      </c>
      <c r="B1224" t="s">
        <v>23</v>
      </c>
      <c r="C1224">
        <v>45735</v>
      </c>
      <c r="D1224">
        <v>385.52499999999998</v>
      </c>
      <c r="E1224">
        <v>389.68</v>
      </c>
      <c r="F1224">
        <v>384</v>
      </c>
      <c r="G1224">
        <v>387.82</v>
      </c>
      <c r="H1224">
        <v>383.52</v>
      </c>
    </row>
    <row r="1225" spans="1:8" x14ac:dyDescent="0.3">
      <c r="A1225" t="s">
        <v>1324</v>
      </c>
      <c r="B1225" t="s">
        <v>23</v>
      </c>
      <c r="C1225">
        <v>45736</v>
      </c>
      <c r="D1225">
        <v>385.73500000000001</v>
      </c>
      <c r="E1225">
        <v>391.78500000000003</v>
      </c>
      <c r="F1225">
        <v>383.28</v>
      </c>
      <c r="G1225">
        <v>386.84</v>
      </c>
      <c r="H1225">
        <v>387.82</v>
      </c>
    </row>
    <row r="1226" spans="1:8" x14ac:dyDescent="0.3">
      <c r="A1226" t="s">
        <v>1325</v>
      </c>
      <c r="B1226" t="s">
        <v>23</v>
      </c>
      <c r="C1226">
        <v>45737</v>
      </c>
      <c r="D1226">
        <v>383.21499999999997</v>
      </c>
      <c r="E1226">
        <v>391.74</v>
      </c>
      <c r="F1226">
        <v>382.8</v>
      </c>
      <c r="G1226">
        <v>391.26</v>
      </c>
      <c r="H1226">
        <v>386.84</v>
      </c>
    </row>
    <row r="1227" spans="1:8" x14ac:dyDescent="0.3">
      <c r="A1227" t="s">
        <v>1326</v>
      </c>
      <c r="B1227" t="s">
        <v>23</v>
      </c>
      <c r="C1227">
        <v>45740</v>
      </c>
      <c r="D1227">
        <v>395.4</v>
      </c>
      <c r="E1227">
        <v>395.4</v>
      </c>
      <c r="F1227">
        <v>389.81</v>
      </c>
      <c r="G1227">
        <v>393.08</v>
      </c>
      <c r="H1227">
        <v>391.26</v>
      </c>
    </row>
    <row r="1228" spans="1:8" x14ac:dyDescent="0.3">
      <c r="A1228" t="s">
        <v>1327</v>
      </c>
      <c r="B1228" t="s">
        <v>23</v>
      </c>
      <c r="C1228">
        <v>45741</v>
      </c>
      <c r="D1228">
        <v>393.91500000000002</v>
      </c>
      <c r="E1228">
        <v>396.36</v>
      </c>
      <c r="F1228">
        <v>392.64</v>
      </c>
      <c r="G1228">
        <v>395.16</v>
      </c>
      <c r="H1228">
        <v>393.08</v>
      </c>
    </row>
    <row r="1229" spans="1:8" x14ac:dyDescent="0.3">
      <c r="A1229" t="s">
        <v>1328</v>
      </c>
      <c r="B1229" t="s">
        <v>23</v>
      </c>
      <c r="C1229">
        <v>45742</v>
      </c>
      <c r="D1229">
        <v>395</v>
      </c>
      <c r="E1229">
        <v>395.31</v>
      </c>
      <c r="F1229">
        <v>388.57</v>
      </c>
      <c r="G1229">
        <v>389.97</v>
      </c>
      <c r="H1229">
        <v>395.16</v>
      </c>
    </row>
    <row r="1230" spans="1:8" x14ac:dyDescent="0.3">
      <c r="A1230" t="s">
        <v>1329</v>
      </c>
      <c r="B1230" t="s">
        <v>23</v>
      </c>
      <c r="C1230">
        <v>45743</v>
      </c>
      <c r="D1230">
        <v>390.13</v>
      </c>
      <c r="E1230">
        <v>392.24</v>
      </c>
      <c r="F1230">
        <v>387.39499999999998</v>
      </c>
      <c r="G1230">
        <v>390.58</v>
      </c>
      <c r="H1230">
        <v>389.97</v>
      </c>
    </row>
    <row r="1231" spans="1:8" x14ac:dyDescent="0.3">
      <c r="A1231" t="s">
        <v>1330</v>
      </c>
      <c r="B1231" t="s">
        <v>23</v>
      </c>
      <c r="C1231">
        <v>45744</v>
      </c>
      <c r="D1231">
        <v>388.08</v>
      </c>
      <c r="E1231">
        <v>389.13</v>
      </c>
      <c r="F1231">
        <v>376.93</v>
      </c>
      <c r="G1231">
        <v>378.8</v>
      </c>
      <c r="H1231">
        <v>390.58</v>
      </c>
    </row>
    <row r="1232" spans="1:8" x14ac:dyDescent="0.3">
      <c r="A1232" t="s">
        <v>98</v>
      </c>
      <c r="B1232" t="s">
        <v>23</v>
      </c>
      <c r="C1232">
        <v>45747</v>
      </c>
      <c r="D1232">
        <v>372.53500000000003</v>
      </c>
      <c r="E1232">
        <v>377.07</v>
      </c>
      <c r="F1232">
        <v>367.24</v>
      </c>
      <c r="G1232">
        <v>375.39</v>
      </c>
      <c r="H1232">
        <v>378.8</v>
      </c>
    </row>
    <row r="1233" spans="1:8" x14ac:dyDescent="0.3">
      <c r="A1233" t="s">
        <v>1331</v>
      </c>
      <c r="B1233" t="s">
        <v>23</v>
      </c>
      <c r="C1233">
        <v>45748</v>
      </c>
      <c r="D1233">
        <v>374.65</v>
      </c>
      <c r="E1233">
        <v>382.85</v>
      </c>
      <c r="F1233">
        <v>373.23</v>
      </c>
      <c r="G1233">
        <v>382.19</v>
      </c>
      <c r="H1233">
        <v>375.39</v>
      </c>
    </row>
    <row r="1234" spans="1:8" x14ac:dyDescent="0.3">
      <c r="A1234" t="s">
        <v>1332</v>
      </c>
      <c r="B1234" t="s">
        <v>23</v>
      </c>
      <c r="C1234">
        <v>45749</v>
      </c>
      <c r="D1234">
        <v>377.96499999999997</v>
      </c>
      <c r="E1234">
        <v>385.08</v>
      </c>
      <c r="F1234">
        <v>376.62</v>
      </c>
      <c r="G1234">
        <v>382.14</v>
      </c>
      <c r="H1234">
        <v>382.19</v>
      </c>
    </row>
    <row r="1235" spans="1:8" x14ac:dyDescent="0.3">
      <c r="A1235" t="s">
        <v>1333</v>
      </c>
      <c r="B1235" t="s">
        <v>23</v>
      </c>
      <c r="C1235">
        <v>45750</v>
      </c>
      <c r="D1235">
        <v>374.78500000000003</v>
      </c>
      <c r="E1235">
        <v>377.48</v>
      </c>
      <c r="F1235">
        <v>369.35</v>
      </c>
      <c r="G1235">
        <v>373.11</v>
      </c>
      <c r="H1235">
        <v>382.14</v>
      </c>
    </row>
    <row r="1236" spans="1:8" x14ac:dyDescent="0.3">
      <c r="A1236" t="s">
        <v>1334</v>
      </c>
      <c r="B1236" t="s">
        <v>23</v>
      </c>
      <c r="C1236">
        <v>45751</v>
      </c>
      <c r="D1236">
        <v>364.125</v>
      </c>
      <c r="E1236">
        <v>374.59</v>
      </c>
      <c r="F1236">
        <v>359.48</v>
      </c>
      <c r="G1236">
        <v>359.84</v>
      </c>
      <c r="H1236">
        <v>373.11</v>
      </c>
    </row>
    <row r="1237" spans="1:8" x14ac:dyDescent="0.3">
      <c r="A1237" t="s">
        <v>1335</v>
      </c>
      <c r="B1237" t="s">
        <v>23</v>
      </c>
      <c r="C1237">
        <v>45754</v>
      </c>
      <c r="D1237">
        <v>350.88</v>
      </c>
      <c r="E1237">
        <v>370.99990000000003</v>
      </c>
      <c r="F1237">
        <v>344.79</v>
      </c>
      <c r="G1237">
        <v>357.86</v>
      </c>
      <c r="H1237">
        <v>359.84</v>
      </c>
    </row>
    <row r="1238" spans="1:8" x14ac:dyDescent="0.3">
      <c r="A1238" t="s">
        <v>1336</v>
      </c>
      <c r="B1238" t="s">
        <v>23</v>
      </c>
      <c r="C1238">
        <v>45755</v>
      </c>
      <c r="D1238">
        <v>368.255</v>
      </c>
      <c r="E1238">
        <v>373.65</v>
      </c>
      <c r="F1238">
        <v>350.25</v>
      </c>
      <c r="G1238">
        <v>354.56</v>
      </c>
      <c r="H1238">
        <v>357.86</v>
      </c>
    </row>
    <row r="1239" spans="1:8" x14ac:dyDescent="0.3">
      <c r="A1239" t="s">
        <v>1337</v>
      </c>
      <c r="B1239" t="s">
        <v>23</v>
      </c>
      <c r="C1239">
        <v>45756</v>
      </c>
      <c r="D1239">
        <v>353.53500000000003</v>
      </c>
      <c r="E1239">
        <v>393.22500000000002</v>
      </c>
      <c r="F1239">
        <v>353.1</v>
      </c>
      <c r="G1239">
        <v>390.49</v>
      </c>
      <c r="H1239">
        <v>354.56</v>
      </c>
    </row>
    <row r="1240" spans="1:8" x14ac:dyDescent="0.3">
      <c r="A1240" t="s">
        <v>1338</v>
      </c>
      <c r="B1240" t="s">
        <v>23</v>
      </c>
      <c r="C1240">
        <v>45757</v>
      </c>
      <c r="D1240">
        <v>382.06</v>
      </c>
      <c r="E1240">
        <v>383.9</v>
      </c>
      <c r="F1240">
        <v>367.8</v>
      </c>
      <c r="G1240">
        <v>381.35</v>
      </c>
      <c r="H1240">
        <v>390.49</v>
      </c>
    </row>
    <row r="1241" spans="1:8" x14ac:dyDescent="0.3">
      <c r="A1241" t="s">
        <v>1339</v>
      </c>
      <c r="B1241" t="s">
        <v>23</v>
      </c>
      <c r="C1241">
        <v>45758</v>
      </c>
      <c r="D1241">
        <v>380.63499999999999</v>
      </c>
      <c r="E1241">
        <v>390.05</v>
      </c>
      <c r="F1241">
        <v>378.89</v>
      </c>
      <c r="G1241">
        <v>388.45</v>
      </c>
      <c r="H1241">
        <v>381.35</v>
      </c>
    </row>
    <row r="1242" spans="1:8" x14ac:dyDescent="0.3">
      <c r="A1242" t="s">
        <v>1340</v>
      </c>
      <c r="B1242" t="s">
        <v>23</v>
      </c>
      <c r="C1242">
        <v>45761</v>
      </c>
      <c r="D1242">
        <v>393.22</v>
      </c>
      <c r="E1242">
        <v>394.65</v>
      </c>
      <c r="F1242">
        <v>384.21</v>
      </c>
      <c r="G1242">
        <v>387.81</v>
      </c>
      <c r="H1242">
        <v>388.45</v>
      </c>
    </row>
    <row r="1243" spans="1:8" x14ac:dyDescent="0.3">
      <c r="A1243" t="s">
        <v>1341</v>
      </c>
      <c r="B1243" t="s">
        <v>23</v>
      </c>
      <c r="C1243">
        <v>45762</v>
      </c>
      <c r="D1243">
        <v>388.505</v>
      </c>
      <c r="E1243">
        <v>391.89</v>
      </c>
      <c r="F1243">
        <v>384.15989999999999</v>
      </c>
      <c r="G1243">
        <v>385.73</v>
      </c>
      <c r="H1243">
        <v>387.81</v>
      </c>
    </row>
    <row r="1244" spans="1:8" x14ac:dyDescent="0.3">
      <c r="A1244" t="s">
        <v>1342</v>
      </c>
      <c r="B1244" t="s">
        <v>23</v>
      </c>
      <c r="C1244">
        <v>45763</v>
      </c>
      <c r="D1244">
        <v>380.67</v>
      </c>
      <c r="E1244">
        <v>381.61</v>
      </c>
      <c r="F1244">
        <v>368</v>
      </c>
      <c r="G1244">
        <v>371.61</v>
      </c>
      <c r="H1244">
        <v>385.73</v>
      </c>
    </row>
    <row r="1245" spans="1:8" x14ac:dyDescent="0.3">
      <c r="A1245" t="s">
        <v>1343</v>
      </c>
      <c r="B1245" t="s">
        <v>23</v>
      </c>
      <c r="C1245">
        <v>45764</v>
      </c>
      <c r="D1245">
        <v>373.745</v>
      </c>
      <c r="E1245">
        <v>374.32150000000001</v>
      </c>
      <c r="F1245">
        <v>366.89</v>
      </c>
      <c r="G1245">
        <v>367.78</v>
      </c>
      <c r="H1245">
        <v>371.61</v>
      </c>
    </row>
    <row r="1246" spans="1:8" x14ac:dyDescent="0.3">
      <c r="A1246" t="s">
        <v>1344</v>
      </c>
      <c r="B1246" t="s">
        <v>23</v>
      </c>
      <c r="C1246">
        <v>45768</v>
      </c>
      <c r="D1246">
        <v>362.815</v>
      </c>
      <c r="E1246">
        <v>364.48</v>
      </c>
      <c r="F1246">
        <v>355.67</v>
      </c>
      <c r="G1246">
        <v>359.12</v>
      </c>
      <c r="H1246">
        <v>367.78</v>
      </c>
    </row>
    <row r="1247" spans="1:8" x14ac:dyDescent="0.3">
      <c r="A1247" t="s">
        <v>1345</v>
      </c>
      <c r="B1247" t="s">
        <v>23</v>
      </c>
      <c r="C1247">
        <v>45769</v>
      </c>
      <c r="D1247">
        <v>363.375</v>
      </c>
      <c r="E1247">
        <v>367.77</v>
      </c>
      <c r="F1247">
        <v>359.86020000000002</v>
      </c>
      <c r="G1247">
        <v>366.82</v>
      </c>
      <c r="H1247">
        <v>359.12</v>
      </c>
    </row>
    <row r="1248" spans="1:8" x14ac:dyDescent="0.3">
      <c r="A1248" t="s">
        <v>1346</v>
      </c>
      <c r="B1248" t="s">
        <v>23</v>
      </c>
      <c r="C1248">
        <v>45770</v>
      </c>
      <c r="D1248">
        <v>376.06</v>
      </c>
      <c r="E1248">
        <v>380.39</v>
      </c>
      <c r="F1248">
        <v>373.02</v>
      </c>
      <c r="G1248">
        <v>374.39</v>
      </c>
      <c r="H1248">
        <v>366.82</v>
      </c>
    </row>
    <row r="1249" spans="1:8" x14ac:dyDescent="0.3">
      <c r="A1249" t="s">
        <v>1347</v>
      </c>
      <c r="B1249" t="s">
        <v>23</v>
      </c>
      <c r="C1249">
        <v>45771</v>
      </c>
      <c r="D1249">
        <v>375.69499999999999</v>
      </c>
      <c r="E1249">
        <v>388.45</v>
      </c>
      <c r="F1249">
        <v>375.19</v>
      </c>
      <c r="G1249">
        <v>387.3</v>
      </c>
      <c r="H1249">
        <v>374.39</v>
      </c>
    </row>
    <row r="1250" spans="1:8" x14ac:dyDescent="0.3">
      <c r="A1250" t="s">
        <v>1348</v>
      </c>
      <c r="B1250" t="s">
        <v>23</v>
      </c>
      <c r="C1250">
        <v>45772</v>
      </c>
      <c r="D1250">
        <v>387</v>
      </c>
      <c r="E1250">
        <v>392.16</v>
      </c>
      <c r="F1250">
        <v>384.6</v>
      </c>
      <c r="G1250">
        <v>391.85</v>
      </c>
      <c r="H1250">
        <v>387.3</v>
      </c>
    </row>
    <row r="1251" spans="1:8" x14ac:dyDescent="0.3">
      <c r="A1251" t="s">
        <v>1349</v>
      </c>
      <c r="B1251" t="s">
        <v>23</v>
      </c>
      <c r="C1251">
        <v>45775</v>
      </c>
      <c r="D1251">
        <v>391.95499999999998</v>
      </c>
      <c r="E1251">
        <v>392.74</v>
      </c>
      <c r="F1251">
        <v>386.63799999999998</v>
      </c>
      <c r="G1251">
        <v>391.16</v>
      </c>
      <c r="H1251">
        <v>391.85</v>
      </c>
    </row>
    <row r="1252" spans="1:8" x14ac:dyDescent="0.3">
      <c r="A1252" t="s">
        <v>1350</v>
      </c>
      <c r="B1252" t="s">
        <v>23</v>
      </c>
      <c r="C1252">
        <v>45776</v>
      </c>
      <c r="D1252">
        <v>391.3</v>
      </c>
      <c r="E1252">
        <v>395.1</v>
      </c>
      <c r="F1252">
        <v>390.38</v>
      </c>
      <c r="G1252">
        <v>394.04</v>
      </c>
      <c r="H1252">
        <v>391.16</v>
      </c>
    </row>
    <row r="1253" spans="1:8" x14ac:dyDescent="0.3">
      <c r="A1253" t="s">
        <v>1351</v>
      </c>
      <c r="B1253" t="s">
        <v>23</v>
      </c>
      <c r="C1253">
        <v>45777</v>
      </c>
      <c r="D1253">
        <v>390.3</v>
      </c>
      <c r="E1253">
        <v>396.66</v>
      </c>
      <c r="F1253">
        <v>384.44</v>
      </c>
      <c r="G1253">
        <v>395.26</v>
      </c>
      <c r="H1253">
        <v>394.04</v>
      </c>
    </row>
    <row r="1254" spans="1:8" x14ac:dyDescent="0.3">
      <c r="A1254" t="s">
        <v>1352</v>
      </c>
      <c r="B1254" t="s">
        <v>23</v>
      </c>
      <c r="C1254">
        <v>45778</v>
      </c>
      <c r="D1254">
        <v>431.11</v>
      </c>
      <c r="E1254">
        <v>436.99</v>
      </c>
      <c r="F1254">
        <v>424.9</v>
      </c>
      <c r="G1254">
        <v>425.4</v>
      </c>
      <c r="H1254">
        <v>395.26</v>
      </c>
    </row>
    <row r="1255" spans="1:8" x14ac:dyDescent="0.3">
      <c r="A1255" t="s">
        <v>1353</v>
      </c>
      <c r="B1255" t="s">
        <v>23</v>
      </c>
      <c r="C1255">
        <v>45779</v>
      </c>
      <c r="D1255">
        <v>431.74</v>
      </c>
      <c r="E1255">
        <v>439.44</v>
      </c>
      <c r="F1255">
        <v>429.98500000000001</v>
      </c>
      <c r="G1255">
        <v>435.28</v>
      </c>
      <c r="H1255">
        <v>425.4</v>
      </c>
    </row>
    <row r="1256" spans="1:8" x14ac:dyDescent="0.3">
      <c r="A1256" t="s">
        <v>1354</v>
      </c>
      <c r="B1256" t="s">
        <v>23</v>
      </c>
      <c r="C1256">
        <v>45782</v>
      </c>
      <c r="D1256">
        <v>432.87</v>
      </c>
      <c r="E1256">
        <v>439.5</v>
      </c>
      <c r="F1256">
        <v>432.11</v>
      </c>
      <c r="G1256">
        <v>436.17</v>
      </c>
      <c r="H1256">
        <v>435.28</v>
      </c>
    </row>
    <row r="1257" spans="1:8" x14ac:dyDescent="0.3">
      <c r="A1257" t="s">
        <v>1355</v>
      </c>
      <c r="B1257" t="s">
        <v>23</v>
      </c>
      <c r="C1257">
        <v>45783</v>
      </c>
      <c r="D1257">
        <v>432.2</v>
      </c>
      <c r="E1257">
        <v>437.73</v>
      </c>
      <c r="F1257">
        <v>431.17</v>
      </c>
      <c r="G1257">
        <v>433.31</v>
      </c>
      <c r="H1257">
        <v>436.17</v>
      </c>
    </row>
    <row r="1258" spans="1:8" x14ac:dyDescent="0.3">
      <c r="A1258" t="s">
        <v>1356</v>
      </c>
      <c r="B1258" t="s">
        <v>23</v>
      </c>
      <c r="C1258">
        <v>45784</v>
      </c>
      <c r="D1258">
        <v>433.84</v>
      </c>
      <c r="E1258">
        <v>438.12</v>
      </c>
      <c r="F1258">
        <v>431.1103</v>
      </c>
      <c r="G1258">
        <v>433.35</v>
      </c>
      <c r="H1258">
        <v>433.31</v>
      </c>
    </row>
    <row r="1259" spans="1:8" x14ac:dyDescent="0.3">
      <c r="A1259" t="s">
        <v>1357</v>
      </c>
      <c r="B1259" t="s">
        <v>23</v>
      </c>
      <c r="C1259">
        <v>45785</v>
      </c>
      <c r="D1259">
        <v>437.93</v>
      </c>
      <c r="E1259">
        <v>443.67</v>
      </c>
      <c r="F1259">
        <v>435.66</v>
      </c>
      <c r="G1259">
        <v>438.17</v>
      </c>
      <c r="H1259">
        <v>433.35</v>
      </c>
    </row>
    <row r="1260" spans="1:8" x14ac:dyDescent="0.3">
      <c r="A1260" t="s">
        <v>1358</v>
      </c>
      <c r="B1260" t="s">
        <v>23</v>
      </c>
      <c r="C1260">
        <v>45786</v>
      </c>
      <c r="D1260">
        <v>440</v>
      </c>
      <c r="E1260">
        <v>440.74</v>
      </c>
      <c r="F1260">
        <v>435.88</v>
      </c>
      <c r="G1260">
        <v>438.73</v>
      </c>
      <c r="H1260">
        <v>438.17</v>
      </c>
    </row>
    <row r="1261" spans="1:8" x14ac:dyDescent="0.3">
      <c r="A1261" t="s">
        <v>1359</v>
      </c>
      <c r="B1261" t="s">
        <v>23</v>
      </c>
      <c r="C1261">
        <v>45789</v>
      </c>
      <c r="D1261">
        <v>445.94</v>
      </c>
      <c r="E1261">
        <v>449.37</v>
      </c>
      <c r="F1261">
        <v>439.78</v>
      </c>
      <c r="G1261">
        <v>449.26</v>
      </c>
      <c r="H1261">
        <v>438.73</v>
      </c>
    </row>
    <row r="1262" spans="1:8" x14ac:dyDescent="0.3">
      <c r="A1262" t="s">
        <v>1360</v>
      </c>
      <c r="B1262" t="s">
        <v>23</v>
      </c>
      <c r="C1262">
        <v>45790</v>
      </c>
      <c r="D1262">
        <v>447.78</v>
      </c>
      <c r="E1262">
        <v>450.67329999999998</v>
      </c>
      <c r="F1262">
        <v>445.36</v>
      </c>
      <c r="G1262">
        <v>449.14</v>
      </c>
      <c r="H1262">
        <v>449.26</v>
      </c>
    </row>
    <row r="1263" spans="1:8" x14ac:dyDescent="0.3">
      <c r="A1263" t="s">
        <v>1361</v>
      </c>
      <c r="B1263" t="s">
        <v>23</v>
      </c>
      <c r="C1263">
        <v>45791</v>
      </c>
      <c r="D1263">
        <v>448.14</v>
      </c>
      <c r="E1263">
        <v>453.9</v>
      </c>
      <c r="F1263">
        <v>448.14</v>
      </c>
      <c r="G1263">
        <v>452.94</v>
      </c>
      <c r="H1263">
        <v>449.14</v>
      </c>
    </row>
    <row r="1264" spans="1:8" x14ac:dyDescent="0.3">
      <c r="A1264" t="s">
        <v>1362</v>
      </c>
      <c r="B1264" t="s">
        <v>23</v>
      </c>
      <c r="C1264">
        <v>45792</v>
      </c>
      <c r="D1264">
        <v>450.76499999999999</v>
      </c>
      <c r="E1264">
        <v>456.19</v>
      </c>
      <c r="F1264">
        <v>450.43009999999998</v>
      </c>
      <c r="G1264">
        <v>453.13</v>
      </c>
      <c r="H1264">
        <v>452.94</v>
      </c>
    </row>
    <row r="1265" spans="1:8" x14ac:dyDescent="0.3">
      <c r="A1265" t="s">
        <v>1363</v>
      </c>
      <c r="B1265" t="s">
        <v>23</v>
      </c>
      <c r="C1265">
        <v>45793</v>
      </c>
      <c r="D1265">
        <v>452.05</v>
      </c>
      <c r="E1265">
        <v>454.36</v>
      </c>
      <c r="F1265">
        <v>448.73</v>
      </c>
      <c r="G1265">
        <v>454.27</v>
      </c>
      <c r="H1265">
        <v>453.13</v>
      </c>
    </row>
    <row r="1266" spans="1:8" x14ac:dyDescent="0.3">
      <c r="A1266" t="s">
        <v>1364</v>
      </c>
      <c r="B1266" t="s">
        <v>23</v>
      </c>
      <c r="C1266">
        <v>45796</v>
      </c>
      <c r="D1266">
        <v>450.875</v>
      </c>
      <c r="E1266">
        <v>459.58499999999998</v>
      </c>
      <c r="F1266">
        <v>450.8</v>
      </c>
      <c r="G1266">
        <v>458.87</v>
      </c>
      <c r="H1266">
        <v>454.27</v>
      </c>
    </row>
    <row r="1267" spans="1:8" x14ac:dyDescent="0.3">
      <c r="A1267" t="s">
        <v>1365</v>
      </c>
      <c r="B1267" t="s">
        <v>23</v>
      </c>
      <c r="C1267">
        <v>45797</v>
      </c>
      <c r="D1267">
        <v>455.59</v>
      </c>
      <c r="E1267">
        <v>458.34</v>
      </c>
      <c r="F1267">
        <v>454.32010000000002</v>
      </c>
      <c r="G1267">
        <v>458.17</v>
      </c>
      <c r="H1267">
        <v>458.87</v>
      </c>
    </row>
    <row r="1268" spans="1:8" x14ac:dyDescent="0.3">
      <c r="A1268" t="s">
        <v>1366</v>
      </c>
      <c r="B1268" t="s">
        <v>23</v>
      </c>
      <c r="C1268">
        <v>45798</v>
      </c>
      <c r="D1268">
        <v>454.57</v>
      </c>
      <c r="E1268">
        <v>457.78</v>
      </c>
      <c r="F1268">
        <v>451.81400000000002</v>
      </c>
      <c r="G1268">
        <v>452.57</v>
      </c>
      <c r="H1268">
        <v>458.17</v>
      </c>
    </row>
    <row r="1269" spans="1:8" x14ac:dyDescent="0.3">
      <c r="A1269" t="s">
        <v>1367</v>
      </c>
      <c r="B1269" t="s">
        <v>23</v>
      </c>
      <c r="C1269">
        <v>45799</v>
      </c>
      <c r="D1269">
        <v>454.95</v>
      </c>
      <c r="E1269">
        <v>460.25</v>
      </c>
      <c r="F1269">
        <v>453.9</v>
      </c>
      <c r="G1269">
        <v>454.86</v>
      </c>
      <c r="H1269">
        <v>452.57</v>
      </c>
    </row>
    <row r="1270" spans="1:8" x14ac:dyDescent="0.3">
      <c r="A1270" t="s">
        <v>1368</v>
      </c>
      <c r="B1270" t="s">
        <v>23</v>
      </c>
      <c r="C1270">
        <v>45800</v>
      </c>
      <c r="D1270">
        <v>449.98</v>
      </c>
      <c r="E1270">
        <v>453.69</v>
      </c>
      <c r="F1270">
        <v>448.91</v>
      </c>
      <c r="G1270">
        <v>450.18</v>
      </c>
      <c r="H1270">
        <v>454.86</v>
      </c>
    </row>
    <row r="1271" spans="1:8" x14ac:dyDescent="0.3">
      <c r="A1271" t="s">
        <v>1369</v>
      </c>
      <c r="B1271" t="s">
        <v>23</v>
      </c>
      <c r="C1271">
        <v>45804</v>
      </c>
      <c r="D1271">
        <v>456.48</v>
      </c>
      <c r="E1271">
        <v>460.95</v>
      </c>
      <c r="F1271">
        <v>456.11500000000001</v>
      </c>
      <c r="G1271">
        <v>460.69</v>
      </c>
      <c r="H1271">
        <v>450.18</v>
      </c>
    </row>
    <row r="1272" spans="1:8" x14ac:dyDescent="0.3">
      <c r="A1272" t="s">
        <v>1370</v>
      </c>
      <c r="B1272" t="s">
        <v>23</v>
      </c>
      <c r="C1272">
        <v>45805</v>
      </c>
      <c r="D1272">
        <v>461.22</v>
      </c>
      <c r="E1272">
        <v>462.52</v>
      </c>
      <c r="F1272">
        <v>456.93</v>
      </c>
      <c r="G1272">
        <v>457.36</v>
      </c>
      <c r="H1272">
        <v>460.69</v>
      </c>
    </row>
    <row r="1273" spans="1:8" x14ac:dyDescent="0.3">
      <c r="A1273" t="s">
        <v>1371</v>
      </c>
      <c r="B1273" t="s">
        <v>23</v>
      </c>
      <c r="C1273">
        <v>45806</v>
      </c>
      <c r="D1273">
        <v>461.55</v>
      </c>
      <c r="E1273">
        <v>461.72</v>
      </c>
      <c r="F1273">
        <v>455.31049999999999</v>
      </c>
      <c r="G1273">
        <v>458.68</v>
      </c>
      <c r="H1273">
        <v>457.36</v>
      </c>
    </row>
    <row r="1274" spans="1:8" x14ac:dyDescent="0.3">
      <c r="A1274" t="s">
        <v>1372</v>
      </c>
      <c r="B1274" t="s">
        <v>23</v>
      </c>
      <c r="C1274">
        <v>45807</v>
      </c>
      <c r="D1274">
        <v>459.71499999999997</v>
      </c>
      <c r="E1274">
        <v>461.68</v>
      </c>
      <c r="F1274">
        <v>455.54</v>
      </c>
      <c r="G1274">
        <v>460.36</v>
      </c>
      <c r="H1274">
        <v>458.68</v>
      </c>
    </row>
    <row r="1275" spans="1:8" x14ac:dyDescent="0.3">
      <c r="A1275" t="s">
        <v>1373</v>
      </c>
      <c r="B1275" t="s">
        <v>23</v>
      </c>
      <c r="C1275">
        <v>45810</v>
      </c>
      <c r="D1275">
        <v>457.14</v>
      </c>
      <c r="E1275">
        <v>462.11</v>
      </c>
      <c r="F1275">
        <v>456.89</v>
      </c>
      <c r="G1275">
        <v>461.97</v>
      </c>
      <c r="H1275">
        <v>460.36</v>
      </c>
    </row>
    <row r="1276" spans="1:8" x14ac:dyDescent="0.3">
      <c r="A1276" t="s">
        <v>1374</v>
      </c>
      <c r="B1276" t="s">
        <v>23</v>
      </c>
      <c r="C1276">
        <v>45811</v>
      </c>
      <c r="D1276">
        <v>461.47</v>
      </c>
      <c r="E1276">
        <v>464.14</v>
      </c>
      <c r="F1276">
        <v>460.86219999999997</v>
      </c>
      <c r="G1276">
        <v>462.97</v>
      </c>
      <c r="H1276">
        <v>461.97</v>
      </c>
    </row>
    <row r="1277" spans="1:8" x14ac:dyDescent="0.3">
      <c r="A1277" t="s">
        <v>1375</v>
      </c>
      <c r="B1277" t="s">
        <v>23</v>
      </c>
      <c r="C1277">
        <v>45812</v>
      </c>
      <c r="D1277">
        <v>464</v>
      </c>
      <c r="E1277">
        <v>465.69</v>
      </c>
      <c r="F1277">
        <v>463.02010000000001</v>
      </c>
      <c r="G1277">
        <v>463.87</v>
      </c>
      <c r="H1277">
        <v>462.97</v>
      </c>
    </row>
    <row r="1278" spans="1:8" x14ac:dyDescent="0.3">
      <c r="A1278" t="s">
        <v>1376</v>
      </c>
      <c r="B1278" t="s">
        <v>23</v>
      </c>
      <c r="C1278">
        <v>45813</v>
      </c>
      <c r="D1278">
        <v>464.95499999999998</v>
      </c>
      <c r="E1278">
        <v>469.65</v>
      </c>
      <c r="F1278">
        <v>464.03</v>
      </c>
      <c r="G1278">
        <v>467.68</v>
      </c>
      <c r="H1278">
        <v>463.87</v>
      </c>
    </row>
    <row r="1279" spans="1:8" x14ac:dyDescent="0.3">
      <c r="A1279" t="s">
        <v>1377</v>
      </c>
      <c r="B1279" t="s">
        <v>23</v>
      </c>
      <c r="C1279">
        <v>45814</v>
      </c>
      <c r="D1279">
        <v>470.08499999999998</v>
      </c>
      <c r="E1279">
        <v>473.33499999999998</v>
      </c>
      <c r="F1279">
        <v>468.78</v>
      </c>
      <c r="G1279">
        <v>470.38</v>
      </c>
      <c r="H1279">
        <v>467.68</v>
      </c>
    </row>
    <row r="1280" spans="1:8" x14ac:dyDescent="0.3">
      <c r="A1280" t="s">
        <v>1378</v>
      </c>
      <c r="B1280" t="s">
        <v>23</v>
      </c>
      <c r="C1280">
        <v>45817</v>
      </c>
      <c r="D1280">
        <v>469.7</v>
      </c>
      <c r="E1280">
        <v>473.43</v>
      </c>
      <c r="F1280">
        <v>468.62</v>
      </c>
      <c r="G1280">
        <v>472.75</v>
      </c>
      <c r="H1280">
        <v>470.38</v>
      </c>
    </row>
    <row r="1281" spans="1:8" x14ac:dyDescent="0.3">
      <c r="A1281" t="s">
        <v>1379</v>
      </c>
      <c r="B1281" t="s">
        <v>23</v>
      </c>
      <c r="C1281">
        <v>45818</v>
      </c>
      <c r="D1281">
        <v>471.185</v>
      </c>
      <c r="E1281">
        <v>472.8</v>
      </c>
      <c r="F1281">
        <v>466.96</v>
      </c>
      <c r="G1281">
        <v>470.92</v>
      </c>
      <c r="H1281">
        <v>472.75</v>
      </c>
    </row>
    <row r="1282" spans="1:8" x14ac:dyDescent="0.3">
      <c r="A1282" t="s">
        <v>1380</v>
      </c>
      <c r="B1282" t="s">
        <v>23</v>
      </c>
      <c r="C1282">
        <v>45819</v>
      </c>
      <c r="D1282">
        <v>470.02</v>
      </c>
      <c r="E1282">
        <v>475.47</v>
      </c>
      <c r="F1282">
        <v>469.65499999999997</v>
      </c>
      <c r="G1282">
        <v>472.62</v>
      </c>
      <c r="H1282">
        <v>470.92</v>
      </c>
    </row>
    <row r="1283" spans="1:8" x14ac:dyDescent="0.3">
      <c r="A1283" t="s">
        <v>1381</v>
      </c>
      <c r="B1283" t="s">
        <v>23</v>
      </c>
      <c r="C1283">
        <v>45820</v>
      </c>
      <c r="D1283">
        <v>475.02</v>
      </c>
      <c r="E1283">
        <v>480.41500000000002</v>
      </c>
      <c r="F1283">
        <v>473.52</v>
      </c>
      <c r="G1283">
        <v>478.87</v>
      </c>
      <c r="H1283">
        <v>472.62</v>
      </c>
    </row>
    <row r="1284" spans="1:8" x14ac:dyDescent="0.3">
      <c r="A1284" t="s">
        <v>1382</v>
      </c>
      <c r="B1284" t="s">
        <v>23</v>
      </c>
      <c r="C1284">
        <v>45821</v>
      </c>
      <c r="D1284">
        <v>476.41</v>
      </c>
      <c r="E1284">
        <v>479.18</v>
      </c>
      <c r="F1284">
        <v>472.76</v>
      </c>
      <c r="G1284">
        <v>474.96</v>
      </c>
      <c r="H1284">
        <v>478.87</v>
      </c>
    </row>
    <row r="1285" spans="1:8" x14ac:dyDescent="0.3">
      <c r="A1285" t="s">
        <v>1383</v>
      </c>
      <c r="B1285" t="s">
        <v>23</v>
      </c>
      <c r="C1285">
        <v>45824</v>
      </c>
      <c r="D1285">
        <v>475.21</v>
      </c>
      <c r="E1285">
        <v>480.6943</v>
      </c>
      <c r="F1285">
        <v>475</v>
      </c>
      <c r="G1285">
        <v>479.14</v>
      </c>
      <c r="H1285">
        <v>474.96</v>
      </c>
    </row>
    <row r="1286" spans="1:8" x14ac:dyDescent="0.3">
      <c r="A1286" t="s">
        <v>1384</v>
      </c>
      <c r="B1286" t="s">
        <v>23</v>
      </c>
      <c r="C1286">
        <v>45825</v>
      </c>
      <c r="D1286">
        <v>475.39499999999998</v>
      </c>
      <c r="E1286">
        <v>478.73989999999998</v>
      </c>
      <c r="F1286">
        <v>474.08</v>
      </c>
      <c r="G1286">
        <v>478.04</v>
      </c>
      <c r="H1286">
        <v>479.14</v>
      </c>
    </row>
    <row r="1287" spans="1:8" x14ac:dyDescent="0.3">
      <c r="A1287" t="s">
        <v>1385</v>
      </c>
      <c r="B1287" t="s">
        <v>23</v>
      </c>
      <c r="C1287">
        <v>45826</v>
      </c>
      <c r="D1287">
        <v>478</v>
      </c>
      <c r="E1287">
        <v>481</v>
      </c>
      <c r="F1287">
        <v>474.46</v>
      </c>
      <c r="G1287">
        <v>480.24</v>
      </c>
      <c r="H1287">
        <v>478.04</v>
      </c>
    </row>
    <row r="1288" spans="1:8" x14ac:dyDescent="0.3">
      <c r="A1288" t="s">
        <v>1386</v>
      </c>
      <c r="B1288" t="s">
        <v>23</v>
      </c>
      <c r="C1288">
        <v>45828</v>
      </c>
      <c r="D1288">
        <v>482.23</v>
      </c>
      <c r="E1288">
        <v>483.46</v>
      </c>
      <c r="F1288">
        <v>476.87</v>
      </c>
      <c r="G1288">
        <v>477.4</v>
      </c>
      <c r="H1288">
        <v>480.24</v>
      </c>
    </row>
    <row r="1289" spans="1:8" x14ac:dyDescent="0.3">
      <c r="A1289" t="s">
        <v>1387</v>
      </c>
      <c r="B1289" t="s">
        <v>23</v>
      </c>
      <c r="C1289">
        <v>45831</v>
      </c>
      <c r="D1289">
        <v>478.21</v>
      </c>
      <c r="E1289">
        <v>487.75</v>
      </c>
      <c r="F1289">
        <v>472.51</v>
      </c>
      <c r="G1289">
        <v>486</v>
      </c>
      <c r="H1289">
        <v>477.4</v>
      </c>
    </row>
    <row r="1290" spans="1:8" x14ac:dyDescent="0.3">
      <c r="A1290" t="s">
        <v>1388</v>
      </c>
      <c r="B1290" t="s">
        <v>23</v>
      </c>
      <c r="C1290">
        <v>45832</v>
      </c>
      <c r="D1290">
        <v>488.95</v>
      </c>
      <c r="E1290">
        <v>491.84899999999999</v>
      </c>
      <c r="F1290">
        <v>486.79500000000002</v>
      </c>
      <c r="G1290">
        <v>490.11</v>
      </c>
      <c r="H1290">
        <v>486</v>
      </c>
    </row>
    <row r="1291" spans="1:8" x14ac:dyDescent="0.3">
      <c r="A1291" t="s">
        <v>1389</v>
      </c>
      <c r="B1291" t="s">
        <v>23</v>
      </c>
      <c r="C1291">
        <v>45833</v>
      </c>
      <c r="D1291">
        <v>492.04</v>
      </c>
      <c r="E1291">
        <v>494.55560000000003</v>
      </c>
      <c r="F1291">
        <v>489.39</v>
      </c>
      <c r="G1291">
        <v>492.27</v>
      </c>
      <c r="H1291">
        <v>490.11</v>
      </c>
    </row>
    <row r="1292" spans="1:8" x14ac:dyDescent="0.3">
      <c r="A1292" t="s">
        <v>1390</v>
      </c>
      <c r="B1292" t="s">
        <v>23</v>
      </c>
      <c r="C1292">
        <v>45834</v>
      </c>
      <c r="D1292">
        <v>492.98</v>
      </c>
      <c r="E1292">
        <v>498.04</v>
      </c>
      <c r="F1292">
        <v>492.81</v>
      </c>
      <c r="G1292">
        <v>497.45</v>
      </c>
      <c r="H1292">
        <v>492.27</v>
      </c>
    </row>
    <row r="1293" spans="1:8" x14ac:dyDescent="0.3">
      <c r="A1293" t="s">
        <v>1391</v>
      </c>
      <c r="B1293" t="s">
        <v>23</v>
      </c>
      <c r="C1293">
        <v>45835</v>
      </c>
      <c r="D1293">
        <v>497.55</v>
      </c>
      <c r="E1293">
        <v>499.3</v>
      </c>
      <c r="F1293">
        <v>493.03</v>
      </c>
      <c r="G1293">
        <v>495.94</v>
      </c>
      <c r="H1293">
        <v>497.45</v>
      </c>
    </row>
    <row r="1294" spans="1:8" x14ac:dyDescent="0.3">
      <c r="A1294" t="s">
        <v>97</v>
      </c>
      <c r="B1294" t="s">
        <v>23</v>
      </c>
      <c r="C1294">
        <v>45838</v>
      </c>
      <c r="D1294">
        <v>497.04</v>
      </c>
      <c r="E1294">
        <v>500.76</v>
      </c>
      <c r="F1294">
        <v>495.33</v>
      </c>
      <c r="G1294">
        <v>497.41</v>
      </c>
      <c r="H1294">
        <v>495.94</v>
      </c>
    </row>
    <row r="1295" spans="1:8" x14ac:dyDescent="0.3">
      <c r="A1295" t="s">
        <v>1392</v>
      </c>
      <c r="B1295" t="s">
        <v>23</v>
      </c>
      <c r="C1295">
        <v>45839</v>
      </c>
      <c r="D1295">
        <v>496.47</v>
      </c>
      <c r="E1295">
        <v>498.05</v>
      </c>
      <c r="F1295">
        <v>490.98</v>
      </c>
      <c r="G1295">
        <v>492.05</v>
      </c>
      <c r="H1295">
        <v>497.41</v>
      </c>
    </row>
    <row r="1296" spans="1:8" x14ac:dyDescent="0.3">
      <c r="A1296" t="s">
        <v>1393</v>
      </c>
      <c r="B1296" t="s">
        <v>23</v>
      </c>
      <c r="C1296">
        <v>45840</v>
      </c>
      <c r="D1296">
        <v>489.99</v>
      </c>
      <c r="E1296">
        <v>493.5</v>
      </c>
      <c r="F1296">
        <v>488.7</v>
      </c>
      <c r="G1296">
        <v>491.09</v>
      </c>
      <c r="H1296">
        <v>492.05</v>
      </c>
    </row>
    <row r="1297" spans="1:8" x14ac:dyDescent="0.3">
      <c r="A1297" t="s">
        <v>1394</v>
      </c>
      <c r="B1297" t="s">
        <v>23</v>
      </c>
      <c r="C1297">
        <v>45841</v>
      </c>
      <c r="D1297">
        <v>493.81</v>
      </c>
      <c r="E1297">
        <v>500.13</v>
      </c>
      <c r="F1297">
        <v>493.44</v>
      </c>
      <c r="G1297">
        <v>498.84</v>
      </c>
      <c r="H1297">
        <v>491.09</v>
      </c>
    </row>
    <row r="1298" spans="1:8" x14ac:dyDescent="0.3">
      <c r="A1298" t="s">
        <v>1395</v>
      </c>
      <c r="B1298" t="s">
        <v>23</v>
      </c>
      <c r="C1298">
        <v>45845</v>
      </c>
      <c r="D1298">
        <v>497.38</v>
      </c>
      <c r="E1298">
        <v>498.75</v>
      </c>
      <c r="F1298">
        <v>495.22500000000002</v>
      </c>
      <c r="G1298">
        <v>497.72</v>
      </c>
      <c r="H1298">
        <v>498.84</v>
      </c>
    </row>
    <row r="1299" spans="1:8" x14ac:dyDescent="0.3">
      <c r="A1299" t="s">
        <v>1396</v>
      </c>
      <c r="B1299" t="s">
        <v>23</v>
      </c>
      <c r="C1299">
        <v>45846</v>
      </c>
      <c r="D1299">
        <v>497.24</v>
      </c>
      <c r="E1299">
        <v>498.2</v>
      </c>
      <c r="F1299">
        <v>494.11</v>
      </c>
      <c r="G1299">
        <v>496.62</v>
      </c>
      <c r="H1299">
        <v>497.72</v>
      </c>
    </row>
    <row r="1300" spans="1:8" x14ac:dyDescent="0.3">
      <c r="A1300" t="s">
        <v>1397</v>
      </c>
      <c r="B1300" t="s">
        <v>23</v>
      </c>
      <c r="C1300">
        <v>45847</v>
      </c>
      <c r="D1300">
        <v>500.3</v>
      </c>
      <c r="E1300">
        <v>506.78</v>
      </c>
      <c r="F1300">
        <v>499.74</v>
      </c>
      <c r="G1300">
        <v>503.51</v>
      </c>
      <c r="H1300">
        <v>496.62</v>
      </c>
    </row>
    <row r="1301" spans="1:8" x14ac:dyDescent="0.3">
      <c r="A1301" t="s">
        <v>1398</v>
      </c>
      <c r="B1301" t="s">
        <v>23</v>
      </c>
      <c r="C1301">
        <v>45848</v>
      </c>
      <c r="D1301">
        <v>503.05</v>
      </c>
      <c r="E1301">
        <v>504.44</v>
      </c>
      <c r="F1301">
        <v>497.75</v>
      </c>
      <c r="G1301">
        <v>501.48</v>
      </c>
      <c r="H1301">
        <v>503.51</v>
      </c>
    </row>
    <row r="1302" spans="1:8" x14ac:dyDescent="0.3">
      <c r="A1302" t="s">
        <v>1399</v>
      </c>
      <c r="B1302" t="s">
        <v>23</v>
      </c>
      <c r="C1302">
        <v>45849</v>
      </c>
      <c r="D1302">
        <v>498.47</v>
      </c>
      <c r="E1302">
        <v>505.03</v>
      </c>
      <c r="F1302">
        <v>497.79500000000002</v>
      </c>
      <c r="G1302">
        <v>503.32</v>
      </c>
      <c r="H1302">
        <v>501.48</v>
      </c>
    </row>
    <row r="1303" spans="1:8" x14ac:dyDescent="0.3">
      <c r="A1303" t="s">
        <v>1400</v>
      </c>
      <c r="B1303" t="s">
        <v>23</v>
      </c>
      <c r="C1303">
        <v>45852</v>
      </c>
      <c r="D1303">
        <v>501.51499999999999</v>
      </c>
      <c r="E1303">
        <v>503.97</v>
      </c>
      <c r="F1303">
        <v>501.03</v>
      </c>
      <c r="G1303">
        <v>503.02</v>
      </c>
      <c r="H1303">
        <v>503.32</v>
      </c>
    </row>
    <row r="1304" spans="1:8" x14ac:dyDescent="0.3">
      <c r="A1304" t="s">
        <v>1401</v>
      </c>
      <c r="B1304" t="s">
        <v>23</v>
      </c>
      <c r="C1304">
        <v>45853</v>
      </c>
      <c r="D1304">
        <v>503.02</v>
      </c>
      <c r="E1304">
        <v>508.3</v>
      </c>
      <c r="F1304">
        <v>502.79</v>
      </c>
      <c r="G1304">
        <v>505.82</v>
      </c>
      <c r="H1304">
        <v>503.02</v>
      </c>
    </row>
    <row r="1305" spans="1:8" x14ac:dyDescent="0.3">
      <c r="A1305" t="s">
        <v>1402</v>
      </c>
      <c r="B1305" t="s">
        <v>23</v>
      </c>
      <c r="C1305">
        <v>45854</v>
      </c>
      <c r="D1305">
        <v>505.18</v>
      </c>
      <c r="E1305">
        <v>506.72</v>
      </c>
      <c r="F1305">
        <v>501.89</v>
      </c>
      <c r="G1305">
        <v>505.62</v>
      </c>
      <c r="H1305">
        <v>505.82</v>
      </c>
    </row>
    <row r="1306" spans="1:8" x14ac:dyDescent="0.3">
      <c r="A1306" t="s">
        <v>1403</v>
      </c>
      <c r="B1306" t="s">
        <v>23</v>
      </c>
      <c r="C1306">
        <v>45855</v>
      </c>
      <c r="D1306">
        <v>505.68</v>
      </c>
      <c r="E1306">
        <v>513.37</v>
      </c>
      <c r="F1306">
        <v>505.62</v>
      </c>
      <c r="G1306">
        <v>511.7</v>
      </c>
      <c r="H1306">
        <v>505.62</v>
      </c>
    </row>
    <row r="1307" spans="1:8" x14ac:dyDescent="0.3">
      <c r="A1307" t="s">
        <v>1404</v>
      </c>
      <c r="B1307" t="s">
        <v>23</v>
      </c>
      <c r="C1307">
        <v>45856</v>
      </c>
      <c r="D1307">
        <v>514.48</v>
      </c>
      <c r="E1307">
        <v>514.64</v>
      </c>
      <c r="F1307">
        <v>507.43</v>
      </c>
      <c r="G1307">
        <v>510.05</v>
      </c>
      <c r="H1307">
        <v>511.7</v>
      </c>
    </row>
    <row r="1308" spans="1:8" x14ac:dyDescent="0.3">
      <c r="A1308" t="s">
        <v>1405</v>
      </c>
      <c r="B1308" t="s">
        <v>23</v>
      </c>
      <c r="C1308">
        <v>45859</v>
      </c>
      <c r="D1308">
        <v>506.70499999999998</v>
      </c>
      <c r="E1308">
        <v>512.09</v>
      </c>
      <c r="F1308">
        <v>505.55</v>
      </c>
      <c r="G1308">
        <v>510.06</v>
      </c>
      <c r="H1308">
        <v>510.05</v>
      </c>
    </row>
    <row r="1309" spans="1:8" x14ac:dyDescent="0.3">
      <c r="A1309" t="s">
        <v>1406</v>
      </c>
      <c r="B1309" t="s">
        <v>23</v>
      </c>
      <c r="C1309">
        <v>45860</v>
      </c>
      <c r="D1309">
        <v>510.97</v>
      </c>
      <c r="E1309">
        <v>511.2</v>
      </c>
      <c r="F1309">
        <v>505.27</v>
      </c>
      <c r="G1309">
        <v>505.27</v>
      </c>
      <c r="H1309">
        <v>510.06</v>
      </c>
    </row>
    <row r="1310" spans="1:8" x14ac:dyDescent="0.3">
      <c r="A1310" t="s">
        <v>1407</v>
      </c>
      <c r="B1310" t="s">
        <v>23</v>
      </c>
      <c r="C1310">
        <v>45861</v>
      </c>
      <c r="D1310">
        <v>506.75</v>
      </c>
      <c r="E1310">
        <v>506.79</v>
      </c>
      <c r="F1310">
        <v>500.7</v>
      </c>
      <c r="G1310">
        <v>505.87</v>
      </c>
      <c r="H1310">
        <v>505.27</v>
      </c>
    </row>
    <row r="1311" spans="1:8" x14ac:dyDescent="0.3">
      <c r="A1311" t="s">
        <v>1408</v>
      </c>
      <c r="B1311" t="s">
        <v>23</v>
      </c>
      <c r="C1311">
        <v>45862</v>
      </c>
      <c r="D1311">
        <v>508.77</v>
      </c>
      <c r="E1311">
        <v>513.66999999999996</v>
      </c>
      <c r="F1311">
        <v>507.3</v>
      </c>
      <c r="G1311">
        <v>510.88</v>
      </c>
      <c r="H1311">
        <v>505.87</v>
      </c>
    </row>
    <row r="1312" spans="1:8" x14ac:dyDescent="0.3">
      <c r="A1312" t="s">
        <v>1409</v>
      </c>
      <c r="B1312" t="s">
        <v>23</v>
      </c>
      <c r="C1312">
        <v>45863</v>
      </c>
      <c r="D1312">
        <v>512.46500000000003</v>
      </c>
      <c r="E1312">
        <v>518.29</v>
      </c>
      <c r="F1312">
        <v>510.35919999999999</v>
      </c>
      <c r="G1312">
        <v>513.71</v>
      </c>
      <c r="H1312">
        <v>510.88</v>
      </c>
    </row>
    <row r="1313" spans="1:8" x14ac:dyDescent="0.3">
      <c r="A1313" t="s">
        <v>1410</v>
      </c>
      <c r="B1313" t="s">
        <v>23</v>
      </c>
      <c r="C1313">
        <v>45866</v>
      </c>
      <c r="D1313">
        <v>514.08000000000004</v>
      </c>
      <c r="E1313">
        <v>515</v>
      </c>
      <c r="F1313">
        <v>510.12</v>
      </c>
      <c r="G1313">
        <v>512.5</v>
      </c>
      <c r="H1313">
        <v>513.71</v>
      </c>
    </row>
    <row r="1314" spans="1:8" x14ac:dyDescent="0.3">
      <c r="A1314" t="s">
        <v>1411</v>
      </c>
      <c r="B1314" t="s">
        <v>23</v>
      </c>
      <c r="C1314">
        <v>45867</v>
      </c>
      <c r="D1314">
        <v>515.53</v>
      </c>
      <c r="E1314">
        <v>517.62</v>
      </c>
      <c r="F1314">
        <v>511.56</v>
      </c>
      <c r="G1314">
        <v>512.57000000000005</v>
      </c>
      <c r="H1314">
        <v>512.5</v>
      </c>
    </row>
    <row r="1315" spans="1:8" x14ac:dyDescent="0.3">
      <c r="A1315" t="s">
        <v>1412</v>
      </c>
      <c r="B1315" t="s">
        <v>23</v>
      </c>
      <c r="C1315">
        <v>45868</v>
      </c>
      <c r="D1315">
        <v>515.16999999999996</v>
      </c>
      <c r="E1315">
        <v>515.95000000000005</v>
      </c>
      <c r="F1315">
        <v>509.435</v>
      </c>
      <c r="G1315">
        <v>513.24</v>
      </c>
      <c r="H1315">
        <v>512.57000000000005</v>
      </c>
    </row>
    <row r="1316" spans="1:8" x14ac:dyDescent="0.3">
      <c r="A1316" t="s">
        <v>1413</v>
      </c>
      <c r="B1316" t="s">
        <v>23</v>
      </c>
      <c r="C1316">
        <v>45869</v>
      </c>
      <c r="D1316">
        <v>555.22500000000002</v>
      </c>
      <c r="E1316">
        <v>555.45000000000005</v>
      </c>
      <c r="F1316">
        <v>531.9</v>
      </c>
      <c r="G1316">
        <v>533.5</v>
      </c>
      <c r="H1316">
        <v>513.24</v>
      </c>
    </row>
    <row r="1317" spans="1:8" x14ac:dyDescent="0.3">
      <c r="A1317" t="s">
        <v>1414</v>
      </c>
      <c r="B1317" t="s">
        <v>23</v>
      </c>
      <c r="C1317">
        <v>45870</v>
      </c>
      <c r="D1317">
        <v>535</v>
      </c>
      <c r="E1317">
        <v>535.79999999999995</v>
      </c>
      <c r="F1317">
        <v>520.86</v>
      </c>
      <c r="G1317">
        <v>524.11</v>
      </c>
      <c r="H1317">
        <v>533.5</v>
      </c>
    </row>
    <row r="1318" spans="1:8" x14ac:dyDescent="0.3">
      <c r="A1318" t="s">
        <v>1415</v>
      </c>
      <c r="B1318" t="s">
        <v>23</v>
      </c>
      <c r="C1318">
        <v>45873</v>
      </c>
      <c r="D1318">
        <v>528.27</v>
      </c>
      <c r="E1318">
        <v>538.25</v>
      </c>
      <c r="F1318">
        <v>528.13</v>
      </c>
      <c r="G1318">
        <v>535.64</v>
      </c>
      <c r="H1318">
        <v>524.11</v>
      </c>
    </row>
    <row r="1319" spans="1:8" x14ac:dyDescent="0.3">
      <c r="A1319" t="s">
        <v>1416</v>
      </c>
      <c r="B1319" t="s">
        <v>23</v>
      </c>
      <c r="C1319">
        <v>45874</v>
      </c>
      <c r="D1319">
        <v>537.17999999999995</v>
      </c>
      <c r="E1319">
        <v>537.29999999999995</v>
      </c>
      <c r="F1319">
        <v>527.24</v>
      </c>
      <c r="G1319">
        <v>527.75</v>
      </c>
      <c r="H1319">
        <v>535.64</v>
      </c>
    </row>
    <row r="1320" spans="1:8" x14ac:dyDescent="0.3">
      <c r="A1320" t="s">
        <v>1417</v>
      </c>
      <c r="B1320" t="s">
        <v>23</v>
      </c>
      <c r="C1320">
        <v>45875</v>
      </c>
      <c r="D1320">
        <v>530.9</v>
      </c>
      <c r="E1320">
        <v>531.70000000000005</v>
      </c>
      <c r="F1320">
        <v>524.03</v>
      </c>
      <c r="G1320">
        <v>524.94000000000005</v>
      </c>
      <c r="H1320">
        <v>527.75</v>
      </c>
    </row>
    <row r="1321" spans="1:8" x14ac:dyDescent="0.3">
      <c r="A1321" t="s">
        <v>1418</v>
      </c>
      <c r="B1321" t="s">
        <v>23</v>
      </c>
      <c r="C1321">
        <v>45876</v>
      </c>
      <c r="D1321">
        <v>526.79999999999995</v>
      </c>
      <c r="E1321">
        <v>528.09</v>
      </c>
      <c r="F1321">
        <v>517.55110000000002</v>
      </c>
      <c r="G1321">
        <v>520.84</v>
      </c>
      <c r="H1321">
        <v>524.94000000000005</v>
      </c>
    </row>
    <row r="1322" spans="1:8" x14ac:dyDescent="0.3">
      <c r="A1322" t="s">
        <v>1419</v>
      </c>
      <c r="B1322" t="s">
        <v>23</v>
      </c>
      <c r="C1322">
        <v>45877</v>
      </c>
      <c r="D1322">
        <v>522.6</v>
      </c>
      <c r="E1322">
        <v>524.66</v>
      </c>
      <c r="F1322">
        <v>519.41</v>
      </c>
      <c r="G1322">
        <v>522.04</v>
      </c>
      <c r="H1322">
        <v>520.84</v>
      </c>
    </row>
    <row r="1323" spans="1:8" x14ac:dyDescent="0.3">
      <c r="A1323" t="s">
        <v>1420</v>
      </c>
      <c r="B1323" t="s">
        <v>23</v>
      </c>
      <c r="C1323">
        <v>45880</v>
      </c>
      <c r="D1323">
        <v>522.29999999999995</v>
      </c>
      <c r="E1323">
        <v>527.59</v>
      </c>
      <c r="F1323">
        <v>519.72</v>
      </c>
      <c r="G1323">
        <v>521.77</v>
      </c>
      <c r="H1323">
        <v>522.04</v>
      </c>
    </row>
    <row r="1324" spans="1:8" x14ac:dyDescent="0.3">
      <c r="A1324" t="s">
        <v>1421</v>
      </c>
      <c r="B1324" t="s">
        <v>23</v>
      </c>
      <c r="C1324">
        <v>45881</v>
      </c>
      <c r="D1324">
        <v>523.75</v>
      </c>
      <c r="E1324">
        <v>530.98</v>
      </c>
      <c r="F1324">
        <v>522.70000000000005</v>
      </c>
      <c r="G1324">
        <v>529.24</v>
      </c>
      <c r="H1324">
        <v>521.77</v>
      </c>
    </row>
    <row r="1325" spans="1:8" x14ac:dyDescent="0.3">
      <c r="A1325" t="s">
        <v>1422</v>
      </c>
      <c r="B1325" t="s">
        <v>23</v>
      </c>
      <c r="C1325">
        <v>45882</v>
      </c>
      <c r="D1325">
        <v>532.11</v>
      </c>
      <c r="E1325">
        <v>532.70000000000005</v>
      </c>
      <c r="F1325">
        <v>519.37</v>
      </c>
      <c r="G1325">
        <v>520.58000000000004</v>
      </c>
      <c r="H1325">
        <v>529.24</v>
      </c>
    </row>
    <row r="1326" spans="1:8" x14ac:dyDescent="0.3">
      <c r="A1326" t="s">
        <v>1423</v>
      </c>
      <c r="B1326" t="s">
        <v>23</v>
      </c>
      <c r="C1326">
        <v>45883</v>
      </c>
      <c r="D1326">
        <v>522.55999999999995</v>
      </c>
      <c r="E1326">
        <v>525.94989999999996</v>
      </c>
      <c r="F1326">
        <v>520.14</v>
      </c>
      <c r="G1326">
        <v>522.48</v>
      </c>
      <c r="H1326">
        <v>520.58000000000004</v>
      </c>
    </row>
    <row r="1327" spans="1:8" x14ac:dyDescent="0.3">
      <c r="A1327" t="s">
        <v>1424</v>
      </c>
      <c r="B1327" t="s">
        <v>23</v>
      </c>
      <c r="C1327">
        <v>45884</v>
      </c>
      <c r="D1327">
        <v>522.77</v>
      </c>
      <c r="E1327">
        <v>526.1</v>
      </c>
      <c r="F1327">
        <v>519.08000000000004</v>
      </c>
      <c r="G1327">
        <v>520.16999999999996</v>
      </c>
      <c r="H1327">
        <v>522.48</v>
      </c>
    </row>
    <row r="1328" spans="1:8" x14ac:dyDescent="0.3">
      <c r="A1328" t="s">
        <v>1425</v>
      </c>
      <c r="B1328" t="s">
        <v>23</v>
      </c>
      <c r="C1328">
        <v>45887</v>
      </c>
      <c r="D1328">
        <v>521.58500000000004</v>
      </c>
      <c r="E1328">
        <v>522.82000000000005</v>
      </c>
      <c r="F1328">
        <v>514.02</v>
      </c>
      <c r="G1328">
        <v>517.1</v>
      </c>
      <c r="H1328">
        <v>520.16999999999996</v>
      </c>
    </row>
    <row r="1329" spans="1:8" x14ac:dyDescent="0.3">
      <c r="A1329" t="s">
        <v>1426</v>
      </c>
      <c r="B1329" t="s">
        <v>23</v>
      </c>
      <c r="C1329">
        <v>45888</v>
      </c>
      <c r="D1329">
        <v>515</v>
      </c>
      <c r="E1329">
        <v>515.16409999999996</v>
      </c>
      <c r="F1329">
        <v>508.55</v>
      </c>
      <c r="G1329">
        <v>509.77</v>
      </c>
      <c r="H1329">
        <v>517.1</v>
      </c>
    </row>
    <row r="1330" spans="1:8" x14ac:dyDescent="0.3">
      <c r="A1330" t="s">
        <v>1427</v>
      </c>
      <c r="B1330" t="s">
        <v>23</v>
      </c>
      <c r="C1330">
        <v>45889</v>
      </c>
      <c r="D1330">
        <v>509.86500000000001</v>
      </c>
      <c r="E1330">
        <v>511</v>
      </c>
      <c r="F1330">
        <v>504.44</v>
      </c>
      <c r="G1330">
        <v>505.72</v>
      </c>
      <c r="H1330">
        <v>509.77</v>
      </c>
    </row>
    <row r="1331" spans="1:8" x14ac:dyDescent="0.3">
      <c r="A1331" t="s">
        <v>1428</v>
      </c>
      <c r="B1331" t="s">
        <v>23</v>
      </c>
      <c r="C1331">
        <v>45890</v>
      </c>
      <c r="D1331">
        <v>503.69</v>
      </c>
      <c r="E1331">
        <v>507.63</v>
      </c>
      <c r="F1331">
        <v>502.7201</v>
      </c>
      <c r="G1331">
        <v>504.24</v>
      </c>
      <c r="H1331">
        <v>505.72</v>
      </c>
    </row>
    <row r="1332" spans="1:8" x14ac:dyDescent="0.3">
      <c r="A1332" t="s">
        <v>1429</v>
      </c>
      <c r="B1332" t="s">
        <v>23</v>
      </c>
      <c r="C1332">
        <v>45891</v>
      </c>
      <c r="D1332">
        <v>504.25</v>
      </c>
      <c r="E1332">
        <v>510.73</v>
      </c>
      <c r="F1332">
        <v>502.41</v>
      </c>
      <c r="G1332">
        <v>507.23</v>
      </c>
      <c r="H1332">
        <v>504.24</v>
      </c>
    </row>
    <row r="1333" spans="1:8" x14ac:dyDescent="0.3">
      <c r="A1333" t="s">
        <v>1430</v>
      </c>
      <c r="B1333" t="s">
        <v>23</v>
      </c>
      <c r="C1333">
        <v>45894</v>
      </c>
      <c r="D1333">
        <v>506.63</v>
      </c>
      <c r="E1333">
        <v>508.19</v>
      </c>
      <c r="F1333">
        <v>504.12</v>
      </c>
      <c r="G1333">
        <v>504.26</v>
      </c>
      <c r="H1333">
        <v>507.23</v>
      </c>
    </row>
    <row r="1334" spans="1:8" x14ac:dyDescent="0.3">
      <c r="A1334" t="s">
        <v>1431</v>
      </c>
      <c r="B1334" t="s">
        <v>23</v>
      </c>
      <c r="C1334">
        <v>45895</v>
      </c>
      <c r="D1334">
        <v>504.35500000000002</v>
      </c>
      <c r="E1334">
        <v>504.9778</v>
      </c>
      <c r="F1334">
        <v>498.51</v>
      </c>
      <c r="G1334">
        <v>502.04</v>
      </c>
      <c r="H1334">
        <v>504.26</v>
      </c>
    </row>
    <row r="1335" spans="1:8" x14ac:dyDescent="0.3">
      <c r="A1335" t="s">
        <v>1432</v>
      </c>
      <c r="B1335" t="s">
        <v>23</v>
      </c>
      <c r="C1335">
        <v>45896</v>
      </c>
      <c r="D1335">
        <v>502</v>
      </c>
      <c r="E1335">
        <v>507.29</v>
      </c>
      <c r="F1335">
        <v>499.9</v>
      </c>
      <c r="G1335">
        <v>506.74</v>
      </c>
      <c r="H1335">
        <v>502.04</v>
      </c>
    </row>
    <row r="1336" spans="1:8" x14ac:dyDescent="0.3">
      <c r="A1336" t="s">
        <v>1433</v>
      </c>
      <c r="B1336" t="s">
        <v>23</v>
      </c>
      <c r="C1336">
        <v>45897</v>
      </c>
      <c r="D1336">
        <v>507.09</v>
      </c>
      <c r="E1336">
        <v>511.09</v>
      </c>
      <c r="F1336">
        <v>505.5</v>
      </c>
      <c r="G1336">
        <v>509.64</v>
      </c>
      <c r="H1336">
        <v>506.74</v>
      </c>
    </row>
    <row r="1337" spans="1:8" x14ac:dyDescent="0.3">
      <c r="A1337" t="s">
        <v>1434</v>
      </c>
      <c r="B1337" t="s">
        <v>23</v>
      </c>
      <c r="C1337">
        <v>45898</v>
      </c>
      <c r="D1337">
        <v>508.66</v>
      </c>
      <c r="E1337">
        <v>509.6</v>
      </c>
      <c r="F1337">
        <v>504.49149999999997</v>
      </c>
      <c r="G1337">
        <v>506.69</v>
      </c>
      <c r="H1337">
        <v>509.64</v>
      </c>
    </row>
    <row r="1338" spans="1:8" x14ac:dyDescent="0.3">
      <c r="A1338" t="s">
        <v>1435</v>
      </c>
      <c r="B1338" t="s">
        <v>23</v>
      </c>
      <c r="C1338">
        <v>45902</v>
      </c>
      <c r="D1338">
        <v>500.46499999999997</v>
      </c>
      <c r="E1338">
        <v>506</v>
      </c>
      <c r="F1338">
        <v>496.81</v>
      </c>
      <c r="G1338">
        <v>505.12</v>
      </c>
      <c r="H1338">
        <v>506.69</v>
      </c>
    </row>
    <row r="1339" spans="1:8" x14ac:dyDescent="0.3">
      <c r="A1339" t="s">
        <v>1436</v>
      </c>
      <c r="B1339" t="s">
        <v>23</v>
      </c>
      <c r="C1339">
        <v>45903</v>
      </c>
      <c r="D1339">
        <v>503.79</v>
      </c>
      <c r="E1339">
        <v>507.79</v>
      </c>
      <c r="F1339">
        <v>502.32</v>
      </c>
      <c r="G1339">
        <v>505.35</v>
      </c>
      <c r="H1339">
        <v>505.12</v>
      </c>
    </row>
    <row r="1340" spans="1:8" x14ac:dyDescent="0.3">
      <c r="A1340" t="s">
        <v>1437</v>
      </c>
      <c r="B1340" t="s">
        <v>23</v>
      </c>
      <c r="C1340">
        <v>45904</v>
      </c>
      <c r="D1340">
        <v>504.3</v>
      </c>
      <c r="E1340">
        <v>508.15</v>
      </c>
      <c r="F1340">
        <v>503.15</v>
      </c>
      <c r="G1340">
        <v>507.98</v>
      </c>
      <c r="H1340">
        <v>505.35</v>
      </c>
    </row>
    <row r="1341" spans="1:8" x14ac:dyDescent="0.3">
      <c r="A1341" t="s">
        <v>1438</v>
      </c>
      <c r="B1341" t="s">
        <v>23</v>
      </c>
      <c r="C1341">
        <v>45905</v>
      </c>
      <c r="D1341">
        <v>509.07</v>
      </c>
      <c r="E1341">
        <v>511.97</v>
      </c>
      <c r="F1341">
        <v>492.37</v>
      </c>
      <c r="G1341">
        <v>495</v>
      </c>
      <c r="H1341">
        <v>507.98</v>
      </c>
    </row>
    <row r="1342" spans="1:8" x14ac:dyDescent="0.3">
      <c r="A1342" t="s">
        <v>1439</v>
      </c>
      <c r="B1342" t="s">
        <v>23</v>
      </c>
      <c r="C1342">
        <v>45908</v>
      </c>
      <c r="D1342">
        <v>498.10500000000002</v>
      </c>
      <c r="E1342">
        <v>501.19499999999999</v>
      </c>
      <c r="F1342">
        <v>495.03</v>
      </c>
      <c r="G1342">
        <v>498.2</v>
      </c>
      <c r="H1342">
        <v>495</v>
      </c>
    </row>
    <row r="1343" spans="1:8" x14ac:dyDescent="0.3">
      <c r="A1343" t="s">
        <v>1440</v>
      </c>
      <c r="B1343" t="s">
        <v>23</v>
      </c>
      <c r="C1343">
        <v>45909</v>
      </c>
      <c r="D1343">
        <v>501.43</v>
      </c>
      <c r="E1343">
        <v>502.25</v>
      </c>
      <c r="F1343">
        <v>497.7</v>
      </c>
      <c r="G1343">
        <v>498.41</v>
      </c>
      <c r="H1343">
        <v>498.2</v>
      </c>
    </row>
    <row r="1344" spans="1:8" x14ac:dyDescent="0.3">
      <c r="A1344" t="s">
        <v>1441</v>
      </c>
      <c r="B1344" t="s">
        <v>23</v>
      </c>
      <c r="C1344">
        <v>45910</v>
      </c>
      <c r="D1344">
        <v>502.98</v>
      </c>
      <c r="E1344">
        <v>503.22989999999999</v>
      </c>
      <c r="F1344">
        <v>496.72</v>
      </c>
      <c r="G1344">
        <v>500.37</v>
      </c>
      <c r="H1344">
        <v>498.41</v>
      </c>
    </row>
    <row r="1345" spans="1:8" x14ac:dyDescent="0.3">
      <c r="A1345" t="s">
        <v>1442</v>
      </c>
      <c r="B1345" t="s">
        <v>23</v>
      </c>
      <c r="C1345">
        <v>45911</v>
      </c>
      <c r="D1345">
        <v>502.25</v>
      </c>
      <c r="E1345">
        <v>503.17</v>
      </c>
      <c r="F1345">
        <v>497.88</v>
      </c>
      <c r="G1345">
        <v>501.01</v>
      </c>
      <c r="H1345">
        <v>500.37</v>
      </c>
    </row>
    <row r="1346" spans="1:8" x14ac:dyDescent="0.3">
      <c r="A1346" t="s">
        <v>1443</v>
      </c>
      <c r="B1346" t="s">
        <v>23</v>
      </c>
      <c r="C1346">
        <v>45912</v>
      </c>
      <c r="D1346">
        <v>506.65</v>
      </c>
      <c r="E1346">
        <v>512.54999999999995</v>
      </c>
      <c r="F1346">
        <v>503.85</v>
      </c>
      <c r="G1346">
        <v>509.9</v>
      </c>
      <c r="H1346">
        <v>501.01</v>
      </c>
    </row>
    <row r="1347" spans="1:8" x14ac:dyDescent="0.3">
      <c r="A1347" t="s">
        <v>1444</v>
      </c>
      <c r="B1347" t="s">
        <v>23</v>
      </c>
      <c r="C1347">
        <v>45915</v>
      </c>
      <c r="D1347">
        <v>508.79</v>
      </c>
      <c r="E1347">
        <v>515.47</v>
      </c>
      <c r="F1347">
        <v>507</v>
      </c>
      <c r="G1347">
        <v>515.36</v>
      </c>
      <c r="H1347">
        <v>509.9</v>
      </c>
    </row>
    <row r="1348" spans="1:8" x14ac:dyDescent="0.3">
      <c r="A1348" t="s">
        <v>1445</v>
      </c>
      <c r="B1348" t="s">
        <v>23</v>
      </c>
      <c r="C1348">
        <v>45916</v>
      </c>
      <c r="D1348">
        <v>516.88</v>
      </c>
      <c r="E1348">
        <v>517.23</v>
      </c>
      <c r="F1348">
        <v>508.6</v>
      </c>
      <c r="G1348">
        <v>509.04</v>
      </c>
      <c r="H1348">
        <v>515.36</v>
      </c>
    </row>
    <row r="1349" spans="1:8" x14ac:dyDescent="0.3">
      <c r="A1349" t="s">
        <v>1446</v>
      </c>
      <c r="B1349" t="s">
        <v>23</v>
      </c>
      <c r="C1349">
        <v>45917</v>
      </c>
      <c r="D1349">
        <v>510.62</v>
      </c>
      <c r="E1349">
        <v>511.29</v>
      </c>
      <c r="F1349">
        <v>505.93</v>
      </c>
      <c r="G1349">
        <v>510.02</v>
      </c>
      <c r="H1349">
        <v>509.04</v>
      </c>
    </row>
    <row r="1350" spans="1:8" x14ac:dyDescent="0.3">
      <c r="A1350" t="s">
        <v>1447</v>
      </c>
      <c r="B1350" t="s">
        <v>23</v>
      </c>
      <c r="C1350">
        <v>45918</v>
      </c>
      <c r="D1350">
        <v>511.49</v>
      </c>
      <c r="E1350">
        <v>513.07000000000005</v>
      </c>
      <c r="F1350">
        <v>507.66</v>
      </c>
      <c r="G1350">
        <v>508.45</v>
      </c>
      <c r="H1350">
        <v>510.02</v>
      </c>
    </row>
    <row r="1351" spans="1:8" x14ac:dyDescent="0.3">
      <c r="A1351" t="s">
        <v>1448</v>
      </c>
      <c r="B1351" t="s">
        <v>23</v>
      </c>
      <c r="C1351">
        <v>45919</v>
      </c>
      <c r="D1351">
        <v>510.56</v>
      </c>
      <c r="E1351">
        <v>519.29999999999995</v>
      </c>
      <c r="F1351">
        <v>510.31</v>
      </c>
      <c r="G1351">
        <v>517.92999999999995</v>
      </c>
      <c r="H1351">
        <v>508.45</v>
      </c>
    </row>
    <row r="1352" spans="1:8" x14ac:dyDescent="0.3">
      <c r="A1352" t="s">
        <v>1449</v>
      </c>
      <c r="B1352" t="s">
        <v>23</v>
      </c>
      <c r="C1352">
        <v>45922</v>
      </c>
      <c r="D1352">
        <v>515.59</v>
      </c>
      <c r="E1352">
        <v>517.74</v>
      </c>
      <c r="F1352">
        <v>512.54499999999996</v>
      </c>
      <c r="G1352">
        <v>514.45000000000005</v>
      </c>
      <c r="H1352">
        <v>517.92999999999995</v>
      </c>
    </row>
    <row r="1353" spans="1:8" x14ac:dyDescent="0.3">
      <c r="A1353" t="s">
        <v>1450</v>
      </c>
      <c r="B1353" t="s">
        <v>23</v>
      </c>
      <c r="C1353">
        <v>45923</v>
      </c>
      <c r="D1353">
        <v>513.79999999999995</v>
      </c>
      <c r="E1353">
        <v>514.58989999999994</v>
      </c>
      <c r="F1353">
        <v>507.31</v>
      </c>
      <c r="G1353">
        <v>509.23</v>
      </c>
      <c r="H1353">
        <v>514.45000000000005</v>
      </c>
    </row>
    <row r="1354" spans="1:8" x14ac:dyDescent="0.3">
      <c r="A1354" t="s">
        <v>1451</v>
      </c>
      <c r="B1354" t="s">
        <v>23</v>
      </c>
      <c r="C1354">
        <v>45924</v>
      </c>
      <c r="D1354">
        <v>510.38</v>
      </c>
      <c r="E1354">
        <v>512.48</v>
      </c>
      <c r="F1354">
        <v>506.92</v>
      </c>
      <c r="G1354">
        <v>510.15</v>
      </c>
      <c r="H1354">
        <v>509.23</v>
      </c>
    </row>
    <row r="1355" spans="1:8" x14ac:dyDescent="0.3">
      <c r="A1355" t="s">
        <v>1452</v>
      </c>
      <c r="B1355" t="s">
        <v>23</v>
      </c>
      <c r="C1355">
        <v>45925</v>
      </c>
      <c r="D1355">
        <v>508.3</v>
      </c>
      <c r="E1355">
        <v>510.01</v>
      </c>
      <c r="F1355">
        <v>505.04</v>
      </c>
      <c r="G1355">
        <v>507.03</v>
      </c>
      <c r="H1355">
        <v>510.15</v>
      </c>
    </row>
    <row r="1356" spans="1:8" x14ac:dyDescent="0.3">
      <c r="A1356" t="s">
        <v>1453</v>
      </c>
      <c r="B1356" t="s">
        <v>23</v>
      </c>
      <c r="C1356">
        <v>45926</v>
      </c>
      <c r="D1356">
        <v>510.06</v>
      </c>
      <c r="E1356">
        <v>513.94000000000005</v>
      </c>
      <c r="F1356">
        <v>506.62</v>
      </c>
      <c r="G1356">
        <v>511.46</v>
      </c>
      <c r="H1356">
        <v>507.03</v>
      </c>
    </row>
    <row r="1357" spans="1:8" x14ac:dyDescent="0.3">
      <c r="A1357" t="s">
        <v>1454</v>
      </c>
      <c r="B1357" t="s">
        <v>23</v>
      </c>
      <c r="C1357">
        <v>45929</v>
      </c>
      <c r="D1357">
        <v>511.5</v>
      </c>
      <c r="E1357">
        <v>516.84500000000003</v>
      </c>
      <c r="F1357">
        <v>508.88</v>
      </c>
      <c r="G1357">
        <v>514.6</v>
      </c>
      <c r="H1357">
        <v>511.46</v>
      </c>
    </row>
    <row r="1358" spans="1:8" x14ac:dyDescent="0.3">
      <c r="A1358" t="s">
        <v>96</v>
      </c>
      <c r="B1358" t="s">
        <v>23</v>
      </c>
      <c r="C1358">
        <v>45930</v>
      </c>
      <c r="D1358">
        <v>513.24</v>
      </c>
      <c r="E1358">
        <v>518.16</v>
      </c>
      <c r="F1358">
        <v>509.66</v>
      </c>
      <c r="G1358">
        <v>517.95000000000005</v>
      </c>
      <c r="H1358">
        <v>514.6</v>
      </c>
    </row>
    <row r="1359" spans="1:8" x14ac:dyDescent="0.3">
      <c r="A1359" t="s">
        <v>1455</v>
      </c>
      <c r="B1359" t="s">
        <v>23</v>
      </c>
      <c r="C1359">
        <v>45931</v>
      </c>
      <c r="D1359">
        <v>514.79999999999995</v>
      </c>
      <c r="E1359">
        <v>520.505</v>
      </c>
      <c r="F1359">
        <v>511.69</v>
      </c>
      <c r="G1359">
        <v>519.71</v>
      </c>
      <c r="H1359">
        <v>517.95000000000005</v>
      </c>
    </row>
    <row r="1360" spans="1:8" x14ac:dyDescent="0.3">
      <c r="A1360" t="s">
        <v>1456</v>
      </c>
      <c r="B1360" t="s">
        <v>23</v>
      </c>
      <c r="C1360">
        <v>45932</v>
      </c>
      <c r="D1360">
        <v>517.64</v>
      </c>
      <c r="E1360">
        <v>521.6</v>
      </c>
      <c r="F1360">
        <v>510.67910000000001</v>
      </c>
      <c r="G1360">
        <v>515.74</v>
      </c>
      <c r="H1360">
        <v>519.71</v>
      </c>
    </row>
    <row r="1361" spans="1:8" x14ac:dyDescent="0.3">
      <c r="A1361" t="s">
        <v>1457</v>
      </c>
      <c r="B1361" t="s">
        <v>23</v>
      </c>
      <c r="C1361">
        <v>45933</v>
      </c>
      <c r="D1361">
        <v>517.1</v>
      </c>
      <c r="E1361">
        <v>520.49</v>
      </c>
      <c r="F1361">
        <v>515</v>
      </c>
      <c r="G1361">
        <v>517.35</v>
      </c>
      <c r="H1361">
        <v>515.74</v>
      </c>
    </row>
    <row r="1362" spans="1:8" x14ac:dyDescent="0.3">
      <c r="A1362" t="s">
        <v>1458</v>
      </c>
      <c r="B1362" t="s">
        <v>23</v>
      </c>
      <c r="C1362">
        <v>45936</v>
      </c>
      <c r="D1362">
        <v>518.61</v>
      </c>
      <c r="E1362">
        <v>531.03</v>
      </c>
      <c r="F1362">
        <v>518.20000000000005</v>
      </c>
      <c r="G1362">
        <v>528.57000000000005</v>
      </c>
      <c r="H1362">
        <v>517.35</v>
      </c>
    </row>
    <row r="1363" spans="1:8" x14ac:dyDescent="0.3">
      <c r="A1363" t="s">
        <v>1459</v>
      </c>
      <c r="B1363" t="s">
        <v>23</v>
      </c>
      <c r="C1363">
        <v>45937</v>
      </c>
      <c r="D1363">
        <v>528.28499999999997</v>
      </c>
      <c r="E1363">
        <v>529.79999999999995</v>
      </c>
      <c r="F1363">
        <v>521.44000000000005</v>
      </c>
      <c r="G1363">
        <v>523.98</v>
      </c>
      <c r="H1363">
        <v>528.57000000000005</v>
      </c>
    </row>
    <row r="1364" spans="1:8" x14ac:dyDescent="0.3">
      <c r="A1364" t="s">
        <v>1460</v>
      </c>
      <c r="B1364" t="s">
        <v>23</v>
      </c>
      <c r="C1364">
        <v>45938</v>
      </c>
      <c r="D1364">
        <v>523.28</v>
      </c>
      <c r="E1364">
        <v>526.95000000000005</v>
      </c>
      <c r="F1364">
        <v>523.09</v>
      </c>
      <c r="G1364">
        <v>524.85</v>
      </c>
      <c r="H1364">
        <v>523.98</v>
      </c>
    </row>
    <row r="1365" spans="1:8" x14ac:dyDescent="0.3">
      <c r="A1365" t="s">
        <v>1461</v>
      </c>
      <c r="B1365" t="s">
        <v>23</v>
      </c>
      <c r="C1365">
        <v>45939</v>
      </c>
      <c r="D1365">
        <v>522.33500000000004</v>
      </c>
      <c r="E1365">
        <v>524.32500000000005</v>
      </c>
      <c r="F1365">
        <v>517.4</v>
      </c>
      <c r="G1365">
        <v>522.4</v>
      </c>
      <c r="H1365">
        <v>524.85</v>
      </c>
    </row>
    <row r="1366" spans="1:8" x14ac:dyDescent="0.3">
      <c r="A1366" t="s">
        <v>1462</v>
      </c>
      <c r="B1366" t="s">
        <v>23</v>
      </c>
      <c r="C1366">
        <v>45940</v>
      </c>
      <c r="D1366">
        <v>519.64</v>
      </c>
      <c r="E1366">
        <v>523.58000000000004</v>
      </c>
      <c r="F1366">
        <v>509.63</v>
      </c>
      <c r="G1366">
        <v>510.96</v>
      </c>
      <c r="H1366">
        <v>522.4</v>
      </c>
    </row>
    <row r="1367" spans="1:8" x14ac:dyDescent="0.3">
      <c r="A1367" t="s">
        <v>1463</v>
      </c>
      <c r="B1367" t="s">
        <v>23</v>
      </c>
      <c r="C1367">
        <v>45943</v>
      </c>
      <c r="D1367">
        <v>516.41</v>
      </c>
      <c r="E1367">
        <v>516.41</v>
      </c>
      <c r="F1367">
        <v>511.68</v>
      </c>
      <c r="G1367">
        <v>514.04999999999995</v>
      </c>
      <c r="H1367">
        <v>510.96</v>
      </c>
    </row>
    <row r="1368" spans="1:8" x14ac:dyDescent="0.3">
      <c r="A1368" t="s">
        <v>1464</v>
      </c>
      <c r="B1368" t="s">
        <v>23</v>
      </c>
      <c r="C1368">
        <v>45944</v>
      </c>
      <c r="D1368">
        <v>510.22500000000002</v>
      </c>
      <c r="E1368">
        <v>515.28200000000004</v>
      </c>
      <c r="F1368">
        <v>506</v>
      </c>
      <c r="G1368">
        <v>513.57000000000005</v>
      </c>
      <c r="H1368">
        <v>514.04999999999995</v>
      </c>
    </row>
    <row r="1369" spans="1:8" x14ac:dyDescent="0.3">
      <c r="A1369" t="s">
        <v>1465</v>
      </c>
      <c r="B1369" t="s">
        <v>23</v>
      </c>
      <c r="C1369">
        <v>45945</v>
      </c>
      <c r="D1369">
        <v>514.95500000000004</v>
      </c>
      <c r="E1369">
        <v>517.19000000000005</v>
      </c>
      <c r="F1369">
        <v>510</v>
      </c>
      <c r="G1369">
        <v>513.42999999999995</v>
      </c>
      <c r="H1369">
        <v>513.57000000000005</v>
      </c>
    </row>
    <row r="1370" spans="1:8" x14ac:dyDescent="0.3">
      <c r="A1370" t="s">
        <v>1466</v>
      </c>
      <c r="B1370" t="s">
        <v>23</v>
      </c>
      <c r="C1370">
        <v>45946</v>
      </c>
      <c r="D1370">
        <v>512.58000000000004</v>
      </c>
      <c r="E1370">
        <v>516.85</v>
      </c>
      <c r="F1370">
        <v>508.13</v>
      </c>
      <c r="G1370">
        <v>511.61</v>
      </c>
      <c r="H1370">
        <v>513.42999999999995</v>
      </c>
    </row>
    <row r="1371" spans="1:8" x14ac:dyDescent="0.3">
      <c r="A1371" t="s">
        <v>1467</v>
      </c>
      <c r="B1371" t="s">
        <v>23</v>
      </c>
      <c r="C1371">
        <v>45947</v>
      </c>
      <c r="D1371">
        <v>509.04</v>
      </c>
      <c r="E1371">
        <v>515.48</v>
      </c>
      <c r="F1371">
        <v>507.31</v>
      </c>
      <c r="G1371">
        <v>513.58000000000004</v>
      </c>
      <c r="H1371">
        <v>511.61</v>
      </c>
    </row>
    <row r="1372" spans="1:8" x14ac:dyDescent="0.3">
      <c r="A1372" t="s">
        <v>1468</v>
      </c>
      <c r="B1372" t="s">
        <v>23</v>
      </c>
      <c r="C1372">
        <v>45950</v>
      </c>
      <c r="D1372">
        <v>514.61</v>
      </c>
      <c r="E1372">
        <v>518.70000000000005</v>
      </c>
      <c r="F1372">
        <v>513.42999999999995</v>
      </c>
      <c r="G1372">
        <v>516.79</v>
      </c>
      <c r="H1372">
        <v>513.58000000000004</v>
      </c>
    </row>
    <row r="1373" spans="1:8" x14ac:dyDescent="0.3">
      <c r="A1373" t="s">
        <v>1469</v>
      </c>
      <c r="B1373" t="s">
        <v>23</v>
      </c>
      <c r="C1373">
        <v>45951</v>
      </c>
      <c r="D1373">
        <v>517.5</v>
      </c>
      <c r="E1373">
        <v>518.69000000000005</v>
      </c>
      <c r="F1373">
        <v>513.04</v>
      </c>
      <c r="G1373">
        <v>517.66</v>
      </c>
      <c r="H1373">
        <v>516.79</v>
      </c>
    </row>
    <row r="1374" spans="1:8" x14ac:dyDescent="0.3">
      <c r="A1374" t="s">
        <v>1470</v>
      </c>
      <c r="B1374" t="s">
        <v>23</v>
      </c>
      <c r="C1374">
        <v>45952</v>
      </c>
      <c r="D1374">
        <v>521.15</v>
      </c>
      <c r="E1374">
        <v>525.23</v>
      </c>
      <c r="F1374">
        <v>517.71</v>
      </c>
      <c r="G1374">
        <v>520.54</v>
      </c>
      <c r="H1374">
        <v>517.66</v>
      </c>
    </row>
    <row r="1375" spans="1:8" x14ac:dyDescent="0.3">
      <c r="A1375" t="s">
        <v>1471</v>
      </c>
      <c r="B1375" t="s">
        <v>23</v>
      </c>
      <c r="C1375">
        <v>45953</v>
      </c>
      <c r="D1375">
        <v>522.46</v>
      </c>
      <c r="E1375">
        <v>523.95000000000005</v>
      </c>
      <c r="F1375">
        <v>518.61</v>
      </c>
      <c r="G1375">
        <v>520.55999999999995</v>
      </c>
      <c r="H1375">
        <v>520.54</v>
      </c>
    </row>
    <row r="1376" spans="1:8" x14ac:dyDescent="0.3">
      <c r="A1376" t="s">
        <v>1472</v>
      </c>
      <c r="B1376" t="s">
        <v>23</v>
      </c>
      <c r="C1376">
        <v>45954</v>
      </c>
      <c r="D1376">
        <v>522.79</v>
      </c>
      <c r="E1376">
        <v>525.34500000000003</v>
      </c>
      <c r="F1376">
        <v>520.71</v>
      </c>
      <c r="G1376">
        <v>523.61</v>
      </c>
      <c r="H1376">
        <v>520.55999999999995</v>
      </c>
    </row>
    <row r="1377" spans="1:8" x14ac:dyDescent="0.3">
      <c r="A1377" t="s">
        <v>1473</v>
      </c>
      <c r="B1377" t="s">
        <v>23</v>
      </c>
      <c r="C1377">
        <v>45957</v>
      </c>
      <c r="D1377">
        <v>531.78</v>
      </c>
      <c r="E1377">
        <v>534.58000000000004</v>
      </c>
      <c r="F1377">
        <v>529.01</v>
      </c>
      <c r="G1377">
        <v>531.52</v>
      </c>
      <c r="H1377">
        <v>523.61</v>
      </c>
    </row>
    <row r="1378" spans="1:8" x14ac:dyDescent="0.3">
      <c r="A1378" t="s">
        <v>1474</v>
      </c>
      <c r="B1378" t="s">
        <v>23</v>
      </c>
      <c r="C1378">
        <v>45958</v>
      </c>
      <c r="D1378">
        <v>550</v>
      </c>
      <c r="E1378">
        <v>553.72</v>
      </c>
      <c r="F1378">
        <v>540.77</v>
      </c>
      <c r="G1378">
        <v>542.07000000000005</v>
      </c>
      <c r="H1378">
        <v>531.52</v>
      </c>
    </row>
    <row r="1379" spans="1:8" x14ac:dyDescent="0.3">
      <c r="A1379" t="s">
        <v>1475</v>
      </c>
      <c r="B1379" t="s">
        <v>23</v>
      </c>
      <c r="C1379">
        <v>45959</v>
      </c>
      <c r="D1379">
        <v>544.94000000000005</v>
      </c>
      <c r="E1379">
        <v>546.27</v>
      </c>
      <c r="F1379">
        <v>536.7287</v>
      </c>
      <c r="G1379">
        <v>541.54999999999995</v>
      </c>
      <c r="H1379">
        <v>542.07000000000005</v>
      </c>
    </row>
    <row r="1380" spans="1:8" x14ac:dyDescent="0.3">
      <c r="A1380" t="s">
        <v>1476</v>
      </c>
      <c r="B1380" t="s">
        <v>23</v>
      </c>
      <c r="C1380">
        <v>45960</v>
      </c>
      <c r="D1380">
        <v>530.48</v>
      </c>
      <c r="E1380">
        <v>534.97</v>
      </c>
      <c r="F1380">
        <v>522.12</v>
      </c>
      <c r="G1380">
        <v>525.76</v>
      </c>
      <c r="H1380">
        <v>541.54999999999995</v>
      </c>
    </row>
    <row r="1381" spans="1:8" x14ac:dyDescent="0.3">
      <c r="A1381" t="s">
        <v>1477</v>
      </c>
      <c r="B1381" t="s">
        <v>23</v>
      </c>
      <c r="C1381">
        <v>45961</v>
      </c>
      <c r="D1381">
        <v>528.875</v>
      </c>
      <c r="E1381">
        <v>529.32000000000005</v>
      </c>
      <c r="F1381">
        <v>515.1</v>
      </c>
      <c r="G1381">
        <v>517.80999999999995</v>
      </c>
      <c r="H1381">
        <v>525.76</v>
      </c>
    </row>
    <row r="1382" spans="1:8" x14ac:dyDescent="0.3">
      <c r="A1382" t="s">
        <v>1478</v>
      </c>
      <c r="B1382" t="s">
        <v>23</v>
      </c>
      <c r="C1382">
        <v>45964</v>
      </c>
      <c r="D1382">
        <v>519.80499999999995</v>
      </c>
      <c r="E1382">
        <v>524.96</v>
      </c>
      <c r="F1382">
        <v>514.59</v>
      </c>
      <c r="G1382">
        <v>517.03</v>
      </c>
      <c r="H1382">
        <v>517.80999999999995</v>
      </c>
    </row>
    <row r="1383" spans="1:8" x14ac:dyDescent="0.3">
      <c r="A1383" t="s">
        <v>1479</v>
      </c>
      <c r="B1383" t="s">
        <v>23</v>
      </c>
      <c r="C1383">
        <v>45965</v>
      </c>
      <c r="D1383">
        <v>511.76</v>
      </c>
      <c r="E1383">
        <v>515.54999999999995</v>
      </c>
      <c r="F1383">
        <v>507.84</v>
      </c>
      <c r="G1383">
        <v>514.33000000000004</v>
      </c>
      <c r="H1383">
        <v>517.03</v>
      </c>
    </row>
    <row r="1384" spans="1:8" x14ac:dyDescent="0.3">
      <c r="A1384" t="s">
        <v>1480</v>
      </c>
      <c r="B1384" t="s">
        <v>23</v>
      </c>
      <c r="C1384">
        <v>45966</v>
      </c>
      <c r="D1384">
        <v>513.29999999999995</v>
      </c>
      <c r="E1384">
        <v>514.83000000000004</v>
      </c>
      <c r="F1384">
        <v>506.57499999999999</v>
      </c>
      <c r="G1384">
        <v>507.16</v>
      </c>
      <c r="H1384">
        <v>514.33000000000004</v>
      </c>
    </row>
    <row r="1385" spans="1:8" x14ac:dyDescent="0.3">
      <c r="A1385" t="s">
        <v>1481</v>
      </c>
      <c r="B1385" t="s">
        <v>23</v>
      </c>
      <c r="C1385">
        <v>45967</v>
      </c>
      <c r="D1385">
        <v>505.66</v>
      </c>
      <c r="E1385">
        <v>505.7</v>
      </c>
      <c r="F1385">
        <v>495.81</v>
      </c>
      <c r="G1385">
        <v>497.1</v>
      </c>
      <c r="H1385">
        <v>507.16</v>
      </c>
    </row>
    <row r="1386" spans="1:8" x14ac:dyDescent="0.3">
      <c r="A1386" t="s">
        <v>1482</v>
      </c>
      <c r="B1386" t="s">
        <v>23</v>
      </c>
      <c r="C1386">
        <v>45968</v>
      </c>
      <c r="D1386">
        <v>496.94499999999999</v>
      </c>
      <c r="E1386">
        <v>499.37700000000001</v>
      </c>
      <c r="F1386">
        <v>493.25</v>
      </c>
      <c r="G1386">
        <v>496.82</v>
      </c>
      <c r="H1386">
        <v>497.1</v>
      </c>
    </row>
    <row r="1387" spans="1:8" x14ac:dyDescent="0.3">
      <c r="A1387" t="s">
        <v>1483</v>
      </c>
      <c r="B1387" t="s">
        <v>23</v>
      </c>
      <c r="C1387">
        <v>45971</v>
      </c>
      <c r="D1387">
        <v>500.03500000000003</v>
      </c>
      <c r="E1387">
        <v>506.85</v>
      </c>
      <c r="F1387">
        <v>498.8</v>
      </c>
      <c r="G1387">
        <v>506</v>
      </c>
      <c r="H1387">
        <v>496.82</v>
      </c>
    </row>
    <row r="1388" spans="1:8" x14ac:dyDescent="0.3">
      <c r="A1388" t="s">
        <v>1484</v>
      </c>
      <c r="B1388" t="s">
        <v>23</v>
      </c>
      <c r="C1388">
        <v>45972</v>
      </c>
      <c r="D1388">
        <v>504.8</v>
      </c>
      <c r="E1388">
        <v>509.6</v>
      </c>
      <c r="F1388">
        <v>502.34879999999998</v>
      </c>
      <c r="G1388">
        <v>508.68</v>
      </c>
      <c r="H1388">
        <v>506</v>
      </c>
    </row>
    <row r="1389" spans="1:8" x14ac:dyDescent="0.3">
      <c r="A1389" t="s">
        <v>1485</v>
      </c>
      <c r="B1389" t="s">
        <v>23</v>
      </c>
      <c r="C1389">
        <v>45973</v>
      </c>
      <c r="D1389">
        <v>509.35500000000002</v>
      </c>
      <c r="E1389">
        <v>511.67</v>
      </c>
      <c r="F1389">
        <v>499.12009999999998</v>
      </c>
      <c r="G1389">
        <v>511.14</v>
      </c>
      <c r="H1389">
        <v>508.68</v>
      </c>
    </row>
    <row r="1390" spans="1:8" x14ac:dyDescent="0.3">
      <c r="A1390" t="s">
        <v>1486</v>
      </c>
      <c r="B1390" t="s">
        <v>23</v>
      </c>
      <c r="C1390">
        <v>45974</v>
      </c>
      <c r="D1390">
        <v>510.31</v>
      </c>
      <c r="E1390">
        <v>513.5</v>
      </c>
      <c r="F1390">
        <v>501.29</v>
      </c>
      <c r="G1390">
        <v>503.29</v>
      </c>
      <c r="H1390">
        <v>511.14</v>
      </c>
    </row>
    <row r="1391" spans="1:8" x14ac:dyDescent="0.3">
      <c r="A1391" t="s">
        <v>1487</v>
      </c>
      <c r="B1391" t="s">
        <v>23</v>
      </c>
      <c r="C1391">
        <v>45975</v>
      </c>
      <c r="D1391">
        <v>498.23</v>
      </c>
      <c r="E1391">
        <v>511.6</v>
      </c>
      <c r="F1391">
        <v>497.44</v>
      </c>
      <c r="G1391">
        <v>510.18</v>
      </c>
      <c r="H1391">
        <v>503.29</v>
      </c>
    </row>
    <row r="1392" spans="1:8" x14ac:dyDescent="0.3">
      <c r="A1392" t="s">
        <v>1488</v>
      </c>
      <c r="B1392" t="s">
        <v>23</v>
      </c>
      <c r="C1392">
        <v>45978</v>
      </c>
      <c r="D1392">
        <v>508.45</v>
      </c>
      <c r="E1392">
        <v>512.12</v>
      </c>
      <c r="F1392">
        <v>504.91</v>
      </c>
      <c r="G1392">
        <v>507.49</v>
      </c>
      <c r="H1392">
        <v>510.18</v>
      </c>
    </row>
    <row r="1393" spans="1:8" x14ac:dyDescent="0.3">
      <c r="A1393" t="s">
        <v>1489</v>
      </c>
      <c r="B1393" t="s">
        <v>23</v>
      </c>
      <c r="C1393">
        <v>45979</v>
      </c>
      <c r="D1393">
        <v>495.36500000000001</v>
      </c>
      <c r="E1393">
        <v>502.98</v>
      </c>
      <c r="F1393">
        <v>486.78</v>
      </c>
      <c r="G1393">
        <v>493.79</v>
      </c>
      <c r="H1393">
        <v>507.49</v>
      </c>
    </row>
    <row r="1394" spans="1:8" x14ac:dyDescent="0.3">
      <c r="A1394" t="s">
        <v>1490</v>
      </c>
      <c r="B1394" t="s">
        <v>23</v>
      </c>
      <c r="C1394">
        <v>45980</v>
      </c>
      <c r="D1394">
        <v>490.1</v>
      </c>
      <c r="E1394">
        <v>495.18720000000002</v>
      </c>
      <c r="F1394">
        <v>482.83</v>
      </c>
      <c r="G1394">
        <v>487.12</v>
      </c>
      <c r="H1394">
        <v>493.79</v>
      </c>
    </row>
    <row r="1395" spans="1:8" x14ac:dyDescent="0.3">
      <c r="A1395" t="s">
        <v>1491</v>
      </c>
      <c r="B1395" t="s">
        <v>23</v>
      </c>
      <c r="C1395">
        <v>45981</v>
      </c>
      <c r="D1395">
        <v>492.71</v>
      </c>
      <c r="E1395">
        <v>493.57</v>
      </c>
      <c r="F1395">
        <v>475.5</v>
      </c>
      <c r="G1395">
        <v>478.43</v>
      </c>
      <c r="H1395">
        <v>487.12</v>
      </c>
    </row>
    <row r="1396" spans="1:8" x14ac:dyDescent="0.3">
      <c r="A1396" t="s">
        <v>1492</v>
      </c>
      <c r="B1396" t="s">
        <v>23</v>
      </c>
      <c r="C1396">
        <v>45982</v>
      </c>
      <c r="D1396">
        <v>478.5</v>
      </c>
      <c r="E1396">
        <v>478.92</v>
      </c>
      <c r="F1396">
        <v>468.27</v>
      </c>
      <c r="G1396">
        <v>472.12</v>
      </c>
      <c r="H1396">
        <v>478.43</v>
      </c>
    </row>
    <row r="1397" spans="1:8" x14ac:dyDescent="0.3">
      <c r="A1397" t="s">
        <v>1493</v>
      </c>
      <c r="B1397" t="s">
        <v>23</v>
      </c>
      <c r="C1397">
        <v>45985</v>
      </c>
      <c r="D1397">
        <v>475</v>
      </c>
      <c r="E1397">
        <v>476.9</v>
      </c>
      <c r="F1397">
        <v>468.02</v>
      </c>
      <c r="G1397">
        <v>474</v>
      </c>
      <c r="H1397">
        <v>472.12</v>
      </c>
    </row>
    <row r="1398" spans="1:8" x14ac:dyDescent="0.3">
      <c r="A1398" t="s">
        <v>1494</v>
      </c>
      <c r="B1398" t="s">
        <v>23</v>
      </c>
      <c r="C1398">
        <v>45986</v>
      </c>
      <c r="D1398">
        <v>474.07</v>
      </c>
      <c r="E1398">
        <v>479.15</v>
      </c>
      <c r="F1398">
        <v>464.89</v>
      </c>
      <c r="G1398">
        <v>476.99</v>
      </c>
      <c r="H1398">
        <v>474</v>
      </c>
    </row>
    <row r="1399" spans="1:8" x14ac:dyDescent="0.3">
      <c r="A1399" t="s">
        <v>1495</v>
      </c>
      <c r="B1399" t="s">
        <v>23</v>
      </c>
      <c r="C1399">
        <v>45987</v>
      </c>
      <c r="D1399">
        <v>486.31</v>
      </c>
      <c r="E1399">
        <v>488.31</v>
      </c>
      <c r="F1399">
        <v>481.2</v>
      </c>
      <c r="G1399">
        <v>485.5</v>
      </c>
      <c r="H1399">
        <v>476.99</v>
      </c>
    </row>
    <row r="1400" spans="1:8" x14ac:dyDescent="0.3">
      <c r="A1400" t="s">
        <v>1496</v>
      </c>
      <c r="B1400" t="s">
        <v>23</v>
      </c>
      <c r="C1400">
        <v>45989</v>
      </c>
      <c r="D1400">
        <v>487.59500000000003</v>
      </c>
      <c r="E1400">
        <v>492.63</v>
      </c>
      <c r="F1400">
        <v>486.65</v>
      </c>
      <c r="G1400">
        <v>492.01</v>
      </c>
      <c r="H1400">
        <v>485.5</v>
      </c>
    </row>
    <row r="1401" spans="1:8" x14ac:dyDescent="0.3">
      <c r="A1401" t="s">
        <v>1497</v>
      </c>
      <c r="B1401" t="s">
        <v>23</v>
      </c>
      <c r="C1401">
        <v>45992</v>
      </c>
      <c r="D1401">
        <v>488.435</v>
      </c>
      <c r="E1401">
        <v>489.85989999999998</v>
      </c>
      <c r="F1401">
        <v>484.64749999999998</v>
      </c>
      <c r="G1401">
        <v>486.74</v>
      </c>
      <c r="H1401">
        <v>492.01</v>
      </c>
    </row>
    <row r="1402" spans="1:8" x14ac:dyDescent="0.3">
      <c r="A1402" t="s">
        <v>1498</v>
      </c>
      <c r="B1402" t="s">
        <v>23</v>
      </c>
      <c r="C1402">
        <v>45993</v>
      </c>
      <c r="D1402">
        <v>486.71499999999997</v>
      </c>
      <c r="E1402">
        <v>493.49990000000003</v>
      </c>
      <c r="F1402">
        <v>486.32</v>
      </c>
      <c r="G1402">
        <v>490</v>
      </c>
      <c r="H1402">
        <v>486.74</v>
      </c>
    </row>
    <row r="1403" spans="1:8" x14ac:dyDescent="0.3">
      <c r="A1403" t="s">
        <v>1499</v>
      </c>
      <c r="B1403" t="s">
        <v>23</v>
      </c>
      <c r="C1403">
        <v>45994</v>
      </c>
      <c r="D1403">
        <v>476.32</v>
      </c>
      <c r="E1403">
        <v>484.24</v>
      </c>
      <c r="F1403">
        <v>475.2</v>
      </c>
      <c r="G1403">
        <v>477.73</v>
      </c>
      <c r="H1403">
        <v>490</v>
      </c>
    </row>
    <row r="1404" spans="1:8" x14ac:dyDescent="0.3">
      <c r="A1404" t="s">
        <v>1500</v>
      </c>
      <c r="B1404" t="s">
        <v>23</v>
      </c>
      <c r="C1404">
        <v>45995</v>
      </c>
      <c r="D1404">
        <v>479.76</v>
      </c>
      <c r="E1404">
        <v>481.322</v>
      </c>
      <c r="F1404">
        <v>476.49</v>
      </c>
      <c r="G1404">
        <v>480.84</v>
      </c>
      <c r="H1404">
        <v>477.73</v>
      </c>
    </row>
    <row r="1405" spans="1:8" x14ac:dyDescent="0.3">
      <c r="A1405" t="s">
        <v>1501</v>
      </c>
      <c r="B1405" t="s">
        <v>23</v>
      </c>
      <c r="C1405">
        <v>45996</v>
      </c>
      <c r="D1405">
        <v>482.51499999999999</v>
      </c>
      <c r="E1405">
        <v>483.4</v>
      </c>
      <c r="F1405">
        <v>478.88010000000003</v>
      </c>
      <c r="G1405">
        <v>483.16</v>
      </c>
      <c r="H1405">
        <v>480.84</v>
      </c>
    </row>
    <row r="1406" spans="1:8" x14ac:dyDescent="0.3">
      <c r="A1406" t="s">
        <v>1502</v>
      </c>
      <c r="B1406" t="s">
        <v>23</v>
      </c>
      <c r="C1406">
        <v>45999</v>
      </c>
      <c r="D1406">
        <v>484.88499999999999</v>
      </c>
      <c r="E1406">
        <v>492.3</v>
      </c>
      <c r="F1406">
        <v>484.38</v>
      </c>
      <c r="G1406">
        <v>491.02</v>
      </c>
      <c r="H1406">
        <v>483.16</v>
      </c>
    </row>
    <row r="1407" spans="1:8" x14ac:dyDescent="0.3">
      <c r="A1407" t="s">
        <v>1503</v>
      </c>
      <c r="B1407" t="s">
        <v>23</v>
      </c>
      <c r="C1407">
        <v>46000</v>
      </c>
      <c r="D1407">
        <v>489.1</v>
      </c>
      <c r="E1407">
        <v>492.12</v>
      </c>
      <c r="F1407">
        <v>488.50009999999997</v>
      </c>
      <c r="G1407">
        <v>492.02</v>
      </c>
      <c r="H1407">
        <v>491.02</v>
      </c>
    </row>
    <row r="1408" spans="1:8" x14ac:dyDescent="0.3">
      <c r="A1408" t="s">
        <v>1504</v>
      </c>
      <c r="B1408" t="s">
        <v>23</v>
      </c>
      <c r="C1408">
        <v>46001</v>
      </c>
      <c r="D1408">
        <v>484.03</v>
      </c>
      <c r="E1408">
        <v>484.25</v>
      </c>
      <c r="F1408">
        <v>475.08</v>
      </c>
      <c r="G1408">
        <v>478.56</v>
      </c>
      <c r="H1408">
        <v>492.02</v>
      </c>
    </row>
    <row r="1409" spans="1:8" x14ac:dyDescent="0.3">
      <c r="A1409" t="s">
        <v>1505</v>
      </c>
      <c r="B1409" t="s">
        <v>23</v>
      </c>
      <c r="C1409">
        <v>46002</v>
      </c>
      <c r="D1409">
        <v>476.63</v>
      </c>
      <c r="E1409">
        <v>486.03</v>
      </c>
      <c r="F1409">
        <v>475.86</v>
      </c>
      <c r="G1409">
        <v>483.47</v>
      </c>
      <c r="H1409">
        <v>478.56</v>
      </c>
    </row>
    <row r="1410" spans="1:8" x14ac:dyDescent="0.3">
      <c r="A1410" t="s">
        <v>1506</v>
      </c>
      <c r="B1410" t="s">
        <v>23</v>
      </c>
      <c r="C1410">
        <v>46003</v>
      </c>
      <c r="D1410">
        <v>479.82</v>
      </c>
      <c r="E1410">
        <v>482.45</v>
      </c>
      <c r="F1410">
        <v>476.34</v>
      </c>
      <c r="G1410">
        <v>478.53</v>
      </c>
      <c r="H1410">
        <v>483.47</v>
      </c>
    </row>
    <row r="1411" spans="1:8" x14ac:dyDescent="0.3">
      <c r="A1411" t="s">
        <v>1507</v>
      </c>
      <c r="B1411" t="s">
        <v>23</v>
      </c>
      <c r="C1411">
        <v>46006</v>
      </c>
      <c r="D1411">
        <v>480.1</v>
      </c>
      <c r="E1411">
        <v>480.72050000000002</v>
      </c>
      <c r="F1411">
        <v>472.52</v>
      </c>
      <c r="G1411">
        <v>474.82</v>
      </c>
      <c r="H1411">
        <v>478.53</v>
      </c>
    </row>
    <row r="1412" spans="1:8" x14ac:dyDescent="0.3">
      <c r="A1412" t="s">
        <v>1508</v>
      </c>
      <c r="B1412" t="s">
        <v>23</v>
      </c>
      <c r="C1412">
        <v>46007</v>
      </c>
      <c r="D1412">
        <v>471.90499999999997</v>
      </c>
      <c r="E1412">
        <v>477.89</v>
      </c>
      <c r="F1412">
        <v>470.88</v>
      </c>
      <c r="G1412">
        <v>476.39</v>
      </c>
      <c r="H1412">
        <v>474.82</v>
      </c>
    </row>
    <row r="1413" spans="1:8" x14ac:dyDescent="0.3">
      <c r="A1413" t="s">
        <v>1509</v>
      </c>
      <c r="B1413" t="s">
        <v>23</v>
      </c>
      <c r="C1413">
        <v>46008</v>
      </c>
      <c r="D1413">
        <v>476.90499999999997</v>
      </c>
      <c r="E1413">
        <v>480</v>
      </c>
      <c r="F1413">
        <v>475</v>
      </c>
      <c r="G1413">
        <v>476.12</v>
      </c>
      <c r="H1413">
        <v>476.39</v>
      </c>
    </row>
    <row r="1414" spans="1:8" x14ac:dyDescent="0.3">
      <c r="A1414" t="s">
        <v>1510</v>
      </c>
      <c r="B1414" t="s">
        <v>23</v>
      </c>
      <c r="C1414">
        <v>46009</v>
      </c>
      <c r="D1414">
        <v>478.19</v>
      </c>
      <c r="E1414">
        <v>489.6</v>
      </c>
      <c r="F1414">
        <v>477.89</v>
      </c>
      <c r="G1414">
        <v>483.98</v>
      </c>
      <c r="H1414">
        <v>476.12</v>
      </c>
    </row>
    <row r="1415" spans="1:8" x14ac:dyDescent="0.3">
      <c r="A1415" t="s">
        <v>1511</v>
      </c>
      <c r="B1415" t="s">
        <v>23</v>
      </c>
      <c r="C1415">
        <v>46010</v>
      </c>
      <c r="D1415">
        <v>487.36</v>
      </c>
      <c r="E1415">
        <v>487.85</v>
      </c>
      <c r="F1415">
        <v>482.49</v>
      </c>
      <c r="G1415">
        <v>485.92</v>
      </c>
      <c r="H1415">
        <v>483.98</v>
      </c>
    </row>
    <row r="1416" spans="1:8" x14ac:dyDescent="0.3">
      <c r="A1416" t="s">
        <v>1512</v>
      </c>
      <c r="B1416" t="s">
        <v>23</v>
      </c>
      <c r="C1416">
        <v>46013</v>
      </c>
      <c r="D1416">
        <v>486.12</v>
      </c>
      <c r="E1416">
        <v>488.73</v>
      </c>
      <c r="F1416">
        <v>482.69</v>
      </c>
      <c r="G1416">
        <v>484.92</v>
      </c>
      <c r="H1416">
        <v>485.92</v>
      </c>
    </row>
    <row r="1417" spans="1:8" x14ac:dyDescent="0.3">
      <c r="A1417" t="s">
        <v>1513</v>
      </c>
      <c r="B1417" t="s">
        <v>23</v>
      </c>
      <c r="C1417">
        <v>46014</v>
      </c>
      <c r="D1417">
        <v>484.98</v>
      </c>
      <c r="E1417">
        <v>487.83</v>
      </c>
      <c r="F1417">
        <v>484.74</v>
      </c>
      <c r="G1417">
        <v>486.85</v>
      </c>
      <c r="H1417">
        <v>484.92</v>
      </c>
    </row>
    <row r="1418" spans="1:8" x14ac:dyDescent="0.3">
      <c r="A1418" t="s">
        <v>1514</v>
      </c>
      <c r="B1418" t="s">
        <v>23</v>
      </c>
      <c r="C1418">
        <v>46015</v>
      </c>
      <c r="D1418">
        <v>485.68</v>
      </c>
      <c r="E1418">
        <v>489.16250000000002</v>
      </c>
      <c r="F1418">
        <v>484.83</v>
      </c>
      <c r="G1418">
        <v>488.02</v>
      </c>
      <c r="H1418">
        <v>486.85</v>
      </c>
    </row>
    <row r="1419" spans="1:8" x14ac:dyDescent="0.3">
      <c r="A1419" t="s">
        <v>1515</v>
      </c>
      <c r="B1419" t="s">
        <v>23</v>
      </c>
      <c r="C1419">
        <v>46017</v>
      </c>
      <c r="D1419">
        <v>486.70499999999998</v>
      </c>
      <c r="E1419">
        <v>488.12</v>
      </c>
      <c r="F1419">
        <v>485.96</v>
      </c>
      <c r="G1419">
        <v>487.71</v>
      </c>
      <c r="H1419">
        <v>488.02</v>
      </c>
    </row>
    <row r="1420" spans="1:8" x14ac:dyDescent="0.3">
      <c r="A1420" t="s">
        <v>1516</v>
      </c>
      <c r="B1420" t="s">
        <v>23</v>
      </c>
      <c r="C1420">
        <v>46020</v>
      </c>
      <c r="D1420">
        <v>484.85500000000002</v>
      </c>
      <c r="E1420">
        <v>488.35</v>
      </c>
      <c r="F1420">
        <v>484.18</v>
      </c>
      <c r="G1420">
        <v>487.1</v>
      </c>
      <c r="H1420">
        <v>487.71</v>
      </c>
    </row>
    <row r="1421" spans="1:8" x14ac:dyDescent="0.3">
      <c r="A1421" t="s">
        <v>1517</v>
      </c>
      <c r="B1421" t="s">
        <v>23</v>
      </c>
      <c r="C1421">
        <v>46021</v>
      </c>
      <c r="D1421">
        <v>485.93</v>
      </c>
      <c r="E1421">
        <v>489.68</v>
      </c>
      <c r="F1421">
        <v>485.5</v>
      </c>
      <c r="G1421">
        <v>487.48</v>
      </c>
      <c r="H1421">
        <v>487.1</v>
      </c>
    </row>
    <row r="1422" spans="1:8" x14ac:dyDescent="0.3">
      <c r="A1422" t="s">
        <v>95</v>
      </c>
      <c r="B1422" t="s">
        <v>23</v>
      </c>
      <c r="C1422">
        <v>46022</v>
      </c>
      <c r="D1422">
        <v>487.84</v>
      </c>
      <c r="E1422">
        <v>488.14</v>
      </c>
      <c r="F1422">
        <v>483.3</v>
      </c>
      <c r="G1422">
        <v>483.62</v>
      </c>
      <c r="H1422">
        <v>487.48</v>
      </c>
    </row>
    <row r="1423" spans="1:8" x14ac:dyDescent="0.3">
      <c r="A1423" t="s">
        <v>1518</v>
      </c>
      <c r="B1423" t="s">
        <v>23</v>
      </c>
      <c r="C1423">
        <v>46024</v>
      </c>
      <c r="D1423">
        <v>484.38499999999999</v>
      </c>
      <c r="E1423">
        <v>484.66</v>
      </c>
      <c r="F1423">
        <v>470.16</v>
      </c>
      <c r="G1423">
        <v>472.94</v>
      </c>
      <c r="H1423">
        <v>483.62</v>
      </c>
    </row>
    <row r="1424" spans="1:8" x14ac:dyDescent="0.3">
      <c r="A1424" t="s">
        <v>1519</v>
      </c>
      <c r="B1424" t="s">
        <v>23</v>
      </c>
      <c r="C1424">
        <v>46027</v>
      </c>
      <c r="D1424">
        <v>474.05500000000001</v>
      </c>
      <c r="E1424">
        <v>476.07</v>
      </c>
      <c r="F1424">
        <v>469.5</v>
      </c>
      <c r="G1424">
        <v>472.85</v>
      </c>
      <c r="H1424">
        <v>472.94</v>
      </c>
    </row>
    <row r="1425" spans="1:8" x14ac:dyDescent="0.3">
      <c r="A1425" t="s">
        <v>1520</v>
      </c>
      <c r="B1425" t="s">
        <v>23</v>
      </c>
      <c r="C1425">
        <v>46028</v>
      </c>
      <c r="D1425">
        <v>473.8</v>
      </c>
      <c r="E1425">
        <v>478.73669999999998</v>
      </c>
      <c r="F1425">
        <v>469.75</v>
      </c>
      <c r="G1425">
        <v>478.51</v>
      </c>
      <c r="H1425">
        <v>472.85</v>
      </c>
    </row>
    <row r="1426" spans="1:8" x14ac:dyDescent="0.3">
      <c r="A1426" t="s">
        <v>1521</v>
      </c>
      <c r="B1426" t="s">
        <v>23</v>
      </c>
      <c r="C1426">
        <v>46029</v>
      </c>
      <c r="D1426">
        <v>479.755</v>
      </c>
      <c r="E1426">
        <v>489.7</v>
      </c>
      <c r="F1426">
        <v>477.95</v>
      </c>
      <c r="G1426">
        <v>483.47</v>
      </c>
      <c r="H1426">
        <v>478.51</v>
      </c>
    </row>
    <row r="1427" spans="1:8" x14ac:dyDescent="0.3">
      <c r="A1427" t="s">
        <v>1522</v>
      </c>
      <c r="B1427" t="s">
        <v>23</v>
      </c>
      <c r="C1427">
        <v>46030</v>
      </c>
      <c r="D1427">
        <v>481.24</v>
      </c>
      <c r="E1427">
        <v>482.66</v>
      </c>
      <c r="F1427">
        <v>475.86</v>
      </c>
      <c r="G1427">
        <v>478.11</v>
      </c>
      <c r="H1427">
        <v>483.47</v>
      </c>
    </row>
    <row r="1428" spans="1:8" x14ac:dyDescent="0.3">
      <c r="A1428" t="s">
        <v>1523</v>
      </c>
      <c r="B1428" t="s">
        <v>23</v>
      </c>
      <c r="C1428">
        <v>46031</v>
      </c>
      <c r="D1428">
        <v>474.06</v>
      </c>
      <c r="E1428">
        <v>479.82</v>
      </c>
      <c r="F1428">
        <v>472.20010000000002</v>
      </c>
      <c r="G1428">
        <v>479.28</v>
      </c>
      <c r="H1428">
        <v>478.11</v>
      </c>
    </row>
    <row r="1429" spans="1:8" x14ac:dyDescent="0.3">
      <c r="A1429" t="s">
        <v>1524</v>
      </c>
      <c r="B1429" t="s">
        <v>23</v>
      </c>
      <c r="C1429">
        <v>46034</v>
      </c>
      <c r="D1429">
        <v>476.67</v>
      </c>
      <c r="E1429">
        <v>480.99</v>
      </c>
      <c r="F1429">
        <v>475.68029999999999</v>
      </c>
      <c r="G1429">
        <v>477.18</v>
      </c>
      <c r="H1429">
        <v>479.28</v>
      </c>
    </row>
    <row r="1430" spans="1:8" x14ac:dyDescent="0.3">
      <c r="A1430" t="s">
        <v>1525</v>
      </c>
      <c r="B1430" t="s">
        <v>23</v>
      </c>
      <c r="C1430">
        <v>46035</v>
      </c>
      <c r="D1430">
        <v>474.67500000000001</v>
      </c>
      <c r="E1430">
        <v>475.7799</v>
      </c>
      <c r="F1430">
        <v>465.95</v>
      </c>
      <c r="G1430">
        <v>470.67</v>
      </c>
      <c r="H1430">
        <v>477.18</v>
      </c>
    </row>
    <row r="1431" spans="1:8" x14ac:dyDescent="0.3">
      <c r="A1431" t="s">
        <v>1526</v>
      </c>
      <c r="B1431" t="s">
        <v>23</v>
      </c>
      <c r="C1431">
        <v>46036</v>
      </c>
      <c r="D1431">
        <v>466.46</v>
      </c>
      <c r="E1431">
        <v>468.2</v>
      </c>
      <c r="F1431">
        <v>457.17009999999999</v>
      </c>
      <c r="G1431">
        <v>459.38</v>
      </c>
      <c r="H1431">
        <v>470.67</v>
      </c>
    </row>
    <row r="1432" spans="1:8" x14ac:dyDescent="0.3">
      <c r="A1432" t="s">
        <v>1527</v>
      </c>
      <c r="B1432" t="s">
        <v>23</v>
      </c>
      <c r="C1432">
        <v>46037</v>
      </c>
      <c r="D1432">
        <v>464.12</v>
      </c>
      <c r="E1432">
        <v>464.25</v>
      </c>
      <c r="F1432">
        <v>455.9</v>
      </c>
      <c r="G1432">
        <v>456.66</v>
      </c>
      <c r="H1432">
        <v>459.38</v>
      </c>
    </row>
    <row r="1433" spans="1:8" x14ac:dyDescent="0.3">
      <c r="A1433" t="s">
        <v>1528</v>
      </c>
      <c r="B1433" t="s">
        <v>23</v>
      </c>
      <c r="C1433">
        <v>46038</v>
      </c>
      <c r="D1433">
        <v>457.83</v>
      </c>
      <c r="E1433">
        <v>463.19</v>
      </c>
      <c r="F1433">
        <v>456.48</v>
      </c>
      <c r="G1433">
        <v>459.86</v>
      </c>
      <c r="H1433">
        <v>456.66</v>
      </c>
    </row>
    <row r="1434" spans="1:8" x14ac:dyDescent="0.3">
      <c r="A1434" t="s">
        <v>1529</v>
      </c>
      <c r="B1434" t="s">
        <v>23</v>
      </c>
      <c r="C1434">
        <v>46042</v>
      </c>
      <c r="D1434">
        <v>451.21499999999997</v>
      </c>
      <c r="E1434">
        <v>456.8</v>
      </c>
      <c r="F1434">
        <v>449.28</v>
      </c>
      <c r="G1434">
        <v>454.52</v>
      </c>
      <c r="H1434">
        <v>459.86</v>
      </c>
    </row>
    <row r="1435" spans="1:8" x14ac:dyDescent="0.3">
      <c r="A1435" t="s">
        <v>1530</v>
      </c>
      <c r="B1435" t="s">
        <v>23</v>
      </c>
      <c r="C1435">
        <v>46043</v>
      </c>
      <c r="D1435">
        <v>452.59500000000003</v>
      </c>
      <c r="E1435">
        <v>452.69</v>
      </c>
      <c r="F1435">
        <v>438.68</v>
      </c>
      <c r="G1435">
        <v>444.11</v>
      </c>
      <c r="H1435">
        <v>454.52</v>
      </c>
    </row>
    <row r="1436" spans="1:8" x14ac:dyDescent="0.3">
      <c r="A1436" t="s">
        <v>1531</v>
      </c>
      <c r="B1436" t="s">
        <v>23</v>
      </c>
      <c r="C1436">
        <v>46044</v>
      </c>
      <c r="D1436">
        <v>447.62</v>
      </c>
      <c r="E1436">
        <v>452.84</v>
      </c>
      <c r="F1436">
        <v>444.7</v>
      </c>
      <c r="G1436">
        <v>451.14</v>
      </c>
      <c r="H1436">
        <v>444.11</v>
      </c>
    </row>
    <row r="1437" spans="1:8" x14ac:dyDescent="0.3">
      <c r="A1437" t="s">
        <v>1532</v>
      </c>
      <c r="B1437" t="s">
        <v>23</v>
      </c>
      <c r="C1437">
        <v>46045</v>
      </c>
      <c r="D1437">
        <v>451.87</v>
      </c>
      <c r="E1437">
        <v>471.1</v>
      </c>
      <c r="F1437">
        <v>450.53</v>
      </c>
      <c r="G1437">
        <v>465.95</v>
      </c>
      <c r="H1437">
        <v>451.14</v>
      </c>
    </row>
    <row r="1438" spans="1:8" x14ac:dyDescent="0.3">
      <c r="A1438" t="s">
        <v>1533</v>
      </c>
      <c r="B1438" t="s">
        <v>23</v>
      </c>
      <c r="C1438">
        <v>46048</v>
      </c>
      <c r="D1438">
        <v>465.30500000000001</v>
      </c>
      <c r="E1438">
        <v>474.25</v>
      </c>
      <c r="F1438">
        <v>462</v>
      </c>
      <c r="G1438">
        <v>470.28</v>
      </c>
      <c r="H1438">
        <v>465.95</v>
      </c>
    </row>
    <row r="1439" spans="1:8" x14ac:dyDescent="0.3">
      <c r="A1439" t="s">
        <v>1534</v>
      </c>
      <c r="B1439" t="s">
        <v>23</v>
      </c>
      <c r="C1439">
        <v>46049</v>
      </c>
      <c r="D1439">
        <v>473.7</v>
      </c>
      <c r="E1439">
        <v>482.87</v>
      </c>
      <c r="F1439">
        <v>473.16</v>
      </c>
      <c r="G1439">
        <v>480.58</v>
      </c>
      <c r="H1439">
        <v>470.28</v>
      </c>
    </row>
    <row r="1440" spans="1:8" x14ac:dyDescent="0.3">
      <c r="A1440" t="s">
        <v>1535</v>
      </c>
      <c r="B1440" t="s">
        <v>23</v>
      </c>
      <c r="C1440">
        <v>46050</v>
      </c>
      <c r="D1440">
        <v>483.21</v>
      </c>
      <c r="E1440">
        <v>483.74</v>
      </c>
      <c r="F1440">
        <v>478</v>
      </c>
      <c r="G1440">
        <v>481.63</v>
      </c>
      <c r="H1440">
        <v>480.58</v>
      </c>
    </row>
    <row r="1441" spans="1:8" x14ac:dyDescent="0.3">
      <c r="A1441" t="s">
        <v>1536</v>
      </c>
      <c r="B1441" t="s">
        <v>23</v>
      </c>
      <c r="C1441">
        <v>46051</v>
      </c>
      <c r="D1441">
        <v>439.99</v>
      </c>
      <c r="E1441">
        <v>442.5</v>
      </c>
      <c r="F1441">
        <v>421.02</v>
      </c>
      <c r="G1441">
        <v>433.5</v>
      </c>
      <c r="H1441">
        <v>481.63</v>
      </c>
    </row>
    <row r="1442" spans="1:8" x14ac:dyDescent="0.3">
      <c r="A1442" t="s">
        <v>1537</v>
      </c>
      <c r="B1442" t="s">
        <v>23</v>
      </c>
      <c r="C1442">
        <v>46052</v>
      </c>
      <c r="D1442">
        <v>439.17</v>
      </c>
      <c r="E1442">
        <v>439.6</v>
      </c>
      <c r="F1442">
        <v>426.45</v>
      </c>
      <c r="G1442">
        <v>430.29</v>
      </c>
      <c r="H1442">
        <v>433.5</v>
      </c>
    </row>
    <row r="1443" spans="1:8" x14ac:dyDescent="0.3">
      <c r="A1443" t="s">
        <v>1538</v>
      </c>
      <c r="B1443" t="s">
        <v>23</v>
      </c>
      <c r="C1443">
        <v>46055</v>
      </c>
      <c r="D1443">
        <v>430.23500000000001</v>
      </c>
      <c r="E1443">
        <v>430.73599999999999</v>
      </c>
      <c r="F1443">
        <v>422.25</v>
      </c>
      <c r="G1443">
        <v>423.37</v>
      </c>
      <c r="H1443">
        <v>430.29</v>
      </c>
    </row>
    <row r="1444" spans="1:8" x14ac:dyDescent="0.3">
      <c r="A1444" t="s">
        <v>1539</v>
      </c>
      <c r="B1444" t="s">
        <v>23</v>
      </c>
      <c r="C1444">
        <v>46056</v>
      </c>
      <c r="D1444">
        <v>422.01</v>
      </c>
      <c r="E1444">
        <v>422.05</v>
      </c>
      <c r="F1444">
        <v>408.56</v>
      </c>
      <c r="G1444">
        <v>411.21</v>
      </c>
      <c r="H1444">
        <v>423.37</v>
      </c>
    </row>
    <row r="1445" spans="1:8" x14ac:dyDescent="0.3">
      <c r="A1445" t="s">
        <v>1540</v>
      </c>
      <c r="B1445" t="s">
        <v>23</v>
      </c>
      <c r="C1445">
        <v>46057</v>
      </c>
      <c r="D1445">
        <v>411</v>
      </c>
      <c r="E1445">
        <v>419.8</v>
      </c>
      <c r="F1445">
        <v>409.24</v>
      </c>
      <c r="G1445">
        <v>414.19</v>
      </c>
      <c r="H1445">
        <v>411.21</v>
      </c>
    </row>
    <row r="1446" spans="1:8" x14ac:dyDescent="0.3">
      <c r="A1446" t="s">
        <v>1541</v>
      </c>
      <c r="B1446" t="s">
        <v>23</v>
      </c>
      <c r="C1446">
        <v>46058</v>
      </c>
      <c r="D1446">
        <v>407.44</v>
      </c>
      <c r="E1446">
        <v>408.3</v>
      </c>
      <c r="F1446">
        <v>392.32</v>
      </c>
      <c r="G1446">
        <v>393.67</v>
      </c>
      <c r="H1446">
        <v>414.19</v>
      </c>
    </row>
    <row r="1447" spans="1:8" x14ac:dyDescent="0.3">
      <c r="A1447" t="s">
        <v>1542</v>
      </c>
      <c r="B1447" t="s">
        <v>23</v>
      </c>
      <c r="C1447">
        <v>46059</v>
      </c>
      <c r="D1447">
        <v>399.16500000000002</v>
      </c>
      <c r="E1447">
        <v>401.79</v>
      </c>
      <c r="F1447">
        <v>392.92</v>
      </c>
      <c r="G1447">
        <v>401.14</v>
      </c>
      <c r="H1447">
        <v>393.67</v>
      </c>
    </row>
    <row r="1448" spans="1:8" x14ac:dyDescent="0.3">
      <c r="A1448" t="s">
        <v>1543</v>
      </c>
      <c r="B1448" t="s">
        <v>23</v>
      </c>
      <c r="C1448">
        <v>46062</v>
      </c>
      <c r="D1448">
        <v>404.85</v>
      </c>
      <c r="E1448">
        <v>414.89</v>
      </c>
      <c r="F1448">
        <v>400.87</v>
      </c>
      <c r="G1448">
        <v>413.6</v>
      </c>
      <c r="H1448">
        <v>401.14</v>
      </c>
    </row>
    <row r="1449" spans="1:8" x14ac:dyDescent="0.3">
      <c r="A1449" t="s">
        <v>1544</v>
      </c>
      <c r="B1449" t="s">
        <v>23</v>
      </c>
      <c r="C1449">
        <v>46063</v>
      </c>
      <c r="D1449">
        <v>419.62</v>
      </c>
      <c r="E1449">
        <v>423.68</v>
      </c>
      <c r="F1449">
        <v>412.7</v>
      </c>
      <c r="G1449">
        <v>413.27</v>
      </c>
      <c r="H1449">
        <v>413.6</v>
      </c>
    </row>
    <row r="1450" spans="1:8" x14ac:dyDescent="0.3">
      <c r="A1450" t="s">
        <v>1545</v>
      </c>
      <c r="B1450" t="s">
        <v>23</v>
      </c>
      <c r="C1450">
        <v>46064</v>
      </c>
      <c r="D1450">
        <v>416.17500000000001</v>
      </c>
      <c r="E1450">
        <v>416.46</v>
      </c>
      <c r="F1450">
        <v>401.01</v>
      </c>
      <c r="G1450">
        <v>404.37</v>
      </c>
      <c r="H1450">
        <v>413.27</v>
      </c>
    </row>
    <row r="1451" spans="1:8" x14ac:dyDescent="0.3">
      <c r="A1451" t="s">
        <v>1546</v>
      </c>
      <c r="B1451" t="s">
        <v>23</v>
      </c>
      <c r="C1451">
        <v>46065</v>
      </c>
      <c r="D1451">
        <v>405</v>
      </c>
      <c r="E1451">
        <v>406.2</v>
      </c>
      <c r="F1451">
        <v>398.01</v>
      </c>
      <c r="G1451">
        <v>401.84</v>
      </c>
      <c r="H1451">
        <v>404.37</v>
      </c>
    </row>
    <row r="1452" spans="1:8" x14ac:dyDescent="0.3">
      <c r="A1452" t="s">
        <v>1547</v>
      </c>
      <c r="B1452" t="s">
        <v>23</v>
      </c>
      <c r="C1452">
        <v>46066</v>
      </c>
      <c r="D1452">
        <v>404.45</v>
      </c>
      <c r="E1452">
        <v>405.54</v>
      </c>
      <c r="F1452">
        <v>398.05</v>
      </c>
      <c r="G1452">
        <v>401.32</v>
      </c>
      <c r="H1452">
        <v>401.84</v>
      </c>
    </row>
    <row r="1453" spans="1:8" x14ac:dyDescent="0.3">
      <c r="A1453" t="s">
        <v>1548</v>
      </c>
      <c r="B1453" t="s">
        <v>23</v>
      </c>
      <c r="C1453">
        <v>46070</v>
      </c>
      <c r="D1453">
        <v>399.22</v>
      </c>
      <c r="E1453">
        <v>400.52</v>
      </c>
      <c r="F1453">
        <v>394.52499999999998</v>
      </c>
      <c r="G1453">
        <v>396.86</v>
      </c>
      <c r="H1453">
        <v>401.32</v>
      </c>
    </row>
    <row r="1454" spans="1:8" x14ac:dyDescent="0.3">
      <c r="A1454" t="s">
        <v>1549</v>
      </c>
      <c r="B1454" t="s">
        <v>23</v>
      </c>
      <c r="C1454">
        <v>46071</v>
      </c>
      <c r="D1454">
        <v>398.13</v>
      </c>
      <c r="E1454">
        <v>402.56</v>
      </c>
      <c r="F1454">
        <v>396.32</v>
      </c>
      <c r="G1454">
        <v>399.6</v>
      </c>
      <c r="H1454">
        <v>396.86</v>
      </c>
    </row>
    <row r="1455" spans="1:8" x14ac:dyDescent="0.3">
      <c r="A1455" t="s">
        <v>1550</v>
      </c>
      <c r="B1455" t="s">
        <v>23</v>
      </c>
      <c r="C1455">
        <v>46072</v>
      </c>
      <c r="D1455">
        <v>400.69</v>
      </c>
      <c r="E1455">
        <v>404.43</v>
      </c>
      <c r="F1455">
        <v>396.67</v>
      </c>
      <c r="G1455">
        <v>398.46</v>
      </c>
      <c r="H1455">
        <v>399.6</v>
      </c>
    </row>
    <row r="1456" spans="1:8" x14ac:dyDescent="0.3">
      <c r="A1456" t="s">
        <v>1551</v>
      </c>
      <c r="B1456" t="s">
        <v>23</v>
      </c>
      <c r="C1456">
        <v>46073</v>
      </c>
      <c r="D1456">
        <v>396.11</v>
      </c>
      <c r="E1456">
        <v>400.11590000000001</v>
      </c>
      <c r="F1456">
        <v>395.16</v>
      </c>
      <c r="G1456">
        <v>397.23</v>
      </c>
      <c r="H1456">
        <v>398.46</v>
      </c>
    </row>
    <row r="1457" spans="1:8" x14ac:dyDescent="0.3">
      <c r="A1457" t="s">
        <v>1552</v>
      </c>
      <c r="B1457" t="s">
        <v>23</v>
      </c>
      <c r="C1457">
        <v>46076</v>
      </c>
      <c r="D1457">
        <v>395</v>
      </c>
      <c r="E1457">
        <v>395.36</v>
      </c>
      <c r="F1457">
        <v>383.1</v>
      </c>
      <c r="G1457">
        <v>384.47</v>
      </c>
      <c r="H1457">
        <v>397.23</v>
      </c>
    </row>
    <row r="1458" spans="1:8" x14ac:dyDescent="0.3">
      <c r="A1458" t="s">
        <v>1553</v>
      </c>
      <c r="B1458" t="s">
        <v>23</v>
      </c>
      <c r="C1458">
        <v>46077</v>
      </c>
      <c r="D1458">
        <v>384.14</v>
      </c>
      <c r="E1458">
        <v>389.36</v>
      </c>
      <c r="F1458">
        <v>381.71</v>
      </c>
      <c r="G1458">
        <v>389</v>
      </c>
      <c r="H1458">
        <v>384.47</v>
      </c>
    </row>
    <row r="1459" spans="1:8" x14ac:dyDescent="0.3">
      <c r="A1459" t="s">
        <v>1554</v>
      </c>
      <c r="B1459" t="s">
        <v>31</v>
      </c>
      <c r="C1459">
        <v>45650</v>
      </c>
      <c r="D1459">
        <v>140</v>
      </c>
      <c r="E1459">
        <v>141.9</v>
      </c>
      <c r="F1459">
        <v>138.65</v>
      </c>
      <c r="G1459">
        <v>140.22</v>
      </c>
      <c r="H1459">
        <v>139.66999999999999</v>
      </c>
    </row>
    <row r="1460" spans="1:8" x14ac:dyDescent="0.3">
      <c r="A1460" t="s">
        <v>1555</v>
      </c>
      <c r="B1460" t="s">
        <v>31</v>
      </c>
      <c r="C1460">
        <v>45652</v>
      </c>
      <c r="D1460">
        <v>139.69999999999999</v>
      </c>
      <c r="E1460">
        <v>140.85</v>
      </c>
      <c r="F1460">
        <v>137.72999999999999</v>
      </c>
      <c r="G1460">
        <v>139.93</v>
      </c>
      <c r="H1460">
        <v>140.22</v>
      </c>
    </row>
    <row r="1461" spans="1:8" x14ac:dyDescent="0.3">
      <c r="A1461" t="s">
        <v>1556</v>
      </c>
      <c r="B1461" t="s">
        <v>31</v>
      </c>
      <c r="C1461">
        <v>45653</v>
      </c>
      <c r="D1461">
        <v>138.55000000000001</v>
      </c>
      <c r="E1461">
        <v>139.02000000000001</v>
      </c>
      <c r="F1461">
        <v>134.71</v>
      </c>
      <c r="G1461">
        <v>137.01</v>
      </c>
      <c r="H1461">
        <v>139.93</v>
      </c>
    </row>
    <row r="1462" spans="1:8" x14ac:dyDescent="0.3">
      <c r="A1462" t="s">
        <v>1557</v>
      </c>
      <c r="B1462" t="s">
        <v>31</v>
      </c>
      <c r="C1462">
        <v>45656</v>
      </c>
      <c r="D1462">
        <v>134.83000000000001</v>
      </c>
      <c r="E1462">
        <v>140.27000000000001</v>
      </c>
      <c r="F1462">
        <v>134.02000000000001</v>
      </c>
      <c r="G1462">
        <v>137.49</v>
      </c>
      <c r="H1462">
        <v>137.01</v>
      </c>
    </row>
    <row r="1463" spans="1:8" x14ac:dyDescent="0.3">
      <c r="A1463" t="s">
        <v>1558</v>
      </c>
      <c r="B1463" t="s">
        <v>31</v>
      </c>
      <c r="C1463">
        <v>45657</v>
      </c>
      <c r="D1463">
        <v>138.03</v>
      </c>
      <c r="E1463">
        <v>138.07</v>
      </c>
      <c r="F1463">
        <v>133.83000000000001</v>
      </c>
      <c r="G1463">
        <v>134.29</v>
      </c>
      <c r="H1463">
        <v>137.49</v>
      </c>
    </row>
    <row r="1464" spans="1:8" x14ac:dyDescent="0.3">
      <c r="A1464" t="s">
        <v>1559</v>
      </c>
      <c r="B1464" t="s">
        <v>31</v>
      </c>
      <c r="C1464">
        <v>45659</v>
      </c>
      <c r="D1464">
        <v>136</v>
      </c>
      <c r="E1464">
        <v>138.88</v>
      </c>
      <c r="F1464">
        <v>134.63</v>
      </c>
      <c r="G1464">
        <v>138.31</v>
      </c>
      <c r="H1464">
        <v>134.29</v>
      </c>
    </row>
    <row r="1465" spans="1:8" x14ac:dyDescent="0.3">
      <c r="A1465" t="s">
        <v>1560</v>
      </c>
      <c r="B1465" t="s">
        <v>31</v>
      </c>
      <c r="C1465">
        <v>45660</v>
      </c>
      <c r="D1465">
        <v>140.01</v>
      </c>
      <c r="E1465">
        <v>144.9</v>
      </c>
      <c r="F1465">
        <v>139.72999999999999</v>
      </c>
      <c r="G1465">
        <v>144.47</v>
      </c>
      <c r="H1465">
        <v>138.31</v>
      </c>
    </row>
    <row r="1466" spans="1:8" x14ac:dyDescent="0.3">
      <c r="A1466" t="s">
        <v>1561</v>
      </c>
      <c r="B1466" t="s">
        <v>31</v>
      </c>
      <c r="C1466">
        <v>45663</v>
      </c>
      <c r="D1466">
        <v>148.59</v>
      </c>
      <c r="E1466">
        <v>152.15600000000001</v>
      </c>
      <c r="F1466">
        <v>147.8201</v>
      </c>
      <c r="G1466">
        <v>149.43</v>
      </c>
      <c r="H1466">
        <v>144.47</v>
      </c>
    </row>
    <row r="1467" spans="1:8" x14ac:dyDescent="0.3">
      <c r="A1467" t="s">
        <v>1562</v>
      </c>
      <c r="B1467" t="s">
        <v>31</v>
      </c>
      <c r="C1467">
        <v>45664</v>
      </c>
      <c r="D1467">
        <v>153.03</v>
      </c>
      <c r="E1467">
        <v>153.13</v>
      </c>
      <c r="F1467">
        <v>140.01</v>
      </c>
      <c r="G1467">
        <v>140.13999999999999</v>
      </c>
      <c r="H1467">
        <v>149.43</v>
      </c>
    </row>
    <row r="1468" spans="1:8" x14ac:dyDescent="0.3">
      <c r="A1468" t="s">
        <v>1563</v>
      </c>
      <c r="B1468" t="s">
        <v>31</v>
      </c>
      <c r="C1468">
        <v>45665</v>
      </c>
      <c r="D1468">
        <v>142.58000000000001</v>
      </c>
      <c r="E1468">
        <v>143.94999999999999</v>
      </c>
      <c r="F1468">
        <v>137.56</v>
      </c>
      <c r="G1468">
        <v>140.11000000000001</v>
      </c>
      <c r="H1468">
        <v>140.13999999999999</v>
      </c>
    </row>
    <row r="1469" spans="1:8" x14ac:dyDescent="0.3">
      <c r="A1469" t="s">
        <v>1564</v>
      </c>
      <c r="B1469" t="s">
        <v>31</v>
      </c>
      <c r="C1469">
        <v>45667</v>
      </c>
      <c r="D1469">
        <v>137.44999999999999</v>
      </c>
      <c r="E1469">
        <v>139.91999999999999</v>
      </c>
      <c r="F1469">
        <v>134.22</v>
      </c>
      <c r="G1469">
        <v>135.91</v>
      </c>
      <c r="H1469">
        <v>140.11000000000001</v>
      </c>
    </row>
    <row r="1470" spans="1:8" x14ac:dyDescent="0.3">
      <c r="A1470" t="s">
        <v>1565</v>
      </c>
      <c r="B1470" t="s">
        <v>31</v>
      </c>
      <c r="C1470">
        <v>45670</v>
      </c>
      <c r="D1470">
        <v>129.99</v>
      </c>
      <c r="E1470">
        <v>133.49</v>
      </c>
      <c r="F1470">
        <v>129.51</v>
      </c>
      <c r="G1470">
        <v>133.22999999999999</v>
      </c>
      <c r="H1470">
        <v>135.91</v>
      </c>
    </row>
    <row r="1471" spans="1:8" x14ac:dyDescent="0.3">
      <c r="A1471" t="s">
        <v>1566</v>
      </c>
      <c r="B1471" t="s">
        <v>31</v>
      </c>
      <c r="C1471">
        <v>45671</v>
      </c>
      <c r="D1471">
        <v>136.05000000000001</v>
      </c>
      <c r="E1471">
        <v>136.38</v>
      </c>
      <c r="F1471">
        <v>130.05000000000001</v>
      </c>
      <c r="G1471">
        <v>131.76</v>
      </c>
      <c r="H1471">
        <v>133.22999999999999</v>
      </c>
    </row>
    <row r="1472" spans="1:8" x14ac:dyDescent="0.3">
      <c r="A1472" t="s">
        <v>1567</v>
      </c>
      <c r="B1472" t="s">
        <v>31</v>
      </c>
      <c r="C1472">
        <v>45672</v>
      </c>
      <c r="D1472">
        <v>133.65</v>
      </c>
      <c r="E1472">
        <v>136.44999999999999</v>
      </c>
      <c r="F1472">
        <v>131.29</v>
      </c>
      <c r="G1472">
        <v>136.24</v>
      </c>
      <c r="H1472">
        <v>131.76</v>
      </c>
    </row>
    <row r="1473" spans="1:8" x14ac:dyDescent="0.3">
      <c r="A1473" t="s">
        <v>1568</v>
      </c>
      <c r="B1473" t="s">
        <v>31</v>
      </c>
      <c r="C1473">
        <v>45673</v>
      </c>
      <c r="D1473">
        <v>138.63999999999999</v>
      </c>
      <c r="E1473">
        <v>138.75</v>
      </c>
      <c r="F1473">
        <v>133.49</v>
      </c>
      <c r="G1473">
        <v>133.57</v>
      </c>
      <c r="H1473">
        <v>136.24</v>
      </c>
    </row>
    <row r="1474" spans="1:8" x14ac:dyDescent="0.3">
      <c r="A1474" t="s">
        <v>1569</v>
      </c>
      <c r="B1474" t="s">
        <v>31</v>
      </c>
      <c r="C1474">
        <v>45674</v>
      </c>
      <c r="D1474">
        <v>136.69</v>
      </c>
      <c r="E1474">
        <v>138.5</v>
      </c>
      <c r="F1474">
        <v>135.4649</v>
      </c>
      <c r="G1474">
        <v>137.71</v>
      </c>
      <c r="H1474">
        <v>133.57</v>
      </c>
    </row>
    <row r="1475" spans="1:8" x14ac:dyDescent="0.3">
      <c r="A1475" t="s">
        <v>1570</v>
      </c>
      <c r="B1475" t="s">
        <v>31</v>
      </c>
      <c r="C1475">
        <v>45678</v>
      </c>
      <c r="D1475">
        <v>139.16</v>
      </c>
      <c r="E1475">
        <v>141.83000000000001</v>
      </c>
      <c r="F1475">
        <v>137.09</v>
      </c>
      <c r="G1475">
        <v>140.83000000000001</v>
      </c>
      <c r="H1475">
        <v>137.71</v>
      </c>
    </row>
    <row r="1476" spans="1:8" x14ac:dyDescent="0.3">
      <c r="A1476" t="s">
        <v>1571</v>
      </c>
      <c r="B1476" t="s">
        <v>31</v>
      </c>
      <c r="C1476">
        <v>45679</v>
      </c>
      <c r="D1476">
        <v>144.66</v>
      </c>
      <c r="E1476">
        <v>147.79</v>
      </c>
      <c r="F1476">
        <v>143.66999999999999</v>
      </c>
      <c r="G1476">
        <v>147.07</v>
      </c>
      <c r="H1476">
        <v>140.83000000000001</v>
      </c>
    </row>
    <row r="1477" spans="1:8" x14ac:dyDescent="0.3">
      <c r="A1477" t="s">
        <v>1572</v>
      </c>
      <c r="B1477" t="s">
        <v>31</v>
      </c>
      <c r="C1477">
        <v>45680</v>
      </c>
      <c r="D1477">
        <v>145.05000000000001</v>
      </c>
      <c r="E1477">
        <v>147.22999999999999</v>
      </c>
      <c r="F1477">
        <v>143.72</v>
      </c>
      <c r="G1477">
        <v>147.22</v>
      </c>
      <c r="H1477">
        <v>147.07</v>
      </c>
    </row>
    <row r="1478" spans="1:8" x14ac:dyDescent="0.3">
      <c r="A1478" t="s">
        <v>1573</v>
      </c>
      <c r="B1478" t="s">
        <v>31</v>
      </c>
      <c r="C1478">
        <v>45681</v>
      </c>
      <c r="D1478">
        <v>148.37</v>
      </c>
      <c r="E1478">
        <v>148.97</v>
      </c>
      <c r="F1478">
        <v>141.88</v>
      </c>
      <c r="G1478">
        <v>142.62</v>
      </c>
      <c r="H1478">
        <v>147.22</v>
      </c>
    </row>
    <row r="1479" spans="1:8" x14ac:dyDescent="0.3">
      <c r="A1479" t="s">
        <v>1574</v>
      </c>
      <c r="B1479" t="s">
        <v>31</v>
      </c>
      <c r="C1479">
        <v>45684</v>
      </c>
      <c r="D1479">
        <v>124.8</v>
      </c>
      <c r="E1479">
        <v>128.4</v>
      </c>
      <c r="F1479">
        <v>116.7</v>
      </c>
      <c r="G1479">
        <v>118.42</v>
      </c>
      <c r="H1479">
        <v>142.62</v>
      </c>
    </row>
    <row r="1480" spans="1:8" x14ac:dyDescent="0.3">
      <c r="A1480" t="s">
        <v>1575</v>
      </c>
      <c r="B1480" t="s">
        <v>31</v>
      </c>
      <c r="C1480">
        <v>45685</v>
      </c>
      <c r="D1480">
        <v>121.81</v>
      </c>
      <c r="E1480">
        <v>129</v>
      </c>
      <c r="F1480">
        <v>116.25</v>
      </c>
      <c r="G1480">
        <v>128.99</v>
      </c>
      <c r="H1480">
        <v>118.42</v>
      </c>
    </row>
    <row r="1481" spans="1:8" x14ac:dyDescent="0.3">
      <c r="A1481" t="s">
        <v>1576</v>
      </c>
      <c r="B1481" t="s">
        <v>31</v>
      </c>
      <c r="C1481">
        <v>45686</v>
      </c>
      <c r="D1481">
        <v>126.5</v>
      </c>
      <c r="E1481">
        <v>126.89</v>
      </c>
      <c r="F1481">
        <v>120.05</v>
      </c>
      <c r="G1481">
        <v>123.7</v>
      </c>
      <c r="H1481">
        <v>128.99</v>
      </c>
    </row>
    <row r="1482" spans="1:8" x14ac:dyDescent="0.3">
      <c r="A1482" t="s">
        <v>1577</v>
      </c>
      <c r="B1482" t="s">
        <v>31</v>
      </c>
      <c r="C1482">
        <v>45687</v>
      </c>
      <c r="D1482">
        <v>123.1</v>
      </c>
      <c r="E1482">
        <v>125</v>
      </c>
      <c r="F1482">
        <v>118.1</v>
      </c>
      <c r="G1482">
        <v>124.65</v>
      </c>
      <c r="H1482">
        <v>123.7</v>
      </c>
    </row>
    <row r="1483" spans="1:8" x14ac:dyDescent="0.3">
      <c r="A1483" t="s">
        <v>1578</v>
      </c>
      <c r="B1483" t="s">
        <v>31</v>
      </c>
      <c r="C1483">
        <v>45688</v>
      </c>
      <c r="D1483">
        <v>123.78</v>
      </c>
      <c r="E1483">
        <v>127.85</v>
      </c>
      <c r="F1483">
        <v>119.19</v>
      </c>
      <c r="G1483">
        <v>120.07</v>
      </c>
      <c r="H1483">
        <v>124.65</v>
      </c>
    </row>
    <row r="1484" spans="1:8" x14ac:dyDescent="0.3">
      <c r="A1484" t="s">
        <v>1579</v>
      </c>
      <c r="B1484" t="s">
        <v>31</v>
      </c>
      <c r="C1484">
        <v>45691</v>
      </c>
      <c r="D1484">
        <v>114.75</v>
      </c>
      <c r="E1484">
        <v>118.57</v>
      </c>
      <c r="F1484">
        <v>113.01</v>
      </c>
      <c r="G1484">
        <v>116.66</v>
      </c>
      <c r="H1484">
        <v>120.07</v>
      </c>
    </row>
    <row r="1485" spans="1:8" x14ac:dyDescent="0.3">
      <c r="A1485" t="s">
        <v>1580</v>
      </c>
      <c r="B1485" t="s">
        <v>31</v>
      </c>
      <c r="C1485">
        <v>45692</v>
      </c>
      <c r="D1485">
        <v>116.96</v>
      </c>
      <c r="E1485">
        <v>121.2</v>
      </c>
      <c r="F1485">
        <v>116.7</v>
      </c>
      <c r="G1485">
        <v>118.65</v>
      </c>
      <c r="H1485">
        <v>116.66</v>
      </c>
    </row>
    <row r="1486" spans="1:8" x14ac:dyDescent="0.3">
      <c r="A1486" t="s">
        <v>1581</v>
      </c>
      <c r="B1486" t="s">
        <v>31</v>
      </c>
      <c r="C1486">
        <v>45693</v>
      </c>
      <c r="D1486">
        <v>121.76</v>
      </c>
      <c r="E1486">
        <v>125</v>
      </c>
      <c r="F1486">
        <v>120.76</v>
      </c>
      <c r="G1486">
        <v>124.83</v>
      </c>
      <c r="H1486">
        <v>118.65</v>
      </c>
    </row>
    <row r="1487" spans="1:8" x14ac:dyDescent="0.3">
      <c r="A1487" t="s">
        <v>1582</v>
      </c>
      <c r="B1487" t="s">
        <v>31</v>
      </c>
      <c r="C1487">
        <v>45694</v>
      </c>
      <c r="D1487">
        <v>127.42</v>
      </c>
      <c r="E1487">
        <v>128.77000000000001</v>
      </c>
      <c r="F1487">
        <v>125.21</v>
      </c>
      <c r="G1487">
        <v>128.68</v>
      </c>
      <c r="H1487">
        <v>124.83</v>
      </c>
    </row>
    <row r="1488" spans="1:8" x14ac:dyDescent="0.3">
      <c r="A1488" t="s">
        <v>1583</v>
      </c>
      <c r="B1488" t="s">
        <v>31</v>
      </c>
      <c r="C1488">
        <v>45695</v>
      </c>
      <c r="D1488">
        <v>129.22</v>
      </c>
      <c r="E1488">
        <v>130.37</v>
      </c>
      <c r="F1488">
        <v>125</v>
      </c>
      <c r="G1488">
        <v>129.84</v>
      </c>
      <c r="H1488">
        <v>128.68</v>
      </c>
    </row>
    <row r="1489" spans="1:8" x14ac:dyDescent="0.3">
      <c r="A1489" t="s">
        <v>1584</v>
      </c>
      <c r="B1489" t="s">
        <v>31</v>
      </c>
      <c r="C1489">
        <v>45698</v>
      </c>
      <c r="D1489">
        <v>130.09</v>
      </c>
      <c r="E1489">
        <v>135</v>
      </c>
      <c r="F1489">
        <v>129.96</v>
      </c>
      <c r="G1489">
        <v>133.57</v>
      </c>
      <c r="H1489">
        <v>129.84</v>
      </c>
    </row>
    <row r="1490" spans="1:8" x14ac:dyDescent="0.3">
      <c r="A1490" t="s">
        <v>1585</v>
      </c>
      <c r="B1490" t="s">
        <v>31</v>
      </c>
      <c r="C1490">
        <v>45699</v>
      </c>
      <c r="D1490">
        <v>132.58000000000001</v>
      </c>
      <c r="E1490">
        <v>134.47999999999999</v>
      </c>
      <c r="F1490">
        <v>131.02000000000001</v>
      </c>
      <c r="G1490">
        <v>132.80000000000001</v>
      </c>
      <c r="H1490">
        <v>133.57</v>
      </c>
    </row>
    <row r="1491" spans="1:8" x14ac:dyDescent="0.3">
      <c r="A1491" t="s">
        <v>1586</v>
      </c>
      <c r="B1491" t="s">
        <v>31</v>
      </c>
      <c r="C1491">
        <v>45700</v>
      </c>
      <c r="D1491">
        <v>130.02000000000001</v>
      </c>
      <c r="E1491">
        <v>132.24</v>
      </c>
      <c r="F1491">
        <v>129.08000000000001</v>
      </c>
      <c r="G1491">
        <v>131.13999999999999</v>
      </c>
      <c r="H1491">
        <v>132.80000000000001</v>
      </c>
    </row>
    <row r="1492" spans="1:8" x14ac:dyDescent="0.3">
      <c r="A1492" t="s">
        <v>1587</v>
      </c>
      <c r="B1492" t="s">
        <v>31</v>
      </c>
      <c r="C1492">
        <v>45701</v>
      </c>
      <c r="D1492">
        <v>131.55500000000001</v>
      </c>
      <c r="E1492">
        <v>136.5</v>
      </c>
      <c r="F1492">
        <v>131.16999999999999</v>
      </c>
      <c r="G1492">
        <v>135.29</v>
      </c>
      <c r="H1492">
        <v>131.13999999999999</v>
      </c>
    </row>
    <row r="1493" spans="1:8" x14ac:dyDescent="0.3">
      <c r="A1493" t="s">
        <v>1588</v>
      </c>
      <c r="B1493" t="s">
        <v>31</v>
      </c>
      <c r="C1493">
        <v>45702</v>
      </c>
      <c r="D1493">
        <v>136.47999999999999</v>
      </c>
      <c r="E1493">
        <v>139.25</v>
      </c>
      <c r="F1493">
        <v>135.5</v>
      </c>
      <c r="G1493">
        <v>138.85</v>
      </c>
      <c r="H1493">
        <v>135.29</v>
      </c>
    </row>
    <row r="1494" spans="1:8" x14ac:dyDescent="0.3">
      <c r="A1494" t="s">
        <v>1589</v>
      </c>
      <c r="B1494" t="s">
        <v>31</v>
      </c>
      <c r="C1494">
        <v>45706</v>
      </c>
      <c r="D1494">
        <v>141.27000000000001</v>
      </c>
      <c r="E1494">
        <v>143.44</v>
      </c>
      <c r="F1494">
        <v>137.92500000000001</v>
      </c>
      <c r="G1494">
        <v>139.4</v>
      </c>
      <c r="H1494">
        <v>138.85</v>
      </c>
    </row>
    <row r="1495" spans="1:8" x14ac:dyDescent="0.3">
      <c r="A1495" t="s">
        <v>1590</v>
      </c>
      <c r="B1495" t="s">
        <v>31</v>
      </c>
      <c r="C1495">
        <v>45707</v>
      </c>
      <c r="D1495">
        <v>139.51</v>
      </c>
      <c r="E1495">
        <v>141.36000000000001</v>
      </c>
      <c r="F1495">
        <v>137.22</v>
      </c>
      <c r="G1495">
        <v>139.22999999999999</v>
      </c>
      <c r="H1495">
        <v>139.4</v>
      </c>
    </row>
    <row r="1496" spans="1:8" x14ac:dyDescent="0.3">
      <c r="A1496" t="s">
        <v>1591</v>
      </c>
      <c r="B1496" t="s">
        <v>31</v>
      </c>
      <c r="C1496">
        <v>45708</v>
      </c>
      <c r="D1496">
        <v>140.03</v>
      </c>
      <c r="E1496">
        <v>140.66</v>
      </c>
      <c r="F1496">
        <v>136.7901</v>
      </c>
      <c r="G1496">
        <v>140.11000000000001</v>
      </c>
      <c r="H1496">
        <v>139.22999999999999</v>
      </c>
    </row>
    <row r="1497" spans="1:8" x14ac:dyDescent="0.3">
      <c r="A1497" t="s">
        <v>1592</v>
      </c>
      <c r="B1497" t="s">
        <v>31</v>
      </c>
      <c r="C1497">
        <v>45709</v>
      </c>
      <c r="D1497">
        <v>140.04</v>
      </c>
      <c r="E1497">
        <v>141.46</v>
      </c>
      <c r="F1497">
        <v>134.03</v>
      </c>
      <c r="G1497">
        <v>134.43</v>
      </c>
      <c r="H1497">
        <v>140.11000000000001</v>
      </c>
    </row>
    <row r="1498" spans="1:8" x14ac:dyDescent="0.3">
      <c r="A1498" t="s">
        <v>1593</v>
      </c>
      <c r="B1498" t="s">
        <v>31</v>
      </c>
      <c r="C1498">
        <v>45712</v>
      </c>
      <c r="D1498">
        <v>136.56</v>
      </c>
      <c r="E1498">
        <v>138.59</v>
      </c>
      <c r="F1498">
        <v>130.08000000000001</v>
      </c>
      <c r="G1498">
        <v>130.28</v>
      </c>
      <c r="H1498">
        <v>134.43</v>
      </c>
    </row>
    <row r="1499" spans="1:8" x14ac:dyDescent="0.3">
      <c r="A1499" t="s">
        <v>1594</v>
      </c>
      <c r="B1499" t="s">
        <v>31</v>
      </c>
      <c r="C1499">
        <v>45713</v>
      </c>
      <c r="D1499">
        <v>129.97999999999999</v>
      </c>
      <c r="E1499">
        <v>130.19999999999999</v>
      </c>
      <c r="F1499">
        <v>124.44</v>
      </c>
      <c r="G1499">
        <v>126.63</v>
      </c>
      <c r="H1499">
        <v>130.28</v>
      </c>
    </row>
    <row r="1500" spans="1:8" x14ac:dyDescent="0.3">
      <c r="A1500" t="s">
        <v>1595</v>
      </c>
      <c r="B1500" t="s">
        <v>31</v>
      </c>
      <c r="C1500">
        <v>45714</v>
      </c>
      <c r="D1500">
        <v>129.98500000000001</v>
      </c>
      <c r="E1500">
        <v>133.72999999999999</v>
      </c>
      <c r="F1500">
        <v>128.49</v>
      </c>
      <c r="G1500">
        <v>131.28</v>
      </c>
      <c r="H1500">
        <v>126.63</v>
      </c>
    </row>
    <row r="1501" spans="1:8" x14ac:dyDescent="0.3">
      <c r="A1501" t="s">
        <v>1596</v>
      </c>
      <c r="B1501" t="s">
        <v>31</v>
      </c>
      <c r="C1501">
        <v>45715</v>
      </c>
      <c r="D1501">
        <v>135</v>
      </c>
      <c r="E1501">
        <v>135.01</v>
      </c>
      <c r="F1501">
        <v>120.01</v>
      </c>
      <c r="G1501">
        <v>120.15</v>
      </c>
      <c r="H1501">
        <v>131.28</v>
      </c>
    </row>
    <row r="1502" spans="1:8" x14ac:dyDescent="0.3">
      <c r="A1502" t="s">
        <v>1597</v>
      </c>
      <c r="B1502" t="s">
        <v>31</v>
      </c>
      <c r="C1502">
        <v>45716</v>
      </c>
      <c r="D1502">
        <v>118.02</v>
      </c>
      <c r="E1502">
        <v>125.09</v>
      </c>
      <c r="F1502">
        <v>116.4</v>
      </c>
      <c r="G1502">
        <v>124.92</v>
      </c>
      <c r="H1502">
        <v>120.15</v>
      </c>
    </row>
    <row r="1503" spans="1:8" x14ac:dyDescent="0.3">
      <c r="A1503" t="s">
        <v>1598</v>
      </c>
      <c r="B1503" t="s">
        <v>31</v>
      </c>
      <c r="C1503">
        <v>45719</v>
      </c>
      <c r="D1503">
        <v>123.51</v>
      </c>
      <c r="E1503">
        <v>123.7</v>
      </c>
      <c r="F1503">
        <v>112.28</v>
      </c>
      <c r="G1503">
        <v>114.06</v>
      </c>
      <c r="H1503">
        <v>124.92</v>
      </c>
    </row>
    <row r="1504" spans="1:8" x14ac:dyDescent="0.3">
      <c r="A1504" t="s">
        <v>1599</v>
      </c>
      <c r="B1504" t="s">
        <v>31</v>
      </c>
      <c r="C1504">
        <v>45720</v>
      </c>
      <c r="D1504">
        <v>110.645</v>
      </c>
      <c r="E1504">
        <v>119.31</v>
      </c>
      <c r="F1504">
        <v>110.11</v>
      </c>
      <c r="G1504">
        <v>115.99</v>
      </c>
      <c r="H1504">
        <v>114.06</v>
      </c>
    </row>
    <row r="1505" spans="1:8" x14ac:dyDescent="0.3">
      <c r="A1505" t="s">
        <v>1600</v>
      </c>
      <c r="B1505" t="s">
        <v>31</v>
      </c>
      <c r="C1505">
        <v>45721</v>
      </c>
      <c r="D1505">
        <v>117.58</v>
      </c>
      <c r="E1505">
        <v>118.27809999999999</v>
      </c>
      <c r="F1505">
        <v>114.51</v>
      </c>
      <c r="G1505">
        <v>117.3</v>
      </c>
      <c r="H1505">
        <v>115.99</v>
      </c>
    </row>
    <row r="1506" spans="1:8" x14ac:dyDescent="0.3">
      <c r="A1506" t="s">
        <v>1601</v>
      </c>
      <c r="B1506" t="s">
        <v>31</v>
      </c>
      <c r="C1506">
        <v>45722</v>
      </c>
      <c r="D1506">
        <v>113.53</v>
      </c>
      <c r="E1506">
        <v>115.35</v>
      </c>
      <c r="F1506">
        <v>110.22</v>
      </c>
      <c r="G1506">
        <v>110.57</v>
      </c>
      <c r="H1506">
        <v>117.3</v>
      </c>
    </row>
    <row r="1507" spans="1:8" x14ac:dyDescent="0.3">
      <c r="A1507" t="s">
        <v>1602</v>
      </c>
      <c r="B1507" t="s">
        <v>31</v>
      </c>
      <c r="C1507">
        <v>45723</v>
      </c>
      <c r="D1507">
        <v>111.25</v>
      </c>
      <c r="E1507">
        <v>113.48</v>
      </c>
      <c r="F1507">
        <v>107.56</v>
      </c>
      <c r="G1507">
        <v>112.69</v>
      </c>
      <c r="H1507">
        <v>110.57</v>
      </c>
    </row>
    <row r="1508" spans="1:8" x14ac:dyDescent="0.3">
      <c r="A1508" t="s">
        <v>1603</v>
      </c>
      <c r="B1508" t="s">
        <v>31</v>
      </c>
      <c r="C1508">
        <v>45726</v>
      </c>
      <c r="D1508">
        <v>109.9</v>
      </c>
      <c r="E1508">
        <v>111.85</v>
      </c>
      <c r="F1508">
        <v>105.46</v>
      </c>
      <c r="G1508">
        <v>106.98</v>
      </c>
      <c r="H1508">
        <v>112.69</v>
      </c>
    </row>
    <row r="1509" spans="1:8" x14ac:dyDescent="0.3">
      <c r="A1509" t="s">
        <v>1604</v>
      </c>
      <c r="B1509" t="s">
        <v>31</v>
      </c>
      <c r="C1509">
        <v>45727</v>
      </c>
      <c r="D1509">
        <v>106.99</v>
      </c>
      <c r="E1509">
        <v>112.236</v>
      </c>
      <c r="F1509">
        <v>104.77</v>
      </c>
      <c r="G1509">
        <v>108.76</v>
      </c>
      <c r="H1509">
        <v>106.98</v>
      </c>
    </row>
    <row r="1510" spans="1:8" x14ac:dyDescent="0.3">
      <c r="A1510" t="s">
        <v>1605</v>
      </c>
      <c r="B1510" t="s">
        <v>31</v>
      </c>
      <c r="C1510">
        <v>45728</v>
      </c>
      <c r="D1510">
        <v>114.12</v>
      </c>
      <c r="E1510">
        <v>116.76</v>
      </c>
      <c r="F1510">
        <v>112.88</v>
      </c>
      <c r="G1510">
        <v>115.74</v>
      </c>
      <c r="H1510">
        <v>108.76</v>
      </c>
    </row>
    <row r="1511" spans="1:8" x14ac:dyDescent="0.3">
      <c r="A1511" t="s">
        <v>1606</v>
      </c>
      <c r="B1511" t="s">
        <v>31</v>
      </c>
      <c r="C1511">
        <v>45729</v>
      </c>
      <c r="D1511">
        <v>117.03</v>
      </c>
      <c r="E1511">
        <v>117.76</v>
      </c>
      <c r="F1511">
        <v>113.79</v>
      </c>
      <c r="G1511">
        <v>115.58</v>
      </c>
      <c r="H1511">
        <v>115.74</v>
      </c>
    </row>
    <row r="1512" spans="1:8" x14ac:dyDescent="0.3">
      <c r="A1512" t="s">
        <v>1607</v>
      </c>
      <c r="B1512" t="s">
        <v>31</v>
      </c>
      <c r="C1512">
        <v>45730</v>
      </c>
      <c r="D1512">
        <v>118.61</v>
      </c>
      <c r="E1512">
        <v>121.88</v>
      </c>
      <c r="F1512">
        <v>118.15</v>
      </c>
      <c r="G1512">
        <v>121.67</v>
      </c>
      <c r="H1512">
        <v>115.58</v>
      </c>
    </row>
    <row r="1513" spans="1:8" x14ac:dyDescent="0.3">
      <c r="A1513" t="s">
        <v>1608</v>
      </c>
      <c r="B1513" t="s">
        <v>31</v>
      </c>
      <c r="C1513">
        <v>45733</v>
      </c>
      <c r="D1513">
        <v>122.74</v>
      </c>
      <c r="E1513">
        <v>122.89</v>
      </c>
      <c r="F1513">
        <v>118.03</v>
      </c>
      <c r="G1513">
        <v>119.53</v>
      </c>
      <c r="H1513">
        <v>121.67</v>
      </c>
    </row>
    <row r="1514" spans="1:8" x14ac:dyDescent="0.3">
      <c r="A1514" t="s">
        <v>1609</v>
      </c>
      <c r="B1514" t="s">
        <v>31</v>
      </c>
      <c r="C1514">
        <v>45734</v>
      </c>
      <c r="D1514">
        <v>118</v>
      </c>
      <c r="E1514">
        <v>119.02</v>
      </c>
      <c r="F1514">
        <v>114.54</v>
      </c>
      <c r="G1514">
        <v>115.43</v>
      </c>
      <c r="H1514">
        <v>119.53</v>
      </c>
    </row>
    <row r="1515" spans="1:8" x14ac:dyDescent="0.3">
      <c r="A1515" t="s">
        <v>1610</v>
      </c>
      <c r="B1515" t="s">
        <v>31</v>
      </c>
      <c r="C1515">
        <v>45735</v>
      </c>
      <c r="D1515">
        <v>117.27</v>
      </c>
      <c r="E1515">
        <v>120.44499999999999</v>
      </c>
      <c r="F1515">
        <v>115.68</v>
      </c>
      <c r="G1515">
        <v>117.52</v>
      </c>
      <c r="H1515">
        <v>115.43</v>
      </c>
    </row>
    <row r="1516" spans="1:8" x14ac:dyDescent="0.3">
      <c r="A1516" t="s">
        <v>1611</v>
      </c>
      <c r="B1516" t="s">
        <v>31</v>
      </c>
      <c r="C1516">
        <v>45736</v>
      </c>
      <c r="D1516">
        <v>116.55</v>
      </c>
      <c r="E1516">
        <v>120.2</v>
      </c>
      <c r="F1516">
        <v>116.47</v>
      </c>
      <c r="G1516">
        <v>118.53</v>
      </c>
      <c r="H1516">
        <v>117.52</v>
      </c>
    </row>
    <row r="1517" spans="1:8" x14ac:dyDescent="0.3">
      <c r="A1517" t="s">
        <v>1612</v>
      </c>
      <c r="B1517" t="s">
        <v>31</v>
      </c>
      <c r="C1517">
        <v>45737</v>
      </c>
      <c r="D1517">
        <v>116.94</v>
      </c>
      <c r="E1517">
        <v>117.99</v>
      </c>
      <c r="F1517">
        <v>115.42</v>
      </c>
      <c r="G1517">
        <v>117.7</v>
      </c>
      <c r="H1517">
        <v>118.53</v>
      </c>
    </row>
    <row r="1518" spans="1:8" x14ac:dyDescent="0.3">
      <c r="A1518" t="s">
        <v>1613</v>
      </c>
      <c r="B1518" t="s">
        <v>31</v>
      </c>
      <c r="C1518">
        <v>45740</v>
      </c>
      <c r="D1518">
        <v>119.88</v>
      </c>
      <c r="E1518">
        <v>122.22</v>
      </c>
      <c r="F1518">
        <v>119.34</v>
      </c>
      <c r="G1518">
        <v>121.41</v>
      </c>
      <c r="H1518">
        <v>117.7</v>
      </c>
    </row>
    <row r="1519" spans="1:8" x14ac:dyDescent="0.3">
      <c r="A1519" t="s">
        <v>1614</v>
      </c>
      <c r="B1519" t="s">
        <v>31</v>
      </c>
      <c r="C1519">
        <v>45741</v>
      </c>
      <c r="D1519">
        <v>120.545</v>
      </c>
      <c r="E1519">
        <v>121.29</v>
      </c>
      <c r="F1519">
        <v>118.92</v>
      </c>
      <c r="G1519">
        <v>120.69</v>
      </c>
      <c r="H1519">
        <v>121.41</v>
      </c>
    </row>
    <row r="1520" spans="1:8" x14ac:dyDescent="0.3">
      <c r="A1520" t="s">
        <v>1615</v>
      </c>
      <c r="B1520" t="s">
        <v>31</v>
      </c>
      <c r="C1520">
        <v>45742</v>
      </c>
      <c r="D1520">
        <v>118.73</v>
      </c>
      <c r="E1520">
        <v>118.84</v>
      </c>
      <c r="F1520">
        <v>112.71</v>
      </c>
      <c r="G1520">
        <v>113.76</v>
      </c>
      <c r="H1520">
        <v>120.69</v>
      </c>
    </row>
    <row r="1521" spans="1:8" x14ac:dyDescent="0.3">
      <c r="A1521" t="s">
        <v>1616</v>
      </c>
      <c r="B1521" t="s">
        <v>31</v>
      </c>
      <c r="C1521">
        <v>45743</v>
      </c>
      <c r="D1521">
        <v>111.35</v>
      </c>
      <c r="E1521">
        <v>114.45</v>
      </c>
      <c r="F1521">
        <v>110.66</v>
      </c>
      <c r="G1521">
        <v>111.43</v>
      </c>
      <c r="H1521">
        <v>113.76</v>
      </c>
    </row>
    <row r="1522" spans="1:8" x14ac:dyDescent="0.3">
      <c r="A1522" t="s">
        <v>1617</v>
      </c>
      <c r="B1522" t="s">
        <v>31</v>
      </c>
      <c r="C1522">
        <v>45744</v>
      </c>
      <c r="D1522">
        <v>111.485</v>
      </c>
      <c r="E1522">
        <v>112.87</v>
      </c>
      <c r="F1522">
        <v>109.0701</v>
      </c>
      <c r="G1522">
        <v>109.67</v>
      </c>
      <c r="H1522">
        <v>111.43</v>
      </c>
    </row>
    <row r="1523" spans="1:8" x14ac:dyDescent="0.3">
      <c r="A1523" t="s">
        <v>114</v>
      </c>
      <c r="B1523" t="s">
        <v>31</v>
      </c>
      <c r="C1523">
        <v>45747</v>
      </c>
      <c r="D1523">
        <v>105.13</v>
      </c>
      <c r="E1523">
        <v>110.955</v>
      </c>
      <c r="F1523">
        <v>103.65</v>
      </c>
      <c r="G1523">
        <v>108.38</v>
      </c>
      <c r="H1523">
        <v>109.67</v>
      </c>
    </row>
    <row r="1524" spans="1:8" x14ac:dyDescent="0.3">
      <c r="A1524" t="s">
        <v>1618</v>
      </c>
      <c r="B1524" t="s">
        <v>31</v>
      </c>
      <c r="C1524">
        <v>45748</v>
      </c>
      <c r="D1524">
        <v>108.515</v>
      </c>
      <c r="E1524">
        <v>110.2</v>
      </c>
      <c r="F1524">
        <v>106.47</v>
      </c>
      <c r="G1524">
        <v>110.15</v>
      </c>
      <c r="H1524">
        <v>108.38</v>
      </c>
    </row>
    <row r="1525" spans="1:8" x14ac:dyDescent="0.3">
      <c r="A1525" t="s">
        <v>1619</v>
      </c>
      <c r="B1525" t="s">
        <v>31</v>
      </c>
      <c r="C1525">
        <v>45749</v>
      </c>
      <c r="D1525">
        <v>107.29</v>
      </c>
      <c r="E1525">
        <v>111.98</v>
      </c>
      <c r="F1525">
        <v>106.79</v>
      </c>
      <c r="G1525">
        <v>110.42</v>
      </c>
      <c r="H1525">
        <v>110.15</v>
      </c>
    </row>
    <row r="1526" spans="1:8" x14ac:dyDescent="0.3">
      <c r="A1526" t="s">
        <v>1620</v>
      </c>
      <c r="B1526" t="s">
        <v>31</v>
      </c>
      <c r="C1526">
        <v>45750</v>
      </c>
      <c r="D1526">
        <v>103.51</v>
      </c>
      <c r="E1526">
        <v>105.63</v>
      </c>
      <c r="F1526">
        <v>101.6</v>
      </c>
      <c r="G1526">
        <v>101.8</v>
      </c>
      <c r="H1526">
        <v>110.42</v>
      </c>
    </row>
    <row r="1527" spans="1:8" x14ac:dyDescent="0.3">
      <c r="A1527" t="s">
        <v>1621</v>
      </c>
      <c r="B1527" t="s">
        <v>31</v>
      </c>
      <c r="C1527">
        <v>45751</v>
      </c>
      <c r="D1527">
        <v>98.91</v>
      </c>
      <c r="E1527">
        <v>100.13</v>
      </c>
      <c r="F1527">
        <v>92.11</v>
      </c>
      <c r="G1527">
        <v>94.31</v>
      </c>
      <c r="H1527">
        <v>101.8</v>
      </c>
    </row>
    <row r="1528" spans="1:8" x14ac:dyDescent="0.3">
      <c r="A1528" t="s">
        <v>1622</v>
      </c>
      <c r="B1528" t="s">
        <v>31</v>
      </c>
      <c r="C1528">
        <v>45754</v>
      </c>
      <c r="D1528">
        <v>87.46</v>
      </c>
      <c r="E1528">
        <v>101.75</v>
      </c>
      <c r="F1528">
        <v>86.62</v>
      </c>
      <c r="G1528">
        <v>97.64</v>
      </c>
      <c r="H1528">
        <v>94.31</v>
      </c>
    </row>
    <row r="1529" spans="1:8" x14ac:dyDescent="0.3">
      <c r="A1529" t="s">
        <v>1623</v>
      </c>
      <c r="B1529" t="s">
        <v>31</v>
      </c>
      <c r="C1529">
        <v>45755</v>
      </c>
      <c r="D1529">
        <v>103.80500000000001</v>
      </c>
      <c r="E1529">
        <v>105.85</v>
      </c>
      <c r="F1529">
        <v>94.46</v>
      </c>
      <c r="G1529">
        <v>96.3</v>
      </c>
      <c r="H1529">
        <v>97.64</v>
      </c>
    </row>
    <row r="1530" spans="1:8" x14ac:dyDescent="0.3">
      <c r="A1530" t="s">
        <v>1624</v>
      </c>
      <c r="B1530" t="s">
        <v>31</v>
      </c>
      <c r="C1530">
        <v>45756</v>
      </c>
      <c r="D1530">
        <v>98.89</v>
      </c>
      <c r="E1530">
        <v>115.1</v>
      </c>
      <c r="F1530">
        <v>97.530100000000004</v>
      </c>
      <c r="G1530">
        <v>114.33</v>
      </c>
      <c r="H1530">
        <v>96.3</v>
      </c>
    </row>
    <row r="1531" spans="1:8" x14ac:dyDescent="0.3">
      <c r="A1531" t="s">
        <v>1625</v>
      </c>
      <c r="B1531" t="s">
        <v>31</v>
      </c>
      <c r="C1531">
        <v>45757</v>
      </c>
      <c r="D1531">
        <v>109.37</v>
      </c>
      <c r="E1531">
        <v>110.86</v>
      </c>
      <c r="F1531">
        <v>99.15</v>
      </c>
      <c r="G1531">
        <v>107.57</v>
      </c>
      <c r="H1531">
        <v>114.33</v>
      </c>
    </row>
    <row r="1532" spans="1:8" x14ac:dyDescent="0.3">
      <c r="A1532" t="s">
        <v>1626</v>
      </c>
      <c r="B1532" t="s">
        <v>31</v>
      </c>
      <c r="C1532">
        <v>45758</v>
      </c>
      <c r="D1532">
        <v>108.5</v>
      </c>
      <c r="E1532">
        <v>111.54989999999999</v>
      </c>
      <c r="F1532">
        <v>107.48</v>
      </c>
      <c r="G1532">
        <v>110.93</v>
      </c>
      <c r="H1532">
        <v>107.57</v>
      </c>
    </row>
    <row r="1533" spans="1:8" x14ac:dyDescent="0.3">
      <c r="A1533" t="s">
        <v>1627</v>
      </c>
      <c r="B1533" t="s">
        <v>31</v>
      </c>
      <c r="C1533">
        <v>45761</v>
      </c>
      <c r="D1533">
        <v>114.11</v>
      </c>
      <c r="E1533">
        <v>114.29</v>
      </c>
      <c r="F1533">
        <v>109.07</v>
      </c>
      <c r="G1533">
        <v>110.71</v>
      </c>
      <c r="H1533">
        <v>110.93</v>
      </c>
    </row>
    <row r="1534" spans="1:8" x14ac:dyDescent="0.3">
      <c r="A1534" t="s">
        <v>1628</v>
      </c>
      <c r="B1534" t="s">
        <v>31</v>
      </c>
      <c r="C1534">
        <v>45762</v>
      </c>
      <c r="D1534">
        <v>110.97</v>
      </c>
      <c r="E1534">
        <v>113.61499999999999</v>
      </c>
      <c r="F1534">
        <v>110.5</v>
      </c>
      <c r="G1534">
        <v>112.2</v>
      </c>
      <c r="H1534">
        <v>110.71</v>
      </c>
    </row>
    <row r="1535" spans="1:8" x14ac:dyDescent="0.3">
      <c r="A1535" t="s">
        <v>1629</v>
      </c>
      <c r="B1535" t="s">
        <v>31</v>
      </c>
      <c r="C1535">
        <v>45763</v>
      </c>
      <c r="D1535">
        <v>104.55</v>
      </c>
      <c r="E1535">
        <v>106.79</v>
      </c>
      <c r="F1535">
        <v>100.45</v>
      </c>
      <c r="G1535">
        <v>104.49</v>
      </c>
      <c r="H1535">
        <v>112.2</v>
      </c>
    </row>
    <row r="1536" spans="1:8" x14ac:dyDescent="0.3">
      <c r="A1536" t="s">
        <v>1630</v>
      </c>
      <c r="B1536" t="s">
        <v>31</v>
      </c>
      <c r="C1536">
        <v>45764</v>
      </c>
      <c r="D1536">
        <v>104.45</v>
      </c>
      <c r="E1536">
        <v>104.47</v>
      </c>
      <c r="F1536">
        <v>100.05</v>
      </c>
      <c r="G1536">
        <v>101.49</v>
      </c>
      <c r="H1536">
        <v>104.49</v>
      </c>
    </row>
    <row r="1537" spans="1:8" x14ac:dyDescent="0.3">
      <c r="A1537" t="s">
        <v>1631</v>
      </c>
      <c r="B1537" t="s">
        <v>31</v>
      </c>
      <c r="C1537">
        <v>45768</v>
      </c>
      <c r="D1537">
        <v>98.77</v>
      </c>
      <c r="E1537">
        <v>99.44</v>
      </c>
      <c r="F1537">
        <v>95.04</v>
      </c>
      <c r="G1537">
        <v>96.91</v>
      </c>
      <c r="H1537">
        <v>101.49</v>
      </c>
    </row>
    <row r="1538" spans="1:8" x14ac:dyDescent="0.3">
      <c r="A1538" t="s">
        <v>1632</v>
      </c>
      <c r="B1538" t="s">
        <v>31</v>
      </c>
      <c r="C1538">
        <v>45769</v>
      </c>
      <c r="D1538">
        <v>98.78</v>
      </c>
      <c r="E1538">
        <v>99.811000000000007</v>
      </c>
      <c r="F1538">
        <v>97.28</v>
      </c>
      <c r="G1538">
        <v>98.89</v>
      </c>
      <c r="H1538">
        <v>96.91</v>
      </c>
    </row>
    <row r="1539" spans="1:8" x14ac:dyDescent="0.3">
      <c r="A1539" t="s">
        <v>1633</v>
      </c>
      <c r="B1539" t="s">
        <v>31</v>
      </c>
      <c r="C1539">
        <v>45770</v>
      </c>
      <c r="D1539">
        <v>104.52</v>
      </c>
      <c r="E1539">
        <v>104.8</v>
      </c>
      <c r="F1539">
        <v>102.02</v>
      </c>
      <c r="G1539">
        <v>102.71</v>
      </c>
      <c r="H1539">
        <v>98.89</v>
      </c>
    </row>
    <row r="1540" spans="1:8" x14ac:dyDescent="0.3">
      <c r="A1540" t="s">
        <v>1634</v>
      </c>
      <c r="B1540" t="s">
        <v>31</v>
      </c>
      <c r="C1540">
        <v>45771</v>
      </c>
      <c r="D1540">
        <v>103.47499999999999</v>
      </c>
      <c r="E1540">
        <v>106.54</v>
      </c>
      <c r="F1540">
        <v>103.11</v>
      </c>
      <c r="G1540">
        <v>106.43</v>
      </c>
      <c r="H1540">
        <v>102.71</v>
      </c>
    </row>
    <row r="1541" spans="1:8" x14ac:dyDescent="0.3">
      <c r="A1541" t="s">
        <v>1635</v>
      </c>
      <c r="B1541" t="s">
        <v>31</v>
      </c>
      <c r="C1541">
        <v>45772</v>
      </c>
      <c r="D1541">
        <v>106.85</v>
      </c>
      <c r="E1541">
        <v>111.92</v>
      </c>
      <c r="F1541">
        <v>105.73</v>
      </c>
      <c r="G1541">
        <v>111.01</v>
      </c>
      <c r="H1541">
        <v>106.43</v>
      </c>
    </row>
    <row r="1542" spans="1:8" x14ac:dyDescent="0.3">
      <c r="A1542" t="s">
        <v>1636</v>
      </c>
      <c r="B1542" t="s">
        <v>31</v>
      </c>
      <c r="C1542">
        <v>45775</v>
      </c>
      <c r="D1542">
        <v>109.69</v>
      </c>
      <c r="E1542">
        <v>110.3699</v>
      </c>
      <c r="F1542">
        <v>106.02</v>
      </c>
      <c r="G1542">
        <v>108.73</v>
      </c>
      <c r="H1542">
        <v>111.01</v>
      </c>
    </row>
    <row r="1543" spans="1:8" x14ac:dyDescent="0.3">
      <c r="A1543" t="s">
        <v>1637</v>
      </c>
      <c r="B1543" t="s">
        <v>31</v>
      </c>
      <c r="C1543">
        <v>45776</v>
      </c>
      <c r="D1543">
        <v>107.67</v>
      </c>
      <c r="E1543">
        <v>110.1999</v>
      </c>
      <c r="F1543">
        <v>107.44</v>
      </c>
      <c r="G1543">
        <v>109.02</v>
      </c>
      <c r="H1543">
        <v>108.73</v>
      </c>
    </row>
    <row r="1544" spans="1:8" x14ac:dyDescent="0.3">
      <c r="A1544" t="s">
        <v>1638</v>
      </c>
      <c r="B1544" t="s">
        <v>31</v>
      </c>
      <c r="C1544">
        <v>45777</v>
      </c>
      <c r="D1544">
        <v>104.47</v>
      </c>
      <c r="E1544">
        <v>108.92</v>
      </c>
      <c r="F1544">
        <v>104.08</v>
      </c>
      <c r="G1544">
        <v>108.92</v>
      </c>
      <c r="H1544">
        <v>109.02</v>
      </c>
    </row>
    <row r="1545" spans="1:8" x14ac:dyDescent="0.3">
      <c r="A1545" t="s">
        <v>1639</v>
      </c>
      <c r="B1545" t="s">
        <v>31</v>
      </c>
      <c r="C1545">
        <v>45778</v>
      </c>
      <c r="D1545">
        <v>113.08</v>
      </c>
      <c r="E1545">
        <v>114.94</v>
      </c>
      <c r="F1545">
        <v>111.3</v>
      </c>
      <c r="G1545">
        <v>111.61</v>
      </c>
      <c r="H1545">
        <v>108.92</v>
      </c>
    </row>
    <row r="1546" spans="1:8" x14ac:dyDescent="0.3">
      <c r="A1546" t="s">
        <v>1640</v>
      </c>
      <c r="B1546" t="s">
        <v>31</v>
      </c>
      <c r="C1546">
        <v>45779</v>
      </c>
      <c r="D1546">
        <v>114.18</v>
      </c>
      <c r="E1546">
        <v>115.4</v>
      </c>
      <c r="F1546">
        <v>113.37</v>
      </c>
      <c r="G1546">
        <v>114.5</v>
      </c>
      <c r="H1546">
        <v>111.61</v>
      </c>
    </row>
    <row r="1547" spans="1:8" x14ac:dyDescent="0.3">
      <c r="A1547" t="s">
        <v>1641</v>
      </c>
      <c r="B1547" t="s">
        <v>31</v>
      </c>
      <c r="C1547">
        <v>45782</v>
      </c>
      <c r="D1547">
        <v>112.905</v>
      </c>
      <c r="E1547">
        <v>114.66500000000001</v>
      </c>
      <c r="F1547">
        <v>112.66</v>
      </c>
      <c r="G1547">
        <v>113.82</v>
      </c>
      <c r="H1547">
        <v>114.5</v>
      </c>
    </row>
    <row r="1548" spans="1:8" x14ac:dyDescent="0.3">
      <c r="A1548" t="s">
        <v>1642</v>
      </c>
      <c r="B1548" t="s">
        <v>31</v>
      </c>
      <c r="C1548">
        <v>45783</v>
      </c>
      <c r="D1548">
        <v>111.48</v>
      </c>
      <c r="E1548">
        <v>114.74</v>
      </c>
      <c r="F1548">
        <v>110.822</v>
      </c>
      <c r="G1548">
        <v>113.54</v>
      </c>
      <c r="H1548">
        <v>113.82</v>
      </c>
    </row>
    <row r="1549" spans="1:8" x14ac:dyDescent="0.3">
      <c r="A1549" t="s">
        <v>1643</v>
      </c>
      <c r="B1549" t="s">
        <v>31</v>
      </c>
      <c r="C1549">
        <v>45784</v>
      </c>
      <c r="D1549">
        <v>113.045</v>
      </c>
      <c r="E1549">
        <v>117.68</v>
      </c>
      <c r="F1549">
        <v>112.2818</v>
      </c>
      <c r="G1549">
        <v>117.06</v>
      </c>
      <c r="H1549">
        <v>113.54</v>
      </c>
    </row>
    <row r="1550" spans="1:8" x14ac:dyDescent="0.3">
      <c r="A1550" t="s">
        <v>1644</v>
      </c>
      <c r="B1550" t="s">
        <v>31</v>
      </c>
      <c r="C1550">
        <v>45785</v>
      </c>
      <c r="D1550">
        <v>118.25</v>
      </c>
      <c r="E1550">
        <v>118.68</v>
      </c>
      <c r="F1550">
        <v>115.85</v>
      </c>
      <c r="G1550">
        <v>117.37</v>
      </c>
      <c r="H1550">
        <v>117.06</v>
      </c>
    </row>
    <row r="1551" spans="1:8" x14ac:dyDescent="0.3">
      <c r="A1551" t="s">
        <v>1645</v>
      </c>
      <c r="B1551" t="s">
        <v>31</v>
      </c>
      <c r="C1551">
        <v>45786</v>
      </c>
      <c r="D1551">
        <v>117.35</v>
      </c>
      <c r="E1551">
        <v>118.23</v>
      </c>
      <c r="F1551">
        <v>115.21</v>
      </c>
      <c r="G1551">
        <v>116.65</v>
      </c>
      <c r="H1551">
        <v>117.37</v>
      </c>
    </row>
    <row r="1552" spans="1:8" x14ac:dyDescent="0.3">
      <c r="A1552" t="s">
        <v>1646</v>
      </c>
      <c r="B1552" t="s">
        <v>31</v>
      </c>
      <c r="C1552">
        <v>45789</v>
      </c>
      <c r="D1552">
        <v>121.97</v>
      </c>
      <c r="E1552">
        <v>123</v>
      </c>
      <c r="F1552">
        <v>120.28</v>
      </c>
      <c r="G1552">
        <v>123</v>
      </c>
      <c r="H1552">
        <v>116.65</v>
      </c>
    </row>
    <row r="1553" spans="1:8" x14ac:dyDescent="0.3">
      <c r="A1553" t="s">
        <v>1647</v>
      </c>
      <c r="B1553" t="s">
        <v>31</v>
      </c>
      <c r="C1553">
        <v>45790</v>
      </c>
      <c r="D1553">
        <v>124.98</v>
      </c>
      <c r="E1553">
        <v>131.21889999999999</v>
      </c>
      <c r="F1553">
        <v>124.47</v>
      </c>
      <c r="G1553">
        <v>129.93</v>
      </c>
      <c r="H1553">
        <v>123</v>
      </c>
    </row>
    <row r="1554" spans="1:8" x14ac:dyDescent="0.3">
      <c r="A1554" t="s">
        <v>1648</v>
      </c>
      <c r="B1554" t="s">
        <v>31</v>
      </c>
      <c r="C1554">
        <v>45791</v>
      </c>
      <c r="D1554">
        <v>133.19499999999999</v>
      </c>
      <c r="E1554">
        <v>135.435</v>
      </c>
      <c r="F1554">
        <v>131.68</v>
      </c>
      <c r="G1554">
        <v>135.34</v>
      </c>
      <c r="H1554">
        <v>129.93</v>
      </c>
    </row>
    <row r="1555" spans="1:8" x14ac:dyDescent="0.3">
      <c r="A1555" t="s">
        <v>1649</v>
      </c>
      <c r="B1555" t="s">
        <v>31</v>
      </c>
      <c r="C1555">
        <v>45792</v>
      </c>
      <c r="D1555">
        <v>134.29499999999999</v>
      </c>
      <c r="E1555">
        <v>136.30000000000001</v>
      </c>
      <c r="F1555">
        <v>132.66</v>
      </c>
      <c r="G1555">
        <v>134.83000000000001</v>
      </c>
      <c r="H1555">
        <v>135.34</v>
      </c>
    </row>
    <row r="1556" spans="1:8" x14ac:dyDescent="0.3">
      <c r="A1556" t="s">
        <v>1650</v>
      </c>
      <c r="B1556" t="s">
        <v>31</v>
      </c>
      <c r="C1556">
        <v>45793</v>
      </c>
      <c r="D1556">
        <v>136.22</v>
      </c>
      <c r="E1556">
        <v>136.35</v>
      </c>
      <c r="F1556">
        <v>133.46</v>
      </c>
      <c r="G1556">
        <v>135.4</v>
      </c>
      <c r="H1556">
        <v>134.83000000000001</v>
      </c>
    </row>
    <row r="1557" spans="1:8" x14ac:dyDescent="0.3">
      <c r="A1557" t="s">
        <v>1651</v>
      </c>
      <c r="B1557" t="s">
        <v>31</v>
      </c>
      <c r="C1557">
        <v>45796</v>
      </c>
      <c r="D1557">
        <v>132.38999999999999</v>
      </c>
      <c r="E1557">
        <v>135.87</v>
      </c>
      <c r="F1557">
        <v>132.38999999999999</v>
      </c>
      <c r="G1557">
        <v>135.57</v>
      </c>
      <c r="H1557">
        <v>135.4</v>
      </c>
    </row>
    <row r="1558" spans="1:8" x14ac:dyDescent="0.3">
      <c r="A1558" t="s">
        <v>1652</v>
      </c>
      <c r="B1558" t="s">
        <v>31</v>
      </c>
      <c r="C1558">
        <v>45797</v>
      </c>
      <c r="D1558">
        <v>134.29</v>
      </c>
      <c r="E1558">
        <v>134.58000000000001</v>
      </c>
      <c r="F1558">
        <v>132.62</v>
      </c>
      <c r="G1558">
        <v>134.38</v>
      </c>
      <c r="H1558">
        <v>135.57</v>
      </c>
    </row>
    <row r="1559" spans="1:8" x14ac:dyDescent="0.3">
      <c r="A1559" t="s">
        <v>1653</v>
      </c>
      <c r="B1559" t="s">
        <v>31</v>
      </c>
      <c r="C1559">
        <v>45798</v>
      </c>
      <c r="D1559">
        <v>133.06</v>
      </c>
      <c r="E1559">
        <v>137.4</v>
      </c>
      <c r="F1559">
        <v>130.59</v>
      </c>
      <c r="G1559">
        <v>131.80000000000001</v>
      </c>
      <c r="H1559">
        <v>134.38</v>
      </c>
    </row>
    <row r="1560" spans="1:8" x14ac:dyDescent="0.3">
      <c r="A1560" t="s">
        <v>1654</v>
      </c>
      <c r="B1560" t="s">
        <v>31</v>
      </c>
      <c r="C1560">
        <v>45799</v>
      </c>
      <c r="D1560">
        <v>132.22999999999999</v>
      </c>
      <c r="E1560">
        <v>134.25</v>
      </c>
      <c r="F1560">
        <v>131.55000000000001</v>
      </c>
      <c r="G1560">
        <v>132.83000000000001</v>
      </c>
      <c r="H1560">
        <v>131.80000000000001</v>
      </c>
    </row>
    <row r="1561" spans="1:8" x14ac:dyDescent="0.3">
      <c r="A1561" t="s">
        <v>1655</v>
      </c>
      <c r="B1561" t="s">
        <v>31</v>
      </c>
      <c r="C1561">
        <v>45800</v>
      </c>
      <c r="D1561">
        <v>130</v>
      </c>
      <c r="E1561">
        <v>132.68</v>
      </c>
      <c r="F1561">
        <v>129.16</v>
      </c>
      <c r="G1561">
        <v>131.29</v>
      </c>
      <c r="H1561">
        <v>132.83000000000001</v>
      </c>
    </row>
    <row r="1562" spans="1:8" x14ac:dyDescent="0.3">
      <c r="A1562" t="s">
        <v>1656</v>
      </c>
      <c r="B1562" t="s">
        <v>31</v>
      </c>
      <c r="C1562">
        <v>45804</v>
      </c>
      <c r="D1562">
        <v>134.15</v>
      </c>
      <c r="E1562">
        <v>135.66</v>
      </c>
      <c r="F1562">
        <v>133.31</v>
      </c>
      <c r="G1562">
        <v>135.5</v>
      </c>
      <c r="H1562">
        <v>131.29</v>
      </c>
    </row>
    <row r="1563" spans="1:8" x14ac:dyDescent="0.3">
      <c r="A1563" t="s">
        <v>1657</v>
      </c>
      <c r="B1563" t="s">
        <v>31</v>
      </c>
      <c r="C1563">
        <v>45805</v>
      </c>
      <c r="D1563">
        <v>136.02500000000001</v>
      </c>
      <c r="E1563">
        <v>137.25</v>
      </c>
      <c r="F1563">
        <v>134.79</v>
      </c>
      <c r="G1563">
        <v>134.81</v>
      </c>
      <c r="H1563">
        <v>135.5</v>
      </c>
    </row>
    <row r="1564" spans="1:8" x14ac:dyDescent="0.3">
      <c r="A1564" t="s">
        <v>1658</v>
      </c>
      <c r="B1564" t="s">
        <v>31</v>
      </c>
      <c r="C1564">
        <v>45806</v>
      </c>
      <c r="D1564">
        <v>142.245</v>
      </c>
      <c r="E1564">
        <v>143.49</v>
      </c>
      <c r="F1564">
        <v>137.91</v>
      </c>
      <c r="G1564">
        <v>139.19</v>
      </c>
      <c r="H1564">
        <v>134.81</v>
      </c>
    </row>
    <row r="1565" spans="1:8" x14ac:dyDescent="0.3">
      <c r="A1565" t="s">
        <v>1659</v>
      </c>
      <c r="B1565" t="s">
        <v>31</v>
      </c>
      <c r="C1565">
        <v>45807</v>
      </c>
      <c r="D1565">
        <v>138.715</v>
      </c>
      <c r="E1565">
        <v>139.62</v>
      </c>
      <c r="F1565">
        <v>132.91999999999999</v>
      </c>
      <c r="G1565">
        <v>135.13</v>
      </c>
      <c r="H1565">
        <v>139.19</v>
      </c>
    </row>
    <row r="1566" spans="1:8" x14ac:dyDescent="0.3">
      <c r="A1566" t="s">
        <v>1660</v>
      </c>
      <c r="B1566" t="s">
        <v>31</v>
      </c>
      <c r="C1566">
        <v>45810</v>
      </c>
      <c r="D1566">
        <v>135.49</v>
      </c>
      <c r="E1566">
        <v>138.12</v>
      </c>
      <c r="F1566">
        <v>135.4</v>
      </c>
      <c r="G1566">
        <v>137.38</v>
      </c>
      <c r="H1566">
        <v>135.13</v>
      </c>
    </row>
    <row r="1567" spans="1:8" x14ac:dyDescent="0.3">
      <c r="A1567" t="s">
        <v>1661</v>
      </c>
      <c r="B1567" t="s">
        <v>31</v>
      </c>
      <c r="C1567">
        <v>45811</v>
      </c>
      <c r="D1567">
        <v>138.78</v>
      </c>
      <c r="E1567">
        <v>142</v>
      </c>
      <c r="F1567">
        <v>137.94999999999999</v>
      </c>
      <c r="G1567">
        <v>141.22</v>
      </c>
      <c r="H1567">
        <v>137.38</v>
      </c>
    </row>
    <row r="1568" spans="1:8" x14ac:dyDescent="0.3">
      <c r="A1568" t="s">
        <v>1662</v>
      </c>
      <c r="B1568" t="s">
        <v>31</v>
      </c>
      <c r="C1568">
        <v>45812</v>
      </c>
      <c r="D1568">
        <v>142.19</v>
      </c>
      <c r="E1568">
        <v>142.38999999999999</v>
      </c>
      <c r="F1568">
        <v>139.54499999999999</v>
      </c>
      <c r="G1568">
        <v>141.91999999999999</v>
      </c>
      <c r="H1568">
        <v>141.22</v>
      </c>
    </row>
    <row r="1569" spans="1:8" x14ac:dyDescent="0.3">
      <c r="A1569" t="s">
        <v>1663</v>
      </c>
      <c r="B1569" t="s">
        <v>31</v>
      </c>
      <c r="C1569">
        <v>45813</v>
      </c>
      <c r="D1569">
        <v>142.16999999999999</v>
      </c>
      <c r="E1569">
        <v>144</v>
      </c>
      <c r="F1569">
        <v>138.83000000000001</v>
      </c>
      <c r="G1569">
        <v>139.99</v>
      </c>
      <c r="H1569">
        <v>141.91999999999999</v>
      </c>
    </row>
    <row r="1570" spans="1:8" x14ac:dyDescent="0.3">
      <c r="A1570" t="s">
        <v>1664</v>
      </c>
      <c r="B1570" t="s">
        <v>31</v>
      </c>
      <c r="C1570">
        <v>45814</v>
      </c>
      <c r="D1570">
        <v>142.51</v>
      </c>
      <c r="E1570">
        <v>143.27000000000001</v>
      </c>
      <c r="F1570">
        <v>141.51</v>
      </c>
      <c r="G1570">
        <v>141.72</v>
      </c>
      <c r="H1570">
        <v>139.99</v>
      </c>
    </row>
    <row r="1571" spans="1:8" x14ac:dyDescent="0.3">
      <c r="A1571" t="s">
        <v>1665</v>
      </c>
      <c r="B1571" t="s">
        <v>31</v>
      </c>
      <c r="C1571">
        <v>45817</v>
      </c>
      <c r="D1571">
        <v>143.19</v>
      </c>
      <c r="E1571">
        <v>145</v>
      </c>
      <c r="F1571">
        <v>141.94</v>
      </c>
      <c r="G1571">
        <v>142.63</v>
      </c>
      <c r="H1571">
        <v>141.72</v>
      </c>
    </row>
    <row r="1572" spans="1:8" x14ac:dyDescent="0.3">
      <c r="A1572" t="s">
        <v>1666</v>
      </c>
      <c r="B1572" t="s">
        <v>31</v>
      </c>
      <c r="C1572">
        <v>45818</v>
      </c>
      <c r="D1572">
        <v>142.69</v>
      </c>
      <c r="E1572">
        <v>144.29</v>
      </c>
      <c r="F1572">
        <v>141.52500000000001</v>
      </c>
      <c r="G1572">
        <v>143.96</v>
      </c>
      <c r="H1572">
        <v>142.63</v>
      </c>
    </row>
    <row r="1573" spans="1:8" x14ac:dyDescent="0.3">
      <c r="A1573" t="s">
        <v>1667</v>
      </c>
      <c r="B1573" t="s">
        <v>31</v>
      </c>
      <c r="C1573">
        <v>45819</v>
      </c>
      <c r="D1573">
        <v>144.61000000000001</v>
      </c>
      <c r="E1573">
        <v>144.99</v>
      </c>
      <c r="F1573">
        <v>141.87</v>
      </c>
      <c r="G1573">
        <v>142.83000000000001</v>
      </c>
      <c r="H1573">
        <v>143.96</v>
      </c>
    </row>
    <row r="1574" spans="1:8" x14ac:dyDescent="0.3">
      <c r="A1574" t="s">
        <v>1668</v>
      </c>
      <c r="B1574" t="s">
        <v>31</v>
      </c>
      <c r="C1574">
        <v>45820</v>
      </c>
      <c r="D1574">
        <v>141.97</v>
      </c>
      <c r="E1574">
        <v>145</v>
      </c>
      <c r="F1574">
        <v>141.85</v>
      </c>
      <c r="G1574">
        <v>145</v>
      </c>
      <c r="H1574">
        <v>142.83000000000001</v>
      </c>
    </row>
    <row r="1575" spans="1:8" x14ac:dyDescent="0.3">
      <c r="A1575" t="s">
        <v>1669</v>
      </c>
      <c r="B1575" t="s">
        <v>31</v>
      </c>
      <c r="C1575">
        <v>45821</v>
      </c>
      <c r="D1575">
        <v>142.47999999999999</v>
      </c>
      <c r="E1575">
        <v>143.58000000000001</v>
      </c>
      <c r="F1575">
        <v>140.85499999999999</v>
      </c>
      <c r="G1575">
        <v>141.97</v>
      </c>
      <c r="H1575">
        <v>145</v>
      </c>
    </row>
    <row r="1576" spans="1:8" x14ac:dyDescent="0.3">
      <c r="A1576" t="s">
        <v>1670</v>
      </c>
      <c r="B1576" t="s">
        <v>31</v>
      </c>
      <c r="C1576">
        <v>45824</v>
      </c>
      <c r="D1576">
        <v>143.345</v>
      </c>
      <c r="E1576">
        <v>146.17500000000001</v>
      </c>
      <c r="F1576">
        <v>143.20009999999999</v>
      </c>
      <c r="G1576">
        <v>144.69</v>
      </c>
      <c r="H1576">
        <v>141.97</v>
      </c>
    </row>
    <row r="1577" spans="1:8" x14ac:dyDescent="0.3">
      <c r="A1577" t="s">
        <v>1671</v>
      </c>
      <c r="B1577" t="s">
        <v>31</v>
      </c>
      <c r="C1577">
        <v>45825</v>
      </c>
      <c r="D1577">
        <v>144.49</v>
      </c>
      <c r="E1577">
        <v>145.22</v>
      </c>
      <c r="F1577">
        <v>143.78</v>
      </c>
      <c r="G1577">
        <v>144.12</v>
      </c>
      <c r="H1577">
        <v>144.69</v>
      </c>
    </row>
    <row r="1578" spans="1:8" x14ac:dyDescent="0.3">
      <c r="A1578" t="s">
        <v>1672</v>
      </c>
      <c r="B1578" t="s">
        <v>31</v>
      </c>
      <c r="C1578">
        <v>45826</v>
      </c>
      <c r="D1578">
        <v>144.005</v>
      </c>
      <c r="E1578">
        <v>145.65</v>
      </c>
      <c r="F1578">
        <v>143.12</v>
      </c>
      <c r="G1578">
        <v>145.47999999999999</v>
      </c>
      <c r="H1578">
        <v>144.12</v>
      </c>
    </row>
    <row r="1579" spans="1:8" x14ac:dyDescent="0.3">
      <c r="A1579" t="s">
        <v>1673</v>
      </c>
      <c r="B1579" t="s">
        <v>31</v>
      </c>
      <c r="C1579">
        <v>45828</v>
      </c>
      <c r="D1579">
        <v>145.44999999999999</v>
      </c>
      <c r="E1579">
        <v>146.19999999999999</v>
      </c>
      <c r="F1579">
        <v>142.65</v>
      </c>
      <c r="G1579">
        <v>143.85</v>
      </c>
      <c r="H1579">
        <v>145.47999999999999</v>
      </c>
    </row>
    <row r="1580" spans="1:8" x14ac:dyDescent="0.3">
      <c r="A1580" t="s">
        <v>1674</v>
      </c>
      <c r="B1580" t="s">
        <v>31</v>
      </c>
      <c r="C1580">
        <v>45831</v>
      </c>
      <c r="D1580">
        <v>142.5</v>
      </c>
      <c r="E1580">
        <v>144.78</v>
      </c>
      <c r="F1580">
        <v>142.03</v>
      </c>
      <c r="G1580">
        <v>144.16999999999999</v>
      </c>
      <c r="H1580">
        <v>143.85</v>
      </c>
    </row>
    <row r="1581" spans="1:8" x14ac:dyDescent="0.3">
      <c r="A1581" t="s">
        <v>1675</v>
      </c>
      <c r="B1581" t="s">
        <v>31</v>
      </c>
      <c r="C1581">
        <v>45832</v>
      </c>
      <c r="D1581">
        <v>145.56</v>
      </c>
      <c r="E1581">
        <v>147.96</v>
      </c>
      <c r="F1581">
        <v>145.5</v>
      </c>
      <c r="G1581">
        <v>147.9</v>
      </c>
      <c r="H1581">
        <v>144.16999999999999</v>
      </c>
    </row>
    <row r="1582" spans="1:8" x14ac:dyDescent="0.3">
      <c r="A1582" t="s">
        <v>1676</v>
      </c>
      <c r="B1582" t="s">
        <v>31</v>
      </c>
      <c r="C1582">
        <v>45833</v>
      </c>
      <c r="D1582">
        <v>149.27000000000001</v>
      </c>
      <c r="E1582">
        <v>154.44999999999999</v>
      </c>
      <c r="F1582">
        <v>149.26</v>
      </c>
      <c r="G1582">
        <v>154.31</v>
      </c>
      <c r="H1582">
        <v>147.9</v>
      </c>
    </row>
    <row r="1583" spans="1:8" x14ac:dyDescent="0.3">
      <c r="A1583" t="s">
        <v>1677</v>
      </c>
      <c r="B1583" t="s">
        <v>31</v>
      </c>
      <c r="C1583">
        <v>45834</v>
      </c>
      <c r="D1583">
        <v>155.97499999999999</v>
      </c>
      <c r="E1583">
        <v>156.715</v>
      </c>
      <c r="F1583">
        <v>154</v>
      </c>
      <c r="G1583">
        <v>155.02000000000001</v>
      </c>
      <c r="H1583">
        <v>154.31</v>
      </c>
    </row>
    <row r="1584" spans="1:8" x14ac:dyDescent="0.3">
      <c r="A1584" t="s">
        <v>1678</v>
      </c>
      <c r="B1584" t="s">
        <v>31</v>
      </c>
      <c r="C1584">
        <v>45835</v>
      </c>
      <c r="D1584">
        <v>156.04</v>
      </c>
      <c r="E1584">
        <v>158.71</v>
      </c>
      <c r="F1584">
        <v>155.255</v>
      </c>
      <c r="G1584">
        <v>157.75</v>
      </c>
      <c r="H1584">
        <v>155.02000000000001</v>
      </c>
    </row>
    <row r="1585" spans="1:8" x14ac:dyDescent="0.3">
      <c r="A1585" t="s">
        <v>113</v>
      </c>
      <c r="B1585" t="s">
        <v>31</v>
      </c>
      <c r="C1585">
        <v>45838</v>
      </c>
      <c r="D1585">
        <v>158.4</v>
      </c>
      <c r="E1585">
        <v>158.66</v>
      </c>
      <c r="F1585">
        <v>155.96</v>
      </c>
      <c r="G1585">
        <v>157.99</v>
      </c>
      <c r="H1585">
        <v>157.75</v>
      </c>
    </row>
    <row r="1586" spans="1:8" x14ac:dyDescent="0.3">
      <c r="A1586" t="s">
        <v>1679</v>
      </c>
      <c r="B1586" t="s">
        <v>31</v>
      </c>
      <c r="C1586">
        <v>45839</v>
      </c>
      <c r="D1586">
        <v>156.29</v>
      </c>
      <c r="E1586">
        <v>157.19999999999999</v>
      </c>
      <c r="F1586">
        <v>151.49</v>
      </c>
      <c r="G1586">
        <v>153.30000000000001</v>
      </c>
      <c r="H1586">
        <v>157.99</v>
      </c>
    </row>
    <row r="1587" spans="1:8" x14ac:dyDescent="0.3">
      <c r="A1587" t="s">
        <v>1680</v>
      </c>
      <c r="B1587" t="s">
        <v>31</v>
      </c>
      <c r="C1587">
        <v>45840</v>
      </c>
      <c r="D1587">
        <v>152.97999999999999</v>
      </c>
      <c r="E1587">
        <v>157.6</v>
      </c>
      <c r="F1587">
        <v>152.97</v>
      </c>
      <c r="G1587">
        <v>157.25</v>
      </c>
      <c r="H1587">
        <v>153.30000000000001</v>
      </c>
    </row>
    <row r="1588" spans="1:8" x14ac:dyDescent="0.3">
      <c r="A1588" t="s">
        <v>1681</v>
      </c>
      <c r="B1588" t="s">
        <v>31</v>
      </c>
      <c r="C1588">
        <v>45841</v>
      </c>
      <c r="D1588">
        <v>158.37</v>
      </c>
      <c r="E1588">
        <v>160.97999999999999</v>
      </c>
      <c r="F1588">
        <v>157.77000000000001</v>
      </c>
      <c r="G1588">
        <v>159.28800000000001</v>
      </c>
      <c r="H1588">
        <v>157.25</v>
      </c>
    </row>
    <row r="1589" spans="1:8" x14ac:dyDescent="0.3">
      <c r="A1589" t="s">
        <v>1682</v>
      </c>
      <c r="B1589" t="s">
        <v>31</v>
      </c>
      <c r="C1589">
        <v>45845</v>
      </c>
      <c r="D1589">
        <v>158.19999999999999</v>
      </c>
      <c r="E1589">
        <v>159.31</v>
      </c>
      <c r="F1589">
        <v>157.34200000000001</v>
      </c>
      <c r="G1589">
        <v>158.24</v>
      </c>
      <c r="H1589">
        <v>159.28800000000001</v>
      </c>
    </row>
    <row r="1590" spans="1:8" x14ac:dyDescent="0.3">
      <c r="A1590" t="s">
        <v>1683</v>
      </c>
      <c r="B1590" t="s">
        <v>31</v>
      </c>
      <c r="C1590">
        <v>45846</v>
      </c>
      <c r="D1590">
        <v>159.33000000000001</v>
      </c>
      <c r="E1590">
        <v>160.22</v>
      </c>
      <c r="F1590">
        <v>158.38999999999999</v>
      </c>
      <c r="G1590">
        <v>160</v>
      </c>
      <c r="H1590">
        <v>158.24</v>
      </c>
    </row>
    <row r="1591" spans="1:8" x14ac:dyDescent="0.3">
      <c r="A1591" t="s">
        <v>1684</v>
      </c>
      <c r="B1591" t="s">
        <v>31</v>
      </c>
      <c r="C1591">
        <v>45847</v>
      </c>
      <c r="D1591">
        <v>161.22</v>
      </c>
      <c r="E1591">
        <v>164.42</v>
      </c>
      <c r="F1591">
        <v>161.16</v>
      </c>
      <c r="G1591">
        <v>162.88</v>
      </c>
      <c r="H1591">
        <v>160</v>
      </c>
    </row>
    <row r="1592" spans="1:8" x14ac:dyDescent="0.3">
      <c r="A1592" t="s">
        <v>1685</v>
      </c>
      <c r="B1592" t="s">
        <v>31</v>
      </c>
      <c r="C1592">
        <v>45848</v>
      </c>
      <c r="D1592">
        <v>164.32</v>
      </c>
      <c r="E1592">
        <v>164.5</v>
      </c>
      <c r="F1592">
        <v>161.61000000000001</v>
      </c>
      <c r="G1592">
        <v>164.1</v>
      </c>
      <c r="H1592">
        <v>162.88</v>
      </c>
    </row>
    <row r="1593" spans="1:8" x14ac:dyDescent="0.3">
      <c r="A1593" t="s">
        <v>1686</v>
      </c>
      <c r="B1593" t="s">
        <v>31</v>
      </c>
      <c r="C1593">
        <v>45849</v>
      </c>
      <c r="D1593">
        <v>163.715</v>
      </c>
      <c r="E1593">
        <v>167.89</v>
      </c>
      <c r="F1593">
        <v>163.47</v>
      </c>
      <c r="G1593">
        <v>164.92</v>
      </c>
      <c r="H1593">
        <v>164.1</v>
      </c>
    </row>
    <row r="1594" spans="1:8" x14ac:dyDescent="0.3">
      <c r="A1594" t="s">
        <v>1687</v>
      </c>
      <c r="B1594" t="s">
        <v>31</v>
      </c>
      <c r="C1594">
        <v>45852</v>
      </c>
      <c r="D1594">
        <v>165.37</v>
      </c>
      <c r="E1594">
        <v>165.49</v>
      </c>
      <c r="F1594">
        <v>162.02000000000001</v>
      </c>
      <c r="G1594">
        <v>164.07</v>
      </c>
      <c r="H1594">
        <v>164.92</v>
      </c>
    </row>
    <row r="1595" spans="1:8" x14ac:dyDescent="0.3">
      <c r="A1595" t="s">
        <v>1688</v>
      </c>
      <c r="B1595" t="s">
        <v>31</v>
      </c>
      <c r="C1595">
        <v>45853</v>
      </c>
      <c r="D1595">
        <v>171.19</v>
      </c>
      <c r="E1595">
        <v>172.4</v>
      </c>
      <c r="F1595">
        <v>169.19499999999999</v>
      </c>
      <c r="G1595">
        <v>170.7</v>
      </c>
      <c r="H1595">
        <v>164.07</v>
      </c>
    </row>
    <row r="1596" spans="1:8" x14ac:dyDescent="0.3">
      <c r="A1596" t="s">
        <v>1689</v>
      </c>
      <c r="B1596" t="s">
        <v>31</v>
      </c>
      <c r="C1596">
        <v>45854</v>
      </c>
      <c r="D1596">
        <v>171.06</v>
      </c>
      <c r="E1596">
        <v>171.75</v>
      </c>
      <c r="F1596">
        <v>168.9</v>
      </c>
      <c r="G1596">
        <v>171.37</v>
      </c>
      <c r="H1596">
        <v>170.7</v>
      </c>
    </row>
    <row r="1597" spans="1:8" x14ac:dyDescent="0.3">
      <c r="A1597" t="s">
        <v>1690</v>
      </c>
      <c r="B1597" t="s">
        <v>31</v>
      </c>
      <c r="C1597">
        <v>45855</v>
      </c>
      <c r="D1597">
        <v>172.02</v>
      </c>
      <c r="E1597">
        <v>174.16</v>
      </c>
      <c r="F1597">
        <v>170.83</v>
      </c>
      <c r="G1597">
        <v>173</v>
      </c>
      <c r="H1597">
        <v>171.37</v>
      </c>
    </row>
    <row r="1598" spans="1:8" x14ac:dyDescent="0.3">
      <c r="A1598" t="s">
        <v>1691</v>
      </c>
      <c r="B1598" t="s">
        <v>31</v>
      </c>
      <c r="C1598">
        <v>45856</v>
      </c>
      <c r="D1598">
        <v>173.64</v>
      </c>
      <c r="E1598">
        <v>174.25</v>
      </c>
      <c r="F1598">
        <v>171.26</v>
      </c>
      <c r="G1598">
        <v>172.41</v>
      </c>
      <c r="H1598">
        <v>173</v>
      </c>
    </row>
    <row r="1599" spans="1:8" x14ac:dyDescent="0.3">
      <c r="A1599" t="s">
        <v>1692</v>
      </c>
      <c r="B1599" t="s">
        <v>31</v>
      </c>
      <c r="C1599">
        <v>45859</v>
      </c>
      <c r="D1599">
        <v>172.75</v>
      </c>
      <c r="E1599">
        <v>173.38</v>
      </c>
      <c r="F1599">
        <v>171</v>
      </c>
      <c r="G1599">
        <v>171.38</v>
      </c>
      <c r="H1599">
        <v>172.41</v>
      </c>
    </row>
    <row r="1600" spans="1:8" x14ac:dyDescent="0.3">
      <c r="A1600" t="s">
        <v>1693</v>
      </c>
      <c r="B1600" t="s">
        <v>31</v>
      </c>
      <c r="C1600">
        <v>45860</v>
      </c>
      <c r="D1600">
        <v>171.34</v>
      </c>
      <c r="E1600">
        <v>171.39</v>
      </c>
      <c r="F1600">
        <v>164.58</v>
      </c>
      <c r="G1600">
        <v>167.03</v>
      </c>
      <c r="H1600">
        <v>171.38</v>
      </c>
    </row>
    <row r="1601" spans="1:8" x14ac:dyDescent="0.3">
      <c r="A1601" t="s">
        <v>1694</v>
      </c>
      <c r="B1601" t="s">
        <v>31</v>
      </c>
      <c r="C1601">
        <v>45861</v>
      </c>
      <c r="D1601">
        <v>169.53</v>
      </c>
      <c r="E1601">
        <v>171.26</v>
      </c>
      <c r="F1601">
        <v>167.97</v>
      </c>
      <c r="G1601">
        <v>170.78</v>
      </c>
      <c r="H1601">
        <v>167.03</v>
      </c>
    </row>
    <row r="1602" spans="1:8" x14ac:dyDescent="0.3">
      <c r="A1602" t="s">
        <v>1695</v>
      </c>
      <c r="B1602" t="s">
        <v>31</v>
      </c>
      <c r="C1602">
        <v>45862</v>
      </c>
      <c r="D1602">
        <v>172.44</v>
      </c>
      <c r="E1602">
        <v>173.83</v>
      </c>
      <c r="F1602">
        <v>171.3</v>
      </c>
      <c r="G1602">
        <v>173.74</v>
      </c>
      <c r="H1602">
        <v>170.78</v>
      </c>
    </row>
    <row r="1603" spans="1:8" x14ac:dyDescent="0.3">
      <c r="A1603" t="s">
        <v>1696</v>
      </c>
      <c r="B1603" t="s">
        <v>31</v>
      </c>
      <c r="C1603">
        <v>45863</v>
      </c>
      <c r="D1603">
        <v>173.61</v>
      </c>
      <c r="E1603">
        <v>174.72</v>
      </c>
      <c r="F1603">
        <v>172.96</v>
      </c>
      <c r="G1603">
        <v>173.5</v>
      </c>
      <c r="H1603">
        <v>173.74</v>
      </c>
    </row>
    <row r="1604" spans="1:8" x14ac:dyDescent="0.3">
      <c r="A1604" t="s">
        <v>1697</v>
      </c>
      <c r="B1604" t="s">
        <v>31</v>
      </c>
      <c r="C1604">
        <v>45866</v>
      </c>
      <c r="D1604">
        <v>174.02</v>
      </c>
      <c r="E1604">
        <v>177</v>
      </c>
      <c r="F1604">
        <v>173.97</v>
      </c>
      <c r="G1604">
        <v>176.75</v>
      </c>
      <c r="H1604">
        <v>173.5</v>
      </c>
    </row>
    <row r="1605" spans="1:8" x14ac:dyDescent="0.3">
      <c r="A1605" t="s">
        <v>1698</v>
      </c>
      <c r="B1605" t="s">
        <v>31</v>
      </c>
      <c r="C1605">
        <v>45867</v>
      </c>
      <c r="D1605">
        <v>177.96</v>
      </c>
      <c r="E1605">
        <v>179.38</v>
      </c>
      <c r="F1605">
        <v>175.02</v>
      </c>
      <c r="G1605">
        <v>175.51</v>
      </c>
      <c r="H1605">
        <v>176.75</v>
      </c>
    </row>
    <row r="1606" spans="1:8" x14ac:dyDescent="0.3">
      <c r="A1606" t="s">
        <v>1699</v>
      </c>
      <c r="B1606" t="s">
        <v>31</v>
      </c>
      <c r="C1606">
        <v>45868</v>
      </c>
      <c r="D1606">
        <v>176.51</v>
      </c>
      <c r="E1606">
        <v>179.89</v>
      </c>
      <c r="F1606">
        <v>176.04</v>
      </c>
      <c r="G1606">
        <v>179.27</v>
      </c>
      <c r="H1606">
        <v>175.51</v>
      </c>
    </row>
    <row r="1607" spans="1:8" x14ac:dyDescent="0.3">
      <c r="A1607" t="s">
        <v>1700</v>
      </c>
      <c r="B1607" t="s">
        <v>31</v>
      </c>
      <c r="C1607">
        <v>45869</v>
      </c>
      <c r="D1607">
        <v>182.9</v>
      </c>
      <c r="E1607">
        <v>183.3</v>
      </c>
      <c r="F1607">
        <v>175.93</v>
      </c>
      <c r="G1607">
        <v>177.87</v>
      </c>
      <c r="H1607">
        <v>179.27</v>
      </c>
    </row>
    <row r="1608" spans="1:8" x14ac:dyDescent="0.3">
      <c r="A1608" t="s">
        <v>1701</v>
      </c>
      <c r="B1608" t="s">
        <v>31</v>
      </c>
      <c r="C1608">
        <v>45870</v>
      </c>
      <c r="D1608">
        <v>174.09</v>
      </c>
      <c r="E1608">
        <v>176.54</v>
      </c>
      <c r="F1608">
        <v>170.89</v>
      </c>
      <c r="G1608">
        <v>173.72</v>
      </c>
      <c r="H1608">
        <v>177.87</v>
      </c>
    </row>
    <row r="1609" spans="1:8" x14ac:dyDescent="0.3">
      <c r="A1609" t="s">
        <v>1702</v>
      </c>
      <c r="B1609" t="s">
        <v>31</v>
      </c>
      <c r="C1609">
        <v>45873</v>
      </c>
      <c r="D1609">
        <v>175.16</v>
      </c>
      <c r="E1609">
        <v>180.2</v>
      </c>
      <c r="F1609">
        <v>174.52</v>
      </c>
      <c r="G1609">
        <v>180</v>
      </c>
      <c r="H1609">
        <v>173.72</v>
      </c>
    </row>
    <row r="1610" spans="1:8" x14ac:dyDescent="0.3">
      <c r="A1610" t="s">
        <v>1703</v>
      </c>
      <c r="B1610" t="s">
        <v>31</v>
      </c>
      <c r="C1610">
        <v>45874</v>
      </c>
      <c r="D1610">
        <v>179.62</v>
      </c>
      <c r="E1610">
        <v>180.26</v>
      </c>
      <c r="F1610">
        <v>175.9</v>
      </c>
      <c r="G1610">
        <v>178.26</v>
      </c>
      <c r="H1610">
        <v>180</v>
      </c>
    </row>
    <row r="1611" spans="1:8" x14ac:dyDescent="0.3">
      <c r="A1611" t="s">
        <v>1704</v>
      </c>
      <c r="B1611" t="s">
        <v>31</v>
      </c>
      <c r="C1611">
        <v>45875</v>
      </c>
      <c r="D1611">
        <v>176.32499999999999</v>
      </c>
      <c r="E1611">
        <v>179.9</v>
      </c>
      <c r="F1611">
        <v>176.25</v>
      </c>
      <c r="G1611">
        <v>179.42</v>
      </c>
      <c r="H1611">
        <v>178.26</v>
      </c>
    </row>
    <row r="1612" spans="1:8" x14ac:dyDescent="0.3">
      <c r="A1612" t="s">
        <v>1705</v>
      </c>
      <c r="B1612" t="s">
        <v>31</v>
      </c>
      <c r="C1612">
        <v>45876</v>
      </c>
      <c r="D1612">
        <v>181.57</v>
      </c>
      <c r="E1612">
        <v>183.88</v>
      </c>
      <c r="F1612">
        <v>178.79499999999999</v>
      </c>
      <c r="G1612">
        <v>180.77</v>
      </c>
      <c r="H1612">
        <v>179.42</v>
      </c>
    </row>
    <row r="1613" spans="1:8" x14ac:dyDescent="0.3">
      <c r="A1613" t="s">
        <v>1706</v>
      </c>
      <c r="B1613" t="s">
        <v>31</v>
      </c>
      <c r="C1613">
        <v>45877</v>
      </c>
      <c r="D1613">
        <v>181.55</v>
      </c>
      <c r="E1613">
        <v>183.3</v>
      </c>
      <c r="F1613">
        <v>180.4</v>
      </c>
      <c r="G1613">
        <v>182.7</v>
      </c>
      <c r="H1613">
        <v>180.77</v>
      </c>
    </row>
    <row r="1614" spans="1:8" x14ac:dyDescent="0.3">
      <c r="A1614" t="s">
        <v>1707</v>
      </c>
      <c r="B1614" t="s">
        <v>31</v>
      </c>
      <c r="C1614">
        <v>45880</v>
      </c>
      <c r="D1614">
        <v>182.05</v>
      </c>
      <c r="E1614">
        <v>183.84</v>
      </c>
      <c r="F1614">
        <v>180.25</v>
      </c>
      <c r="G1614">
        <v>182.06</v>
      </c>
      <c r="H1614">
        <v>182.7</v>
      </c>
    </row>
    <row r="1615" spans="1:8" x14ac:dyDescent="0.3">
      <c r="A1615" t="s">
        <v>1708</v>
      </c>
      <c r="B1615" t="s">
        <v>31</v>
      </c>
      <c r="C1615">
        <v>45881</v>
      </c>
      <c r="D1615">
        <v>182.96</v>
      </c>
      <c r="E1615">
        <v>184.48</v>
      </c>
      <c r="F1615">
        <v>179.46</v>
      </c>
      <c r="G1615">
        <v>183.16</v>
      </c>
      <c r="H1615">
        <v>182.06</v>
      </c>
    </row>
    <row r="1616" spans="1:8" x14ac:dyDescent="0.3">
      <c r="A1616" t="s">
        <v>1709</v>
      </c>
      <c r="B1616" t="s">
        <v>31</v>
      </c>
      <c r="C1616">
        <v>45882</v>
      </c>
      <c r="D1616">
        <v>182.61500000000001</v>
      </c>
      <c r="E1616">
        <v>183.97</v>
      </c>
      <c r="F1616">
        <v>179.35</v>
      </c>
      <c r="G1616">
        <v>181.59</v>
      </c>
      <c r="H1616">
        <v>183.16</v>
      </c>
    </row>
    <row r="1617" spans="1:8" x14ac:dyDescent="0.3">
      <c r="A1617" t="s">
        <v>1710</v>
      </c>
      <c r="B1617" t="s">
        <v>31</v>
      </c>
      <c r="C1617">
        <v>45883</v>
      </c>
      <c r="D1617">
        <v>179.75</v>
      </c>
      <c r="E1617">
        <v>183.02</v>
      </c>
      <c r="F1617">
        <v>179.46</v>
      </c>
      <c r="G1617">
        <v>182.02</v>
      </c>
      <c r="H1617">
        <v>181.59</v>
      </c>
    </row>
    <row r="1618" spans="1:8" x14ac:dyDescent="0.3">
      <c r="A1618" t="s">
        <v>1711</v>
      </c>
      <c r="B1618" t="s">
        <v>31</v>
      </c>
      <c r="C1618">
        <v>45884</v>
      </c>
      <c r="D1618">
        <v>181.88</v>
      </c>
      <c r="E1618">
        <v>181.9</v>
      </c>
      <c r="F1618">
        <v>178.04169999999999</v>
      </c>
      <c r="G1618">
        <v>180.45</v>
      </c>
      <c r="H1618">
        <v>182.02</v>
      </c>
    </row>
    <row r="1619" spans="1:8" x14ac:dyDescent="0.3">
      <c r="A1619" t="s">
        <v>1712</v>
      </c>
      <c r="B1619" t="s">
        <v>31</v>
      </c>
      <c r="C1619">
        <v>45887</v>
      </c>
      <c r="D1619">
        <v>180.6</v>
      </c>
      <c r="E1619">
        <v>182.9375</v>
      </c>
      <c r="F1619">
        <v>180.59</v>
      </c>
      <c r="G1619">
        <v>182.01</v>
      </c>
      <c r="H1619">
        <v>180.45</v>
      </c>
    </row>
    <row r="1620" spans="1:8" x14ac:dyDescent="0.3">
      <c r="A1620" t="s">
        <v>1713</v>
      </c>
      <c r="B1620" t="s">
        <v>31</v>
      </c>
      <c r="C1620">
        <v>45888</v>
      </c>
      <c r="D1620">
        <v>182.43</v>
      </c>
      <c r="E1620">
        <v>182.5</v>
      </c>
      <c r="F1620">
        <v>175.49</v>
      </c>
      <c r="G1620">
        <v>175.64</v>
      </c>
      <c r="H1620">
        <v>182.01</v>
      </c>
    </row>
    <row r="1621" spans="1:8" x14ac:dyDescent="0.3">
      <c r="A1621" t="s">
        <v>1714</v>
      </c>
      <c r="B1621" t="s">
        <v>31</v>
      </c>
      <c r="C1621">
        <v>45889</v>
      </c>
      <c r="D1621">
        <v>175.16499999999999</v>
      </c>
      <c r="E1621">
        <v>176</v>
      </c>
      <c r="F1621">
        <v>168.80099999999999</v>
      </c>
      <c r="G1621">
        <v>175.4</v>
      </c>
      <c r="H1621">
        <v>175.64</v>
      </c>
    </row>
    <row r="1622" spans="1:8" x14ac:dyDescent="0.3">
      <c r="A1622" t="s">
        <v>1715</v>
      </c>
      <c r="B1622" t="s">
        <v>31</v>
      </c>
      <c r="C1622">
        <v>45890</v>
      </c>
      <c r="D1622">
        <v>174.85</v>
      </c>
      <c r="E1622">
        <v>176.9</v>
      </c>
      <c r="F1622">
        <v>173.81</v>
      </c>
      <c r="G1622">
        <v>174.98</v>
      </c>
      <c r="H1622">
        <v>175.4</v>
      </c>
    </row>
    <row r="1623" spans="1:8" x14ac:dyDescent="0.3">
      <c r="A1623" t="s">
        <v>1716</v>
      </c>
      <c r="B1623" t="s">
        <v>31</v>
      </c>
      <c r="C1623">
        <v>45891</v>
      </c>
      <c r="D1623">
        <v>172.61</v>
      </c>
      <c r="E1623">
        <v>178.59</v>
      </c>
      <c r="F1623">
        <v>171.2</v>
      </c>
      <c r="G1623">
        <v>177.99</v>
      </c>
      <c r="H1623">
        <v>174.98</v>
      </c>
    </row>
    <row r="1624" spans="1:8" x14ac:dyDescent="0.3">
      <c r="A1624" t="s">
        <v>1717</v>
      </c>
      <c r="B1624" t="s">
        <v>31</v>
      </c>
      <c r="C1624">
        <v>45894</v>
      </c>
      <c r="D1624">
        <v>178.35</v>
      </c>
      <c r="E1624">
        <v>181.91</v>
      </c>
      <c r="F1624">
        <v>176.57</v>
      </c>
      <c r="G1624">
        <v>179.81</v>
      </c>
      <c r="H1624">
        <v>177.99</v>
      </c>
    </row>
    <row r="1625" spans="1:8" x14ac:dyDescent="0.3">
      <c r="A1625" t="s">
        <v>1718</v>
      </c>
      <c r="B1625" t="s">
        <v>31</v>
      </c>
      <c r="C1625">
        <v>45895</v>
      </c>
      <c r="D1625">
        <v>180.05500000000001</v>
      </c>
      <c r="E1625">
        <v>182.39</v>
      </c>
      <c r="F1625">
        <v>178.81</v>
      </c>
      <c r="G1625">
        <v>181.77</v>
      </c>
      <c r="H1625">
        <v>179.81</v>
      </c>
    </row>
    <row r="1626" spans="1:8" x14ac:dyDescent="0.3">
      <c r="A1626" t="s">
        <v>1719</v>
      </c>
      <c r="B1626" t="s">
        <v>31</v>
      </c>
      <c r="C1626">
        <v>45896</v>
      </c>
      <c r="D1626">
        <v>181.98</v>
      </c>
      <c r="E1626">
        <v>182.49</v>
      </c>
      <c r="F1626">
        <v>179.1</v>
      </c>
      <c r="G1626">
        <v>181.6</v>
      </c>
      <c r="H1626">
        <v>181.77</v>
      </c>
    </row>
    <row r="1627" spans="1:8" x14ac:dyDescent="0.3">
      <c r="A1627" t="s">
        <v>1720</v>
      </c>
      <c r="B1627" t="s">
        <v>31</v>
      </c>
      <c r="C1627">
        <v>45897</v>
      </c>
      <c r="D1627">
        <v>180.82</v>
      </c>
      <c r="E1627">
        <v>184.47</v>
      </c>
      <c r="F1627">
        <v>176.41</v>
      </c>
      <c r="G1627">
        <v>180.17</v>
      </c>
      <c r="H1627">
        <v>181.6</v>
      </c>
    </row>
    <row r="1628" spans="1:8" x14ac:dyDescent="0.3">
      <c r="A1628" t="s">
        <v>1721</v>
      </c>
      <c r="B1628" t="s">
        <v>31</v>
      </c>
      <c r="C1628">
        <v>45898</v>
      </c>
      <c r="D1628">
        <v>178.11</v>
      </c>
      <c r="E1628">
        <v>178.15</v>
      </c>
      <c r="F1628">
        <v>173.14500000000001</v>
      </c>
      <c r="G1628">
        <v>174.18</v>
      </c>
      <c r="H1628">
        <v>180.17</v>
      </c>
    </row>
    <row r="1629" spans="1:8" x14ac:dyDescent="0.3">
      <c r="A1629" t="s">
        <v>1722</v>
      </c>
      <c r="B1629" t="s">
        <v>31</v>
      </c>
      <c r="C1629">
        <v>45902</v>
      </c>
      <c r="D1629">
        <v>170</v>
      </c>
      <c r="E1629">
        <v>172.37899999999999</v>
      </c>
      <c r="F1629">
        <v>167.22</v>
      </c>
      <c r="G1629">
        <v>170.78</v>
      </c>
      <c r="H1629">
        <v>174.18</v>
      </c>
    </row>
    <row r="1630" spans="1:8" x14ac:dyDescent="0.3">
      <c r="A1630" t="s">
        <v>1723</v>
      </c>
      <c r="B1630" t="s">
        <v>31</v>
      </c>
      <c r="C1630">
        <v>45903</v>
      </c>
      <c r="D1630">
        <v>171.06</v>
      </c>
      <c r="E1630">
        <v>172.41</v>
      </c>
      <c r="F1630">
        <v>168.875</v>
      </c>
      <c r="G1630">
        <v>170.62</v>
      </c>
      <c r="H1630">
        <v>170.78</v>
      </c>
    </row>
    <row r="1631" spans="1:8" x14ac:dyDescent="0.3">
      <c r="A1631" t="s">
        <v>1724</v>
      </c>
      <c r="B1631" t="s">
        <v>31</v>
      </c>
      <c r="C1631">
        <v>45904</v>
      </c>
      <c r="D1631">
        <v>170.57</v>
      </c>
      <c r="E1631">
        <v>171.86</v>
      </c>
      <c r="F1631">
        <v>169.41</v>
      </c>
      <c r="G1631">
        <v>171.64</v>
      </c>
      <c r="H1631">
        <v>170.62</v>
      </c>
    </row>
    <row r="1632" spans="1:8" x14ac:dyDescent="0.3">
      <c r="A1632" t="s">
        <v>1725</v>
      </c>
      <c r="B1632" t="s">
        <v>31</v>
      </c>
      <c r="C1632">
        <v>45905</v>
      </c>
      <c r="D1632">
        <v>168.03</v>
      </c>
      <c r="E1632">
        <v>169.03</v>
      </c>
      <c r="F1632">
        <v>164.07</v>
      </c>
      <c r="G1632">
        <v>167.02</v>
      </c>
      <c r="H1632">
        <v>171.64</v>
      </c>
    </row>
    <row r="1633" spans="1:8" x14ac:dyDescent="0.3">
      <c r="A1633" t="s">
        <v>1726</v>
      </c>
      <c r="B1633" t="s">
        <v>31</v>
      </c>
      <c r="C1633">
        <v>45908</v>
      </c>
      <c r="D1633">
        <v>167.55</v>
      </c>
      <c r="E1633">
        <v>170.96</v>
      </c>
      <c r="F1633">
        <v>167.35</v>
      </c>
      <c r="G1633">
        <v>168.31</v>
      </c>
      <c r="H1633">
        <v>167.02</v>
      </c>
    </row>
    <row r="1634" spans="1:8" x14ac:dyDescent="0.3">
      <c r="A1634" t="s">
        <v>1727</v>
      </c>
      <c r="B1634" t="s">
        <v>31</v>
      </c>
      <c r="C1634">
        <v>45909</v>
      </c>
      <c r="D1634">
        <v>169.09</v>
      </c>
      <c r="E1634">
        <v>170.98</v>
      </c>
      <c r="F1634">
        <v>166.74010000000001</v>
      </c>
      <c r="G1634">
        <v>170.76</v>
      </c>
      <c r="H1634">
        <v>168.31</v>
      </c>
    </row>
    <row r="1635" spans="1:8" x14ac:dyDescent="0.3">
      <c r="A1635" t="s">
        <v>1728</v>
      </c>
      <c r="B1635" t="s">
        <v>31</v>
      </c>
      <c r="C1635">
        <v>45910</v>
      </c>
      <c r="D1635">
        <v>176.64</v>
      </c>
      <c r="E1635">
        <v>179.29</v>
      </c>
      <c r="F1635">
        <v>175.47</v>
      </c>
      <c r="G1635">
        <v>177.33</v>
      </c>
      <c r="H1635">
        <v>170.76</v>
      </c>
    </row>
    <row r="1636" spans="1:8" x14ac:dyDescent="0.3">
      <c r="A1636" t="s">
        <v>1729</v>
      </c>
      <c r="B1636" t="s">
        <v>31</v>
      </c>
      <c r="C1636">
        <v>45911</v>
      </c>
      <c r="D1636">
        <v>179.68</v>
      </c>
      <c r="E1636">
        <v>180.28</v>
      </c>
      <c r="F1636">
        <v>176.48</v>
      </c>
      <c r="G1636">
        <v>177.17</v>
      </c>
      <c r="H1636">
        <v>177.33</v>
      </c>
    </row>
    <row r="1637" spans="1:8" x14ac:dyDescent="0.3">
      <c r="A1637" t="s">
        <v>1730</v>
      </c>
      <c r="B1637" t="s">
        <v>31</v>
      </c>
      <c r="C1637">
        <v>45912</v>
      </c>
      <c r="D1637">
        <v>177.77</v>
      </c>
      <c r="E1637">
        <v>178.595</v>
      </c>
      <c r="F1637">
        <v>176.45</v>
      </c>
      <c r="G1637">
        <v>177.82</v>
      </c>
      <c r="H1637">
        <v>177.17</v>
      </c>
    </row>
    <row r="1638" spans="1:8" x14ac:dyDescent="0.3">
      <c r="A1638" t="s">
        <v>1731</v>
      </c>
      <c r="B1638" t="s">
        <v>31</v>
      </c>
      <c r="C1638">
        <v>45915</v>
      </c>
      <c r="D1638">
        <v>175.67</v>
      </c>
      <c r="E1638">
        <v>178.85</v>
      </c>
      <c r="F1638">
        <v>174.51</v>
      </c>
      <c r="G1638">
        <v>177.75</v>
      </c>
      <c r="H1638">
        <v>177.82</v>
      </c>
    </row>
    <row r="1639" spans="1:8" x14ac:dyDescent="0.3">
      <c r="A1639" t="s">
        <v>1732</v>
      </c>
      <c r="B1639" t="s">
        <v>31</v>
      </c>
      <c r="C1639">
        <v>45916</v>
      </c>
      <c r="D1639">
        <v>177</v>
      </c>
      <c r="E1639">
        <v>177.5</v>
      </c>
      <c r="F1639">
        <v>174.38</v>
      </c>
      <c r="G1639">
        <v>174.88</v>
      </c>
      <c r="H1639">
        <v>177.75</v>
      </c>
    </row>
    <row r="1640" spans="1:8" x14ac:dyDescent="0.3">
      <c r="A1640" t="s">
        <v>1733</v>
      </c>
      <c r="B1640" t="s">
        <v>31</v>
      </c>
      <c r="C1640">
        <v>45917</v>
      </c>
      <c r="D1640">
        <v>172.64</v>
      </c>
      <c r="E1640">
        <v>173.2</v>
      </c>
      <c r="F1640">
        <v>168.41</v>
      </c>
      <c r="G1640">
        <v>170.29</v>
      </c>
      <c r="H1640">
        <v>174.88</v>
      </c>
    </row>
    <row r="1641" spans="1:8" x14ac:dyDescent="0.3">
      <c r="A1641" t="s">
        <v>1734</v>
      </c>
      <c r="B1641" t="s">
        <v>31</v>
      </c>
      <c r="C1641">
        <v>45918</v>
      </c>
      <c r="D1641">
        <v>173.98</v>
      </c>
      <c r="E1641">
        <v>177.1</v>
      </c>
      <c r="F1641">
        <v>172.96</v>
      </c>
      <c r="G1641">
        <v>176.24</v>
      </c>
      <c r="H1641">
        <v>170.29</v>
      </c>
    </row>
    <row r="1642" spans="1:8" x14ac:dyDescent="0.3">
      <c r="A1642" t="s">
        <v>1735</v>
      </c>
      <c r="B1642" t="s">
        <v>31</v>
      </c>
      <c r="C1642">
        <v>45919</v>
      </c>
      <c r="D1642">
        <v>175.77</v>
      </c>
      <c r="E1642">
        <v>178.08</v>
      </c>
      <c r="F1642">
        <v>175.18</v>
      </c>
      <c r="G1642">
        <v>176.67</v>
      </c>
      <c r="H1642">
        <v>176.24</v>
      </c>
    </row>
    <row r="1643" spans="1:8" x14ac:dyDescent="0.3">
      <c r="A1643" t="s">
        <v>1736</v>
      </c>
      <c r="B1643" t="s">
        <v>31</v>
      </c>
      <c r="C1643">
        <v>45922</v>
      </c>
      <c r="D1643">
        <v>175.3</v>
      </c>
      <c r="E1643">
        <v>184.55</v>
      </c>
      <c r="F1643">
        <v>174.70529999999999</v>
      </c>
      <c r="G1643">
        <v>183.61</v>
      </c>
      <c r="H1643">
        <v>176.67</v>
      </c>
    </row>
    <row r="1644" spans="1:8" x14ac:dyDescent="0.3">
      <c r="A1644" t="s">
        <v>1737</v>
      </c>
      <c r="B1644" t="s">
        <v>31</v>
      </c>
      <c r="C1644">
        <v>45923</v>
      </c>
      <c r="D1644">
        <v>181.97</v>
      </c>
      <c r="E1644">
        <v>182.42</v>
      </c>
      <c r="F1644">
        <v>176.21</v>
      </c>
      <c r="G1644">
        <v>178.43</v>
      </c>
      <c r="H1644">
        <v>183.61</v>
      </c>
    </row>
    <row r="1645" spans="1:8" x14ac:dyDescent="0.3">
      <c r="A1645" t="s">
        <v>1738</v>
      </c>
      <c r="B1645" t="s">
        <v>31</v>
      </c>
      <c r="C1645">
        <v>45924</v>
      </c>
      <c r="D1645">
        <v>179.77</v>
      </c>
      <c r="E1645">
        <v>179.78</v>
      </c>
      <c r="F1645">
        <v>175.4</v>
      </c>
      <c r="G1645">
        <v>176.97</v>
      </c>
      <c r="H1645">
        <v>178.43</v>
      </c>
    </row>
    <row r="1646" spans="1:8" x14ac:dyDescent="0.3">
      <c r="A1646" t="s">
        <v>1739</v>
      </c>
      <c r="B1646" t="s">
        <v>31</v>
      </c>
      <c r="C1646">
        <v>45925</v>
      </c>
      <c r="D1646">
        <v>174.48</v>
      </c>
      <c r="E1646">
        <v>180.26</v>
      </c>
      <c r="F1646">
        <v>173.125</v>
      </c>
      <c r="G1646">
        <v>177.69</v>
      </c>
      <c r="H1646">
        <v>176.97</v>
      </c>
    </row>
    <row r="1647" spans="1:8" x14ac:dyDescent="0.3">
      <c r="A1647" t="s">
        <v>1740</v>
      </c>
      <c r="B1647" t="s">
        <v>31</v>
      </c>
      <c r="C1647">
        <v>45926</v>
      </c>
      <c r="D1647">
        <v>178.17</v>
      </c>
      <c r="E1647">
        <v>179.77</v>
      </c>
      <c r="F1647">
        <v>174.93</v>
      </c>
      <c r="G1647">
        <v>178.19</v>
      </c>
      <c r="H1647">
        <v>177.69</v>
      </c>
    </row>
    <row r="1648" spans="1:8" x14ac:dyDescent="0.3">
      <c r="A1648" t="s">
        <v>1741</v>
      </c>
      <c r="B1648" t="s">
        <v>31</v>
      </c>
      <c r="C1648">
        <v>45929</v>
      </c>
      <c r="D1648">
        <v>180.42500000000001</v>
      </c>
      <c r="E1648">
        <v>184</v>
      </c>
      <c r="F1648">
        <v>180.32</v>
      </c>
      <c r="G1648">
        <v>181.85</v>
      </c>
      <c r="H1648">
        <v>178.19</v>
      </c>
    </row>
    <row r="1649" spans="1:8" x14ac:dyDescent="0.3">
      <c r="A1649" t="s">
        <v>112</v>
      </c>
      <c r="B1649" t="s">
        <v>31</v>
      </c>
      <c r="C1649">
        <v>45930</v>
      </c>
      <c r="D1649">
        <v>182.08</v>
      </c>
      <c r="E1649">
        <v>187.35</v>
      </c>
      <c r="F1649">
        <v>181.48</v>
      </c>
      <c r="G1649">
        <v>186.58</v>
      </c>
      <c r="H1649">
        <v>181.85</v>
      </c>
    </row>
    <row r="1650" spans="1:8" x14ac:dyDescent="0.3">
      <c r="A1650" t="s">
        <v>1742</v>
      </c>
      <c r="B1650" t="s">
        <v>31</v>
      </c>
      <c r="C1650">
        <v>45931</v>
      </c>
      <c r="D1650">
        <v>185.24</v>
      </c>
      <c r="E1650">
        <v>188.14</v>
      </c>
      <c r="F1650">
        <v>183.9</v>
      </c>
      <c r="G1650">
        <v>187.24</v>
      </c>
      <c r="H1650">
        <v>186.58</v>
      </c>
    </row>
    <row r="1651" spans="1:8" x14ac:dyDescent="0.3">
      <c r="A1651" t="s">
        <v>1743</v>
      </c>
      <c r="B1651" t="s">
        <v>31</v>
      </c>
      <c r="C1651">
        <v>45932</v>
      </c>
      <c r="D1651">
        <v>189.6</v>
      </c>
      <c r="E1651">
        <v>191.05</v>
      </c>
      <c r="F1651">
        <v>188.06</v>
      </c>
      <c r="G1651">
        <v>188.89</v>
      </c>
      <c r="H1651">
        <v>187.24</v>
      </c>
    </row>
    <row r="1652" spans="1:8" x14ac:dyDescent="0.3">
      <c r="A1652" t="s">
        <v>1744</v>
      </c>
      <c r="B1652" t="s">
        <v>31</v>
      </c>
      <c r="C1652">
        <v>45933</v>
      </c>
      <c r="D1652">
        <v>189.19</v>
      </c>
      <c r="E1652">
        <v>190.36</v>
      </c>
      <c r="F1652">
        <v>185.38</v>
      </c>
      <c r="G1652">
        <v>187.62</v>
      </c>
      <c r="H1652">
        <v>188.89</v>
      </c>
    </row>
    <row r="1653" spans="1:8" x14ac:dyDescent="0.3">
      <c r="A1653" t="s">
        <v>1745</v>
      </c>
      <c r="B1653" t="s">
        <v>31</v>
      </c>
      <c r="C1653">
        <v>45936</v>
      </c>
      <c r="D1653">
        <v>185.5</v>
      </c>
      <c r="E1653">
        <v>187.23</v>
      </c>
      <c r="F1653">
        <v>183.33</v>
      </c>
      <c r="G1653">
        <v>185.54</v>
      </c>
      <c r="H1653">
        <v>187.62</v>
      </c>
    </row>
    <row r="1654" spans="1:8" x14ac:dyDescent="0.3">
      <c r="A1654" t="s">
        <v>1746</v>
      </c>
      <c r="B1654" t="s">
        <v>31</v>
      </c>
      <c r="C1654">
        <v>45937</v>
      </c>
      <c r="D1654">
        <v>186.23</v>
      </c>
      <c r="E1654">
        <v>189.06</v>
      </c>
      <c r="F1654">
        <v>184</v>
      </c>
      <c r="G1654">
        <v>185.04</v>
      </c>
      <c r="H1654">
        <v>185.54</v>
      </c>
    </row>
    <row r="1655" spans="1:8" x14ac:dyDescent="0.3">
      <c r="A1655" t="s">
        <v>1747</v>
      </c>
      <c r="B1655" t="s">
        <v>31</v>
      </c>
      <c r="C1655">
        <v>45938</v>
      </c>
      <c r="D1655">
        <v>186.57</v>
      </c>
      <c r="E1655">
        <v>189.6</v>
      </c>
      <c r="F1655">
        <v>186.54</v>
      </c>
      <c r="G1655">
        <v>189.11</v>
      </c>
      <c r="H1655">
        <v>185.04</v>
      </c>
    </row>
    <row r="1656" spans="1:8" x14ac:dyDescent="0.3">
      <c r="A1656" t="s">
        <v>1748</v>
      </c>
      <c r="B1656" t="s">
        <v>31</v>
      </c>
      <c r="C1656">
        <v>45939</v>
      </c>
      <c r="D1656">
        <v>192.22499999999999</v>
      </c>
      <c r="E1656">
        <v>195.3</v>
      </c>
      <c r="F1656">
        <v>191.06</v>
      </c>
      <c r="G1656">
        <v>192.57</v>
      </c>
      <c r="H1656">
        <v>189.11</v>
      </c>
    </row>
    <row r="1657" spans="1:8" x14ac:dyDescent="0.3">
      <c r="A1657" t="s">
        <v>1749</v>
      </c>
      <c r="B1657" t="s">
        <v>31</v>
      </c>
      <c r="C1657">
        <v>45940</v>
      </c>
      <c r="D1657">
        <v>193.505</v>
      </c>
      <c r="E1657">
        <v>195.62</v>
      </c>
      <c r="F1657">
        <v>182.05</v>
      </c>
      <c r="G1657">
        <v>183.16</v>
      </c>
      <c r="H1657">
        <v>192.57</v>
      </c>
    </row>
    <row r="1658" spans="1:8" x14ac:dyDescent="0.3">
      <c r="A1658" t="s">
        <v>1750</v>
      </c>
      <c r="B1658" t="s">
        <v>31</v>
      </c>
      <c r="C1658">
        <v>45943</v>
      </c>
      <c r="D1658">
        <v>187.965</v>
      </c>
      <c r="E1658">
        <v>190.10990000000001</v>
      </c>
      <c r="F1658">
        <v>185.96</v>
      </c>
      <c r="G1658">
        <v>188.32</v>
      </c>
      <c r="H1658">
        <v>183.16</v>
      </c>
    </row>
    <row r="1659" spans="1:8" x14ac:dyDescent="0.3">
      <c r="A1659" t="s">
        <v>1751</v>
      </c>
      <c r="B1659" t="s">
        <v>31</v>
      </c>
      <c r="C1659">
        <v>45944</v>
      </c>
      <c r="D1659">
        <v>184.77</v>
      </c>
      <c r="E1659">
        <v>184.8</v>
      </c>
      <c r="F1659">
        <v>179.7</v>
      </c>
      <c r="G1659">
        <v>180.03</v>
      </c>
      <c r="H1659">
        <v>188.32</v>
      </c>
    </row>
    <row r="1660" spans="1:8" x14ac:dyDescent="0.3">
      <c r="A1660" t="s">
        <v>1752</v>
      </c>
      <c r="B1660" t="s">
        <v>31</v>
      </c>
      <c r="C1660">
        <v>45945</v>
      </c>
      <c r="D1660">
        <v>184.8</v>
      </c>
      <c r="E1660">
        <v>184.87</v>
      </c>
      <c r="F1660">
        <v>177.29</v>
      </c>
      <c r="G1660">
        <v>179.83</v>
      </c>
      <c r="H1660">
        <v>180.03</v>
      </c>
    </row>
    <row r="1661" spans="1:8" x14ac:dyDescent="0.3">
      <c r="A1661" t="s">
        <v>1753</v>
      </c>
      <c r="B1661" t="s">
        <v>31</v>
      </c>
      <c r="C1661">
        <v>45946</v>
      </c>
      <c r="D1661">
        <v>182.23</v>
      </c>
      <c r="E1661">
        <v>183.28</v>
      </c>
      <c r="F1661">
        <v>179.77</v>
      </c>
      <c r="G1661">
        <v>181.81</v>
      </c>
      <c r="H1661">
        <v>179.83</v>
      </c>
    </row>
    <row r="1662" spans="1:8" x14ac:dyDescent="0.3">
      <c r="A1662" t="s">
        <v>1754</v>
      </c>
      <c r="B1662" t="s">
        <v>31</v>
      </c>
      <c r="C1662">
        <v>45947</v>
      </c>
      <c r="D1662">
        <v>180.18</v>
      </c>
      <c r="E1662">
        <v>184.1</v>
      </c>
      <c r="F1662">
        <v>179.75</v>
      </c>
      <c r="G1662">
        <v>183.22</v>
      </c>
      <c r="H1662">
        <v>181.81</v>
      </c>
    </row>
    <row r="1663" spans="1:8" x14ac:dyDescent="0.3">
      <c r="A1663" t="s">
        <v>1755</v>
      </c>
      <c r="B1663" t="s">
        <v>31</v>
      </c>
      <c r="C1663">
        <v>45950</v>
      </c>
      <c r="D1663">
        <v>183.13</v>
      </c>
      <c r="E1663">
        <v>185.2</v>
      </c>
      <c r="F1663">
        <v>181.73</v>
      </c>
      <c r="G1663">
        <v>182.64</v>
      </c>
      <c r="H1663">
        <v>183.22</v>
      </c>
    </row>
    <row r="1664" spans="1:8" x14ac:dyDescent="0.3">
      <c r="A1664" t="s">
        <v>1756</v>
      </c>
      <c r="B1664" t="s">
        <v>31</v>
      </c>
      <c r="C1664">
        <v>45951</v>
      </c>
      <c r="D1664">
        <v>182.785</v>
      </c>
      <c r="E1664">
        <v>182.785</v>
      </c>
      <c r="F1664">
        <v>179.8</v>
      </c>
      <c r="G1664">
        <v>181.16</v>
      </c>
      <c r="H1664">
        <v>182.64</v>
      </c>
    </row>
    <row r="1665" spans="1:8" x14ac:dyDescent="0.3">
      <c r="A1665" t="s">
        <v>1757</v>
      </c>
      <c r="B1665" t="s">
        <v>31</v>
      </c>
      <c r="C1665">
        <v>45952</v>
      </c>
      <c r="D1665">
        <v>181.14</v>
      </c>
      <c r="E1665">
        <v>183.44</v>
      </c>
      <c r="F1665">
        <v>176.76</v>
      </c>
      <c r="G1665">
        <v>180.28</v>
      </c>
      <c r="H1665">
        <v>181.16</v>
      </c>
    </row>
    <row r="1666" spans="1:8" x14ac:dyDescent="0.3">
      <c r="A1666" t="s">
        <v>1758</v>
      </c>
      <c r="B1666" t="s">
        <v>31</v>
      </c>
      <c r="C1666">
        <v>45953</v>
      </c>
      <c r="D1666">
        <v>180.42</v>
      </c>
      <c r="E1666">
        <v>183.03</v>
      </c>
      <c r="F1666">
        <v>179.7901</v>
      </c>
      <c r="G1666">
        <v>182.16</v>
      </c>
      <c r="H1666">
        <v>180.28</v>
      </c>
    </row>
    <row r="1667" spans="1:8" x14ac:dyDescent="0.3">
      <c r="A1667" t="s">
        <v>1759</v>
      </c>
      <c r="B1667" t="s">
        <v>31</v>
      </c>
      <c r="C1667">
        <v>45954</v>
      </c>
      <c r="D1667">
        <v>183.83500000000001</v>
      </c>
      <c r="E1667">
        <v>187.47</v>
      </c>
      <c r="F1667">
        <v>183.5</v>
      </c>
      <c r="G1667">
        <v>186.26</v>
      </c>
      <c r="H1667">
        <v>182.16</v>
      </c>
    </row>
    <row r="1668" spans="1:8" x14ac:dyDescent="0.3">
      <c r="A1668" t="s">
        <v>1760</v>
      </c>
      <c r="B1668" t="s">
        <v>31</v>
      </c>
      <c r="C1668">
        <v>45957</v>
      </c>
      <c r="D1668">
        <v>189.99</v>
      </c>
      <c r="E1668">
        <v>192</v>
      </c>
      <c r="F1668">
        <v>188.43180000000001</v>
      </c>
      <c r="G1668">
        <v>191.49</v>
      </c>
      <c r="H1668">
        <v>186.26</v>
      </c>
    </row>
    <row r="1669" spans="1:8" x14ac:dyDescent="0.3">
      <c r="A1669" t="s">
        <v>1761</v>
      </c>
      <c r="B1669" t="s">
        <v>31</v>
      </c>
      <c r="C1669">
        <v>45958</v>
      </c>
      <c r="D1669">
        <v>193.05</v>
      </c>
      <c r="E1669">
        <v>203.15</v>
      </c>
      <c r="F1669">
        <v>191.91</v>
      </c>
      <c r="G1669">
        <v>201.03</v>
      </c>
      <c r="H1669">
        <v>191.49</v>
      </c>
    </row>
    <row r="1670" spans="1:8" x14ac:dyDescent="0.3">
      <c r="A1670" t="s">
        <v>1762</v>
      </c>
      <c r="B1670" t="s">
        <v>31</v>
      </c>
      <c r="C1670">
        <v>45959</v>
      </c>
      <c r="D1670">
        <v>207.98</v>
      </c>
      <c r="E1670">
        <v>212.18989999999999</v>
      </c>
      <c r="F1670">
        <v>204.77500000000001</v>
      </c>
      <c r="G1670">
        <v>207.04</v>
      </c>
      <c r="H1670">
        <v>201.03</v>
      </c>
    </row>
    <row r="1671" spans="1:8" x14ac:dyDescent="0.3">
      <c r="A1671" t="s">
        <v>1763</v>
      </c>
      <c r="B1671" t="s">
        <v>31</v>
      </c>
      <c r="C1671">
        <v>45960</v>
      </c>
      <c r="D1671">
        <v>205.15</v>
      </c>
      <c r="E1671">
        <v>206.16</v>
      </c>
      <c r="F1671">
        <v>201.41</v>
      </c>
      <c r="G1671">
        <v>202.89</v>
      </c>
      <c r="H1671">
        <v>207.04</v>
      </c>
    </row>
    <row r="1672" spans="1:8" x14ac:dyDescent="0.3">
      <c r="A1672" t="s">
        <v>1764</v>
      </c>
      <c r="B1672" t="s">
        <v>31</v>
      </c>
      <c r="C1672">
        <v>45961</v>
      </c>
      <c r="D1672">
        <v>206.45</v>
      </c>
      <c r="E1672">
        <v>207.97</v>
      </c>
      <c r="F1672">
        <v>202.07</v>
      </c>
      <c r="G1672">
        <v>202.49</v>
      </c>
      <c r="H1672">
        <v>202.89</v>
      </c>
    </row>
    <row r="1673" spans="1:8" x14ac:dyDescent="0.3">
      <c r="A1673" t="s">
        <v>1765</v>
      </c>
      <c r="B1673" t="s">
        <v>31</v>
      </c>
      <c r="C1673">
        <v>45964</v>
      </c>
      <c r="D1673">
        <v>208.08</v>
      </c>
      <c r="E1673">
        <v>211.33500000000001</v>
      </c>
      <c r="F1673">
        <v>205.56</v>
      </c>
      <c r="G1673">
        <v>206.88</v>
      </c>
      <c r="H1673">
        <v>202.49</v>
      </c>
    </row>
    <row r="1674" spans="1:8" x14ac:dyDescent="0.3">
      <c r="A1674" t="s">
        <v>1766</v>
      </c>
      <c r="B1674" t="s">
        <v>31</v>
      </c>
      <c r="C1674">
        <v>45965</v>
      </c>
      <c r="D1674">
        <v>203</v>
      </c>
      <c r="E1674">
        <v>203.9699</v>
      </c>
      <c r="F1674">
        <v>197.93</v>
      </c>
      <c r="G1674">
        <v>198.69</v>
      </c>
      <c r="H1674">
        <v>206.88</v>
      </c>
    </row>
    <row r="1675" spans="1:8" x14ac:dyDescent="0.3">
      <c r="A1675" t="s">
        <v>1767</v>
      </c>
      <c r="B1675" t="s">
        <v>31</v>
      </c>
      <c r="C1675">
        <v>45966</v>
      </c>
      <c r="D1675">
        <v>198.77</v>
      </c>
      <c r="E1675">
        <v>202.92</v>
      </c>
      <c r="F1675">
        <v>194.65</v>
      </c>
      <c r="G1675">
        <v>195.21</v>
      </c>
      <c r="H1675">
        <v>198.69</v>
      </c>
    </row>
    <row r="1676" spans="1:8" x14ac:dyDescent="0.3">
      <c r="A1676" t="s">
        <v>1768</v>
      </c>
      <c r="B1676" t="s">
        <v>31</v>
      </c>
      <c r="C1676">
        <v>45967</v>
      </c>
      <c r="D1676">
        <v>196.42</v>
      </c>
      <c r="E1676">
        <v>197.62</v>
      </c>
      <c r="F1676">
        <v>186.38</v>
      </c>
      <c r="G1676">
        <v>188.08</v>
      </c>
      <c r="H1676">
        <v>195.21</v>
      </c>
    </row>
    <row r="1677" spans="1:8" x14ac:dyDescent="0.3">
      <c r="A1677" t="s">
        <v>1769</v>
      </c>
      <c r="B1677" t="s">
        <v>31</v>
      </c>
      <c r="C1677">
        <v>45968</v>
      </c>
      <c r="D1677">
        <v>184.9</v>
      </c>
      <c r="E1677">
        <v>188.32</v>
      </c>
      <c r="F1677">
        <v>178.91</v>
      </c>
      <c r="G1677">
        <v>188.15</v>
      </c>
      <c r="H1677">
        <v>188.08</v>
      </c>
    </row>
    <row r="1678" spans="1:8" x14ac:dyDescent="0.3">
      <c r="A1678" t="s">
        <v>1770</v>
      </c>
      <c r="B1678" t="s">
        <v>31</v>
      </c>
      <c r="C1678">
        <v>45971</v>
      </c>
      <c r="D1678">
        <v>195.11</v>
      </c>
      <c r="E1678">
        <v>199.94</v>
      </c>
      <c r="F1678">
        <v>193.79</v>
      </c>
      <c r="G1678">
        <v>199.05</v>
      </c>
      <c r="H1678">
        <v>188.15</v>
      </c>
    </row>
    <row r="1679" spans="1:8" x14ac:dyDescent="0.3">
      <c r="A1679" t="s">
        <v>1771</v>
      </c>
      <c r="B1679" t="s">
        <v>31</v>
      </c>
      <c r="C1679">
        <v>45972</v>
      </c>
      <c r="D1679">
        <v>195.155</v>
      </c>
      <c r="E1679">
        <v>195.42</v>
      </c>
      <c r="F1679">
        <v>191.3</v>
      </c>
      <c r="G1679">
        <v>193.16</v>
      </c>
      <c r="H1679">
        <v>199.05</v>
      </c>
    </row>
    <row r="1680" spans="1:8" x14ac:dyDescent="0.3">
      <c r="A1680" t="s">
        <v>1772</v>
      </c>
      <c r="B1680" t="s">
        <v>31</v>
      </c>
      <c r="C1680">
        <v>45973</v>
      </c>
      <c r="D1680">
        <v>195.72</v>
      </c>
      <c r="E1680">
        <v>195.89</v>
      </c>
      <c r="F1680">
        <v>191.13</v>
      </c>
      <c r="G1680">
        <v>193.8</v>
      </c>
      <c r="H1680">
        <v>193.16</v>
      </c>
    </row>
    <row r="1681" spans="1:8" x14ac:dyDescent="0.3">
      <c r="A1681" t="s">
        <v>1773</v>
      </c>
      <c r="B1681" t="s">
        <v>31</v>
      </c>
      <c r="C1681">
        <v>45974</v>
      </c>
      <c r="D1681">
        <v>191.05</v>
      </c>
      <c r="E1681">
        <v>191.44</v>
      </c>
      <c r="F1681">
        <v>183.85</v>
      </c>
      <c r="G1681">
        <v>186.86</v>
      </c>
      <c r="H1681">
        <v>193.8</v>
      </c>
    </row>
    <row r="1682" spans="1:8" x14ac:dyDescent="0.3">
      <c r="A1682" t="s">
        <v>1774</v>
      </c>
      <c r="B1682" t="s">
        <v>31</v>
      </c>
      <c r="C1682">
        <v>45975</v>
      </c>
      <c r="D1682">
        <v>182.86</v>
      </c>
      <c r="E1682">
        <v>191.01</v>
      </c>
      <c r="F1682">
        <v>180.58</v>
      </c>
      <c r="G1682">
        <v>190.17</v>
      </c>
      <c r="H1682">
        <v>186.86</v>
      </c>
    </row>
    <row r="1683" spans="1:8" x14ac:dyDescent="0.3">
      <c r="A1683" t="s">
        <v>1775</v>
      </c>
      <c r="B1683" t="s">
        <v>31</v>
      </c>
      <c r="C1683">
        <v>45978</v>
      </c>
      <c r="D1683">
        <v>185.965</v>
      </c>
      <c r="E1683">
        <v>189</v>
      </c>
      <c r="F1683">
        <v>184.32</v>
      </c>
      <c r="G1683">
        <v>186.6</v>
      </c>
      <c r="H1683">
        <v>190.17</v>
      </c>
    </row>
    <row r="1684" spans="1:8" x14ac:dyDescent="0.3">
      <c r="A1684" t="s">
        <v>1776</v>
      </c>
      <c r="B1684" t="s">
        <v>31</v>
      </c>
      <c r="C1684">
        <v>45979</v>
      </c>
      <c r="D1684">
        <v>183.375</v>
      </c>
      <c r="E1684">
        <v>184.8</v>
      </c>
      <c r="F1684">
        <v>179.65</v>
      </c>
      <c r="G1684">
        <v>181.36</v>
      </c>
      <c r="H1684">
        <v>186.6</v>
      </c>
    </row>
    <row r="1685" spans="1:8" x14ac:dyDescent="0.3">
      <c r="A1685" t="s">
        <v>1777</v>
      </c>
      <c r="B1685" t="s">
        <v>31</v>
      </c>
      <c r="C1685">
        <v>45980</v>
      </c>
      <c r="D1685">
        <v>184.79</v>
      </c>
      <c r="E1685">
        <v>187.85499999999999</v>
      </c>
      <c r="F1685">
        <v>182.83009999999999</v>
      </c>
      <c r="G1685">
        <v>186.52</v>
      </c>
      <c r="H1685">
        <v>181.36</v>
      </c>
    </row>
    <row r="1686" spans="1:8" x14ac:dyDescent="0.3">
      <c r="A1686" t="s">
        <v>1778</v>
      </c>
      <c r="B1686" t="s">
        <v>31</v>
      </c>
      <c r="C1686">
        <v>45981</v>
      </c>
      <c r="D1686">
        <v>195.95</v>
      </c>
      <c r="E1686">
        <v>196</v>
      </c>
      <c r="F1686">
        <v>179.85</v>
      </c>
      <c r="G1686">
        <v>180.64</v>
      </c>
      <c r="H1686">
        <v>186.52</v>
      </c>
    </row>
    <row r="1687" spans="1:8" x14ac:dyDescent="0.3">
      <c r="A1687" t="s">
        <v>1779</v>
      </c>
      <c r="B1687" t="s">
        <v>31</v>
      </c>
      <c r="C1687">
        <v>45982</v>
      </c>
      <c r="D1687">
        <v>181.23500000000001</v>
      </c>
      <c r="E1687">
        <v>184.56</v>
      </c>
      <c r="F1687">
        <v>172.93</v>
      </c>
      <c r="G1687">
        <v>178.88</v>
      </c>
      <c r="H1687">
        <v>180.64</v>
      </c>
    </row>
    <row r="1688" spans="1:8" x14ac:dyDescent="0.3">
      <c r="A1688" t="s">
        <v>1780</v>
      </c>
      <c r="B1688" t="s">
        <v>31</v>
      </c>
      <c r="C1688">
        <v>45985</v>
      </c>
      <c r="D1688">
        <v>179.49</v>
      </c>
      <c r="E1688">
        <v>183.5</v>
      </c>
      <c r="F1688">
        <v>176.48</v>
      </c>
      <c r="G1688">
        <v>182.55</v>
      </c>
      <c r="H1688">
        <v>178.88</v>
      </c>
    </row>
    <row r="1689" spans="1:8" x14ac:dyDescent="0.3">
      <c r="A1689" t="s">
        <v>1781</v>
      </c>
      <c r="B1689" t="s">
        <v>31</v>
      </c>
      <c r="C1689">
        <v>45986</v>
      </c>
      <c r="D1689">
        <v>174.91</v>
      </c>
      <c r="E1689">
        <v>178.16</v>
      </c>
      <c r="F1689">
        <v>169.55</v>
      </c>
      <c r="G1689">
        <v>177.82</v>
      </c>
      <c r="H1689">
        <v>182.55</v>
      </c>
    </row>
    <row r="1690" spans="1:8" x14ac:dyDescent="0.3">
      <c r="A1690" t="s">
        <v>1782</v>
      </c>
      <c r="B1690" t="s">
        <v>31</v>
      </c>
      <c r="C1690">
        <v>45987</v>
      </c>
      <c r="D1690">
        <v>181.63</v>
      </c>
      <c r="E1690">
        <v>182.91</v>
      </c>
      <c r="F1690">
        <v>178.24</v>
      </c>
      <c r="G1690">
        <v>180.26</v>
      </c>
      <c r="H1690">
        <v>177.82</v>
      </c>
    </row>
    <row r="1691" spans="1:8" x14ac:dyDescent="0.3">
      <c r="A1691" t="s">
        <v>1783</v>
      </c>
      <c r="B1691" t="s">
        <v>31</v>
      </c>
      <c r="C1691">
        <v>45989</v>
      </c>
      <c r="D1691">
        <v>179.01</v>
      </c>
      <c r="E1691">
        <v>179.29</v>
      </c>
      <c r="F1691">
        <v>176.5</v>
      </c>
      <c r="G1691">
        <v>177</v>
      </c>
      <c r="H1691">
        <v>180.26</v>
      </c>
    </row>
    <row r="1692" spans="1:8" x14ac:dyDescent="0.3">
      <c r="A1692" t="s">
        <v>1784</v>
      </c>
      <c r="B1692" t="s">
        <v>31</v>
      </c>
      <c r="C1692">
        <v>45992</v>
      </c>
      <c r="D1692">
        <v>174.76</v>
      </c>
      <c r="E1692">
        <v>180.3</v>
      </c>
      <c r="F1692">
        <v>173.68</v>
      </c>
      <c r="G1692">
        <v>179.92</v>
      </c>
      <c r="H1692">
        <v>177</v>
      </c>
    </row>
    <row r="1693" spans="1:8" x14ac:dyDescent="0.3">
      <c r="A1693" t="s">
        <v>1785</v>
      </c>
      <c r="B1693" t="s">
        <v>31</v>
      </c>
      <c r="C1693">
        <v>45993</v>
      </c>
      <c r="D1693">
        <v>181.76</v>
      </c>
      <c r="E1693">
        <v>185.66</v>
      </c>
      <c r="F1693">
        <v>180</v>
      </c>
      <c r="G1693">
        <v>181.46</v>
      </c>
      <c r="H1693">
        <v>179.92</v>
      </c>
    </row>
    <row r="1694" spans="1:8" x14ac:dyDescent="0.3">
      <c r="A1694" t="s">
        <v>1786</v>
      </c>
      <c r="B1694" t="s">
        <v>31</v>
      </c>
      <c r="C1694">
        <v>45994</v>
      </c>
      <c r="D1694">
        <v>181.08</v>
      </c>
      <c r="E1694">
        <v>182.45</v>
      </c>
      <c r="F1694">
        <v>179.11009999999999</v>
      </c>
      <c r="G1694">
        <v>179.59</v>
      </c>
      <c r="H1694">
        <v>181.46</v>
      </c>
    </row>
    <row r="1695" spans="1:8" x14ac:dyDescent="0.3">
      <c r="A1695" t="s">
        <v>1787</v>
      </c>
      <c r="B1695" t="s">
        <v>31</v>
      </c>
      <c r="C1695">
        <v>45995</v>
      </c>
      <c r="D1695">
        <v>181.62</v>
      </c>
      <c r="E1695">
        <v>184.51499999999999</v>
      </c>
      <c r="F1695">
        <v>179.96</v>
      </c>
      <c r="G1695">
        <v>183.38</v>
      </c>
      <c r="H1695">
        <v>179.59</v>
      </c>
    </row>
    <row r="1696" spans="1:8" x14ac:dyDescent="0.3">
      <c r="A1696" t="s">
        <v>1788</v>
      </c>
      <c r="B1696" t="s">
        <v>31</v>
      </c>
      <c r="C1696">
        <v>45996</v>
      </c>
      <c r="D1696">
        <v>183.89</v>
      </c>
      <c r="E1696">
        <v>184.66</v>
      </c>
      <c r="F1696">
        <v>180.91</v>
      </c>
      <c r="G1696">
        <v>182.41</v>
      </c>
      <c r="H1696">
        <v>183.38</v>
      </c>
    </row>
    <row r="1697" spans="1:8" x14ac:dyDescent="0.3">
      <c r="A1697" t="s">
        <v>1789</v>
      </c>
      <c r="B1697" t="s">
        <v>31</v>
      </c>
      <c r="C1697">
        <v>45999</v>
      </c>
      <c r="D1697">
        <v>182.64</v>
      </c>
      <c r="E1697">
        <v>188</v>
      </c>
      <c r="F1697">
        <v>182.4</v>
      </c>
      <c r="G1697">
        <v>185.55</v>
      </c>
      <c r="H1697">
        <v>182.41</v>
      </c>
    </row>
    <row r="1698" spans="1:8" x14ac:dyDescent="0.3">
      <c r="A1698" t="s">
        <v>1790</v>
      </c>
      <c r="B1698" t="s">
        <v>31</v>
      </c>
      <c r="C1698">
        <v>46000</v>
      </c>
      <c r="D1698">
        <v>185.56</v>
      </c>
      <c r="E1698">
        <v>185.7167</v>
      </c>
      <c r="F1698">
        <v>183.32</v>
      </c>
      <c r="G1698">
        <v>184.97</v>
      </c>
      <c r="H1698">
        <v>185.55</v>
      </c>
    </row>
    <row r="1699" spans="1:8" x14ac:dyDescent="0.3">
      <c r="A1699" t="s">
        <v>1791</v>
      </c>
      <c r="B1699" t="s">
        <v>31</v>
      </c>
      <c r="C1699">
        <v>46001</v>
      </c>
      <c r="D1699">
        <v>184.965</v>
      </c>
      <c r="E1699">
        <v>185.48</v>
      </c>
      <c r="F1699">
        <v>182.035</v>
      </c>
      <c r="G1699">
        <v>183.78</v>
      </c>
      <c r="H1699">
        <v>184.97</v>
      </c>
    </row>
    <row r="1700" spans="1:8" x14ac:dyDescent="0.3">
      <c r="A1700" t="s">
        <v>1792</v>
      </c>
      <c r="B1700" t="s">
        <v>31</v>
      </c>
      <c r="C1700">
        <v>46002</v>
      </c>
      <c r="D1700">
        <v>180.27500000000001</v>
      </c>
      <c r="E1700">
        <v>181.32</v>
      </c>
      <c r="F1700">
        <v>176.62</v>
      </c>
      <c r="G1700">
        <v>180.93</v>
      </c>
      <c r="H1700">
        <v>183.78</v>
      </c>
    </row>
    <row r="1701" spans="1:8" x14ac:dyDescent="0.3">
      <c r="A1701" t="s">
        <v>1793</v>
      </c>
      <c r="B1701" t="s">
        <v>31</v>
      </c>
      <c r="C1701">
        <v>46003</v>
      </c>
      <c r="D1701">
        <v>181.11</v>
      </c>
      <c r="E1701">
        <v>182.82</v>
      </c>
      <c r="F1701">
        <v>174.62</v>
      </c>
      <c r="G1701">
        <v>175.02</v>
      </c>
      <c r="H1701">
        <v>180.93</v>
      </c>
    </row>
    <row r="1702" spans="1:8" x14ac:dyDescent="0.3">
      <c r="A1702" t="s">
        <v>1794</v>
      </c>
      <c r="B1702" t="s">
        <v>31</v>
      </c>
      <c r="C1702">
        <v>46006</v>
      </c>
      <c r="D1702">
        <v>177.93600000000001</v>
      </c>
      <c r="E1702">
        <v>178.41499999999999</v>
      </c>
      <c r="F1702">
        <v>175.03</v>
      </c>
      <c r="G1702">
        <v>176.29</v>
      </c>
      <c r="H1702">
        <v>175.02</v>
      </c>
    </row>
    <row r="1703" spans="1:8" x14ac:dyDescent="0.3">
      <c r="A1703" t="s">
        <v>1795</v>
      </c>
      <c r="B1703" t="s">
        <v>31</v>
      </c>
      <c r="C1703">
        <v>46007</v>
      </c>
      <c r="D1703">
        <v>176.26</v>
      </c>
      <c r="E1703">
        <v>178.49</v>
      </c>
      <c r="F1703">
        <v>174.9</v>
      </c>
      <c r="G1703">
        <v>177.72</v>
      </c>
      <c r="H1703">
        <v>176.29</v>
      </c>
    </row>
    <row r="1704" spans="1:8" x14ac:dyDescent="0.3">
      <c r="A1704" t="s">
        <v>1796</v>
      </c>
      <c r="B1704" t="s">
        <v>31</v>
      </c>
      <c r="C1704">
        <v>46008</v>
      </c>
      <c r="D1704">
        <v>176.1</v>
      </c>
      <c r="E1704">
        <v>176.13</v>
      </c>
      <c r="F1704">
        <v>170.31</v>
      </c>
      <c r="G1704">
        <v>170.94</v>
      </c>
      <c r="H1704">
        <v>177.72</v>
      </c>
    </row>
    <row r="1705" spans="1:8" x14ac:dyDescent="0.3">
      <c r="A1705" t="s">
        <v>1797</v>
      </c>
      <c r="B1705" t="s">
        <v>31</v>
      </c>
      <c r="C1705">
        <v>46009</v>
      </c>
      <c r="D1705">
        <v>174.53</v>
      </c>
      <c r="E1705">
        <v>176.15</v>
      </c>
      <c r="F1705">
        <v>171.82</v>
      </c>
      <c r="G1705">
        <v>174.14</v>
      </c>
      <c r="H1705">
        <v>170.94</v>
      </c>
    </row>
    <row r="1706" spans="1:8" x14ac:dyDescent="0.3">
      <c r="A1706" t="s">
        <v>1798</v>
      </c>
      <c r="B1706" t="s">
        <v>31</v>
      </c>
      <c r="C1706">
        <v>46010</v>
      </c>
      <c r="D1706">
        <v>176.66499999999999</v>
      </c>
      <c r="E1706">
        <v>181.45</v>
      </c>
      <c r="F1706">
        <v>176.34</v>
      </c>
      <c r="G1706">
        <v>180.99</v>
      </c>
      <c r="H1706">
        <v>174.14</v>
      </c>
    </row>
    <row r="1707" spans="1:8" x14ac:dyDescent="0.3">
      <c r="A1707" t="s">
        <v>1799</v>
      </c>
      <c r="B1707" t="s">
        <v>31</v>
      </c>
      <c r="C1707">
        <v>46013</v>
      </c>
      <c r="D1707">
        <v>183.92</v>
      </c>
      <c r="E1707">
        <v>184.16</v>
      </c>
      <c r="F1707">
        <v>182.35</v>
      </c>
      <c r="G1707">
        <v>183.69</v>
      </c>
      <c r="H1707">
        <v>180.99</v>
      </c>
    </row>
    <row r="1708" spans="1:8" x14ac:dyDescent="0.3">
      <c r="A1708" t="s">
        <v>1800</v>
      </c>
      <c r="B1708" t="s">
        <v>31</v>
      </c>
      <c r="C1708">
        <v>46014</v>
      </c>
      <c r="D1708">
        <v>182.97</v>
      </c>
      <c r="E1708">
        <v>189.33</v>
      </c>
      <c r="F1708">
        <v>182.9</v>
      </c>
      <c r="G1708">
        <v>189.21</v>
      </c>
      <c r="H1708">
        <v>183.69</v>
      </c>
    </row>
    <row r="1709" spans="1:8" x14ac:dyDescent="0.3">
      <c r="A1709" t="s">
        <v>1801</v>
      </c>
      <c r="B1709" t="s">
        <v>31</v>
      </c>
      <c r="C1709">
        <v>46015</v>
      </c>
      <c r="D1709">
        <v>187.94</v>
      </c>
      <c r="E1709">
        <v>188.91</v>
      </c>
      <c r="F1709">
        <v>186.59</v>
      </c>
      <c r="G1709">
        <v>188.61</v>
      </c>
      <c r="H1709">
        <v>189.21</v>
      </c>
    </row>
    <row r="1710" spans="1:8" x14ac:dyDescent="0.3">
      <c r="A1710" t="s">
        <v>1802</v>
      </c>
      <c r="B1710" t="s">
        <v>31</v>
      </c>
      <c r="C1710">
        <v>46017</v>
      </c>
      <c r="D1710">
        <v>189.92</v>
      </c>
      <c r="E1710">
        <v>192.69</v>
      </c>
      <c r="F1710">
        <v>188</v>
      </c>
      <c r="G1710">
        <v>190.53</v>
      </c>
      <c r="H1710">
        <v>188.61</v>
      </c>
    </row>
    <row r="1711" spans="1:8" x14ac:dyDescent="0.3">
      <c r="A1711" t="s">
        <v>1803</v>
      </c>
      <c r="B1711" t="s">
        <v>31</v>
      </c>
      <c r="C1711">
        <v>46020</v>
      </c>
      <c r="D1711">
        <v>187.71</v>
      </c>
      <c r="E1711">
        <v>188.755</v>
      </c>
      <c r="F1711">
        <v>185.91</v>
      </c>
      <c r="G1711">
        <v>188.22</v>
      </c>
      <c r="H1711">
        <v>190.53</v>
      </c>
    </row>
    <row r="1712" spans="1:8" x14ac:dyDescent="0.3">
      <c r="A1712" t="s">
        <v>1804</v>
      </c>
      <c r="B1712" t="s">
        <v>31</v>
      </c>
      <c r="C1712">
        <v>46021</v>
      </c>
      <c r="D1712">
        <v>188.24</v>
      </c>
      <c r="E1712">
        <v>188.99</v>
      </c>
      <c r="F1712">
        <v>186.93</v>
      </c>
      <c r="G1712">
        <v>187.54</v>
      </c>
      <c r="H1712">
        <v>188.22</v>
      </c>
    </row>
    <row r="1713" spans="1:8" x14ac:dyDescent="0.3">
      <c r="A1713" t="s">
        <v>111</v>
      </c>
      <c r="B1713" t="s">
        <v>31</v>
      </c>
      <c r="C1713">
        <v>46022</v>
      </c>
      <c r="D1713">
        <v>189.57</v>
      </c>
      <c r="E1713">
        <v>190.56</v>
      </c>
      <c r="F1713">
        <v>186.49</v>
      </c>
      <c r="G1713">
        <v>186.5</v>
      </c>
      <c r="H1713">
        <v>187.54</v>
      </c>
    </row>
    <row r="1714" spans="1:8" x14ac:dyDescent="0.3">
      <c r="A1714" t="s">
        <v>1805</v>
      </c>
      <c r="B1714" t="s">
        <v>31</v>
      </c>
      <c r="C1714">
        <v>46024</v>
      </c>
      <c r="D1714">
        <v>189.83500000000001</v>
      </c>
      <c r="E1714">
        <v>192.9299</v>
      </c>
      <c r="F1714">
        <v>188.26</v>
      </c>
      <c r="G1714">
        <v>188.85</v>
      </c>
      <c r="H1714">
        <v>186.5</v>
      </c>
    </row>
    <row r="1715" spans="1:8" x14ac:dyDescent="0.3">
      <c r="A1715" t="s">
        <v>1806</v>
      </c>
      <c r="B1715" t="s">
        <v>31</v>
      </c>
      <c r="C1715">
        <v>46027</v>
      </c>
      <c r="D1715">
        <v>191.76</v>
      </c>
      <c r="E1715">
        <v>193.63</v>
      </c>
      <c r="F1715">
        <v>186.15</v>
      </c>
      <c r="G1715">
        <v>188.12</v>
      </c>
      <c r="H1715">
        <v>188.85</v>
      </c>
    </row>
    <row r="1716" spans="1:8" x14ac:dyDescent="0.3">
      <c r="A1716" t="s">
        <v>1807</v>
      </c>
      <c r="B1716" t="s">
        <v>31</v>
      </c>
      <c r="C1716">
        <v>46028</v>
      </c>
      <c r="D1716">
        <v>190.52</v>
      </c>
      <c r="E1716">
        <v>192.17400000000001</v>
      </c>
      <c r="F1716">
        <v>186.82</v>
      </c>
      <c r="G1716">
        <v>187.24</v>
      </c>
      <c r="H1716">
        <v>188.12</v>
      </c>
    </row>
    <row r="1717" spans="1:8" x14ac:dyDescent="0.3">
      <c r="A1717" t="s">
        <v>1808</v>
      </c>
      <c r="B1717" t="s">
        <v>31</v>
      </c>
      <c r="C1717">
        <v>46029</v>
      </c>
      <c r="D1717">
        <v>188.57</v>
      </c>
      <c r="E1717">
        <v>191.37</v>
      </c>
      <c r="F1717">
        <v>186.56</v>
      </c>
      <c r="G1717">
        <v>189.11</v>
      </c>
      <c r="H1717">
        <v>187.24</v>
      </c>
    </row>
    <row r="1718" spans="1:8" x14ac:dyDescent="0.3">
      <c r="A1718" t="s">
        <v>1809</v>
      </c>
      <c r="B1718" t="s">
        <v>31</v>
      </c>
      <c r="C1718">
        <v>46030</v>
      </c>
      <c r="D1718">
        <v>189.11</v>
      </c>
      <c r="E1718">
        <v>189.55</v>
      </c>
      <c r="F1718">
        <v>183.71</v>
      </c>
      <c r="G1718">
        <v>185.04</v>
      </c>
      <c r="H1718">
        <v>189.11</v>
      </c>
    </row>
    <row r="1719" spans="1:8" x14ac:dyDescent="0.3">
      <c r="A1719" t="s">
        <v>1810</v>
      </c>
      <c r="B1719" t="s">
        <v>31</v>
      </c>
      <c r="C1719">
        <v>46031</v>
      </c>
      <c r="D1719">
        <v>185.08</v>
      </c>
      <c r="E1719">
        <v>186.34</v>
      </c>
      <c r="F1719">
        <v>183.67009999999999</v>
      </c>
      <c r="G1719">
        <v>184.86</v>
      </c>
      <c r="H1719">
        <v>185.04</v>
      </c>
    </row>
    <row r="1720" spans="1:8" x14ac:dyDescent="0.3">
      <c r="A1720" t="s">
        <v>1811</v>
      </c>
      <c r="B1720" t="s">
        <v>31</v>
      </c>
      <c r="C1720">
        <v>46034</v>
      </c>
      <c r="D1720">
        <v>183.22</v>
      </c>
      <c r="E1720">
        <v>187.12</v>
      </c>
      <c r="F1720">
        <v>183.02</v>
      </c>
      <c r="G1720">
        <v>184.94</v>
      </c>
      <c r="H1720">
        <v>184.86</v>
      </c>
    </row>
    <row r="1721" spans="1:8" x14ac:dyDescent="0.3">
      <c r="A1721" t="s">
        <v>1812</v>
      </c>
      <c r="B1721" t="s">
        <v>31</v>
      </c>
      <c r="C1721">
        <v>46035</v>
      </c>
      <c r="D1721">
        <v>184.995</v>
      </c>
      <c r="E1721">
        <v>188.10990000000001</v>
      </c>
      <c r="F1721">
        <v>183.4</v>
      </c>
      <c r="G1721">
        <v>185.81</v>
      </c>
      <c r="H1721">
        <v>184.94</v>
      </c>
    </row>
    <row r="1722" spans="1:8" x14ac:dyDescent="0.3">
      <c r="A1722" t="s">
        <v>1813</v>
      </c>
      <c r="B1722" t="s">
        <v>31</v>
      </c>
      <c r="C1722">
        <v>46036</v>
      </c>
      <c r="D1722">
        <v>184.32</v>
      </c>
      <c r="E1722">
        <v>184.46</v>
      </c>
      <c r="F1722">
        <v>180.8</v>
      </c>
      <c r="G1722">
        <v>183.14</v>
      </c>
      <c r="H1722">
        <v>185.81</v>
      </c>
    </row>
    <row r="1723" spans="1:8" x14ac:dyDescent="0.3">
      <c r="A1723" t="s">
        <v>1814</v>
      </c>
      <c r="B1723" t="s">
        <v>31</v>
      </c>
      <c r="C1723">
        <v>46037</v>
      </c>
      <c r="D1723">
        <v>186.5</v>
      </c>
      <c r="E1723">
        <v>189.7</v>
      </c>
      <c r="F1723">
        <v>186.33</v>
      </c>
      <c r="G1723">
        <v>187.05</v>
      </c>
      <c r="H1723">
        <v>183.14</v>
      </c>
    </row>
    <row r="1724" spans="1:8" x14ac:dyDescent="0.3">
      <c r="A1724" t="s">
        <v>1815</v>
      </c>
      <c r="B1724" t="s">
        <v>31</v>
      </c>
      <c r="C1724">
        <v>46038</v>
      </c>
      <c r="D1724">
        <v>189.07499999999999</v>
      </c>
      <c r="E1724">
        <v>190.44</v>
      </c>
      <c r="F1724">
        <v>186.08</v>
      </c>
      <c r="G1724">
        <v>186.23</v>
      </c>
      <c r="H1724">
        <v>187.05</v>
      </c>
    </row>
    <row r="1725" spans="1:8" x14ac:dyDescent="0.3">
      <c r="A1725" t="s">
        <v>1816</v>
      </c>
      <c r="B1725" t="s">
        <v>31</v>
      </c>
      <c r="C1725">
        <v>46042</v>
      </c>
      <c r="D1725">
        <v>181.9</v>
      </c>
      <c r="E1725">
        <v>182.37860000000001</v>
      </c>
      <c r="F1725">
        <v>177.61</v>
      </c>
      <c r="G1725">
        <v>178.07</v>
      </c>
      <c r="H1725">
        <v>186.23</v>
      </c>
    </row>
    <row r="1726" spans="1:8" x14ac:dyDescent="0.3">
      <c r="A1726" t="s">
        <v>1817</v>
      </c>
      <c r="B1726" t="s">
        <v>31</v>
      </c>
      <c r="C1726">
        <v>46043</v>
      </c>
      <c r="D1726">
        <v>179.05</v>
      </c>
      <c r="E1726">
        <v>185.37899999999999</v>
      </c>
      <c r="F1726">
        <v>178.4</v>
      </c>
      <c r="G1726">
        <v>183.32</v>
      </c>
      <c r="H1726">
        <v>178.07</v>
      </c>
    </row>
    <row r="1727" spans="1:8" x14ac:dyDescent="0.3">
      <c r="A1727" t="s">
        <v>1818</v>
      </c>
      <c r="B1727" t="s">
        <v>31</v>
      </c>
      <c r="C1727">
        <v>46044</v>
      </c>
      <c r="D1727">
        <v>184.75</v>
      </c>
      <c r="E1727">
        <v>186.17</v>
      </c>
      <c r="F1727">
        <v>183.93</v>
      </c>
      <c r="G1727">
        <v>184.84</v>
      </c>
      <c r="H1727">
        <v>183.32</v>
      </c>
    </row>
    <row r="1728" spans="1:8" x14ac:dyDescent="0.3">
      <c r="A1728" t="s">
        <v>1819</v>
      </c>
      <c r="B1728" t="s">
        <v>31</v>
      </c>
      <c r="C1728">
        <v>46045</v>
      </c>
      <c r="D1728">
        <v>187.5</v>
      </c>
      <c r="E1728">
        <v>189.6</v>
      </c>
      <c r="F1728">
        <v>186.82329999999999</v>
      </c>
      <c r="G1728">
        <v>187.67</v>
      </c>
      <c r="H1728">
        <v>184.84</v>
      </c>
    </row>
    <row r="1729" spans="1:8" x14ac:dyDescent="0.3">
      <c r="A1729" t="s">
        <v>1820</v>
      </c>
      <c r="B1729" t="s">
        <v>31</v>
      </c>
      <c r="C1729">
        <v>46048</v>
      </c>
      <c r="D1729">
        <v>187.16</v>
      </c>
      <c r="E1729">
        <v>189.12</v>
      </c>
      <c r="F1729">
        <v>185.99</v>
      </c>
      <c r="G1729">
        <v>186.47</v>
      </c>
      <c r="H1729">
        <v>187.67</v>
      </c>
    </row>
    <row r="1730" spans="1:8" x14ac:dyDescent="0.3">
      <c r="A1730" t="s">
        <v>1821</v>
      </c>
      <c r="B1730" t="s">
        <v>31</v>
      </c>
      <c r="C1730">
        <v>46049</v>
      </c>
      <c r="D1730">
        <v>187.24</v>
      </c>
      <c r="E1730">
        <v>190</v>
      </c>
      <c r="F1730">
        <v>185.7</v>
      </c>
      <c r="G1730">
        <v>188.52</v>
      </c>
      <c r="H1730">
        <v>186.47</v>
      </c>
    </row>
    <row r="1731" spans="1:8" x14ac:dyDescent="0.3">
      <c r="A1731" t="s">
        <v>1822</v>
      </c>
      <c r="B1731" t="s">
        <v>31</v>
      </c>
      <c r="C1731">
        <v>46050</v>
      </c>
      <c r="D1731">
        <v>191.27</v>
      </c>
      <c r="E1731">
        <v>192.35</v>
      </c>
      <c r="F1731">
        <v>189.84</v>
      </c>
      <c r="G1731">
        <v>191.52</v>
      </c>
      <c r="H1731">
        <v>188.52</v>
      </c>
    </row>
    <row r="1732" spans="1:8" x14ac:dyDescent="0.3">
      <c r="A1732" t="s">
        <v>1823</v>
      </c>
      <c r="B1732" t="s">
        <v>31</v>
      </c>
      <c r="C1732">
        <v>46051</v>
      </c>
      <c r="D1732">
        <v>191.34</v>
      </c>
      <c r="E1732">
        <v>193.48</v>
      </c>
      <c r="F1732">
        <v>186.06</v>
      </c>
      <c r="G1732">
        <v>192.51</v>
      </c>
      <c r="H1732">
        <v>191.52</v>
      </c>
    </row>
    <row r="1733" spans="1:8" x14ac:dyDescent="0.3">
      <c r="A1733" t="s">
        <v>1824</v>
      </c>
      <c r="B1733" t="s">
        <v>31</v>
      </c>
      <c r="C1733">
        <v>46052</v>
      </c>
      <c r="D1733">
        <v>191.21</v>
      </c>
      <c r="E1733">
        <v>194.49</v>
      </c>
      <c r="F1733">
        <v>189.47</v>
      </c>
      <c r="G1733">
        <v>191.13</v>
      </c>
      <c r="H1733">
        <v>192.51</v>
      </c>
    </row>
    <row r="1734" spans="1:8" x14ac:dyDescent="0.3">
      <c r="A1734" t="s">
        <v>1825</v>
      </c>
      <c r="B1734" t="s">
        <v>31</v>
      </c>
      <c r="C1734">
        <v>46055</v>
      </c>
      <c r="D1734">
        <v>187.2</v>
      </c>
      <c r="E1734">
        <v>190.3</v>
      </c>
      <c r="F1734">
        <v>184.88</v>
      </c>
      <c r="G1734">
        <v>185.61</v>
      </c>
      <c r="H1734">
        <v>191.13</v>
      </c>
    </row>
    <row r="1735" spans="1:8" x14ac:dyDescent="0.3">
      <c r="A1735" t="s">
        <v>1826</v>
      </c>
      <c r="B1735" t="s">
        <v>31</v>
      </c>
      <c r="C1735">
        <v>46056</v>
      </c>
      <c r="D1735">
        <v>186.24</v>
      </c>
      <c r="E1735">
        <v>186.27</v>
      </c>
      <c r="F1735">
        <v>176.23</v>
      </c>
      <c r="G1735">
        <v>180.34</v>
      </c>
      <c r="H1735">
        <v>185.61</v>
      </c>
    </row>
    <row r="1736" spans="1:8" x14ac:dyDescent="0.3">
      <c r="A1736" t="s">
        <v>1827</v>
      </c>
      <c r="B1736" t="s">
        <v>31</v>
      </c>
      <c r="C1736">
        <v>46057</v>
      </c>
      <c r="D1736">
        <v>179.46</v>
      </c>
      <c r="E1736">
        <v>179.58</v>
      </c>
      <c r="F1736">
        <v>171.91</v>
      </c>
      <c r="G1736">
        <v>174.19</v>
      </c>
      <c r="H1736">
        <v>180.34</v>
      </c>
    </row>
    <row r="1737" spans="1:8" x14ac:dyDescent="0.3">
      <c r="A1737" t="s">
        <v>1828</v>
      </c>
      <c r="B1737" t="s">
        <v>31</v>
      </c>
      <c r="C1737">
        <v>46058</v>
      </c>
      <c r="D1737">
        <v>174.92500000000001</v>
      </c>
      <c r="E1737">
        <v>176.815</v>
      </c>
      <c r="F1737">
        <v>171.03</v>
      </c>
      <c r="G1737">
        <v>171.88</v>
      </c>
      <c r="H1737">
        <v>174.19</v>
      </c>
    </row>
    <row r="1738" spans="1:8" x14ac:dyDescent="0.3">
      <c r="A1738" t="s">
        <v>1829</v>
      </c>
      <c r="B1738" t="s">
        <v>31</v>
      </c>
      <c r="C1738">
        <v>46059</v>
      </c>
      <c r="D1738">
        <v>176.69</v>
      </c>
      <c r="E1738">
        <v>187</v>
      </c>
      <c r="F1738">
        <v>174.6</v>
      </c>
      <c r="G1738">
        <v>185.41</v>
      </c>
      <c r="H1738">
        <v>171.88</v>
      </c>
    </row>
    <row r="1739" spans="1:8" x14ac:dyDescent="0.3">
      <c r="A1739" t="s">
        <v>1830</v>
      </c>
      <c r="B1739" t="s">
        <v>31</v>
      </c>
      <c r="C1739">
        <v>46062</v>
      </c>
      <c r="D1739">
        <v>184.26</v>
      </c>
      <c r="E1739">
        <v>193.66</v>
      </c>
      <c r="F1739">
        <v>183.95</v>
      </c>
      <c r="G1739">
        <v>190.04</v>
      </c>
      <c r="H1739">
        <v>185.41</v>
      </c>
    </row>
    <row r="1740" spans="1:8" x14ac:dyDescent="0.3">
      <c r="A1740" t="s">
        <v>1831</v>
      </c>
      <c r="B1740" t="s">
        <v>31</v>
      </c>
      <c r="C1740">
        <v>46063</v>
      </c>
      <c r="D1740">
        <v>191.38</v>
      </c>
      <c r="E1740">
        <v>192.48</v>
      </c>
      <c r="F1740">
        <v>188.12</v>
      </c>
      <c r="G1740">
        <v>188.54</v>
      </c>
      <c r="H1740">
        <v>190.04</v>
      </c>
    </row>
    <row r="1741" spans="1:8" x14ac:dyDescent="0.3">
      <c r="A1741" t="s">
        <v>1832</v>
      </c>
      <c r="B1741" t="s">
        <v>31</v>
      </c>
      <c r="C1741">
        <v>46064</v>
      </c>
      <c r="D1741">
        <v>192.45</v>
      </c>
      <c r="E1741">
        <v>193.26</v>
      </c>
      <c r="F1741">
        <v>188.77</v>
      </c>
      <c r="G1741">
        <v>190.05</v>
      </c>
      <c r="H1741">
        <v>188.54</v>
      </c>
    </row>
    <row r="1742" spans="1:8" x14ac:dyDescent="0.3">
      <c r="A1742" t="s">
        <v>1833</v>
      </c>
      <c r="B1742" t="s">
        <v>31</v>
      </c>
      <c r="C1742">
        <v>46065</v>
      </c>
      <c r="D1742">
        <v>193.03</v>
      </c>
      <c r="E1742">
        <v>193.61</v>
      </c>
      <c r="F1742">
        <v>186.51</v>
      </c>
      <c r="G1742">
        <v>186.94</v>
      </c>
      <c r="H1742">
        <v>190.05</v>
      </c>
    </row>
    <row r="1743" spans="1:8" x14ac:dyDescent="0.3">
      <c r="A1743" t="s">
        <v>1834</v>
      </c>
      <c r="B1743" t="s">
        <v>31</v>
      </c>
      <c r="C1743">
        <v>46066</v>
      </c>
      <c r="D1743">
        <v>187.47499999999999</v>
      </c>
      <c r="E1743">
        <v>187.5</v>
      </c>
      <c r="F1743">
        <v>181.59</v>
      </c>
      <c r="G1743">
        <v>182.81</v>
      </c>
      <c r="H1743">
        <v>186.94</v>
      </c>
    </row>
    <row r="1744" spans="1:8" x14ac:dyDescent="0.3">
      <c r="A1744" t="s">
        <v>1835</v>
      </c>
      <c r="B1744" t="s">
        <v>31</v>
      </c>
      <c r="C1744">
        <v>46070</v>
      </c>
      <c r="D1744">
        <v>181.75</v>
      </c>
      <c r="E1744">
        <v>187.15</v>
      </c>
      <c r="F1744">
        <v>179.18</v>
      </c>
      <c r="G1744">
        <v>184.97</v>
      </c>
      <c r="H1744">
        <v>182.81</v>
      </c>
    </row>
    <row r="1745" spans="1:8" x14ac:dyDescent="0.3">
      <c r="A1745" t="s">
        <v>1836</v>
      </c>
      <c r="B1745" t="s">
        <v>31</v>
      </c>
      <c r="C1745">
        <v>46071</v>
      </c>
      <c r="D1745">
        <v>188.75</v>
      </c>
      <c r="E1745">
        <v>190.37</v>
      </c>
      <c r="F1745">
        <v>186.76</v>
      </c>
      <c r="G1745">
        <v>187.98</v>
      </c>
      <c r="H1745">
        <v>184.97</v>
      </c>
    </row>
    <row r="1746" spans="1:8" x14ac:dyDescent="0.3">
      <c r="A1746" t="s">
        <v>1837</v>
      </c>
      <c r="B1746" t="s">
        <v>31</v>
      </c>
      <c r="C1746">
        <v>46072</v>
      </c>
      <c r="D1746">
        <v>187.05500000000001</v>
      </c>
      <c r="E1746">
        <v>188.43</v>
      </c>
      <c r="F1746">
        <v>185.66</v>
      </c>
      <c r="G1746">
        <v>187.9</v>
      </c>
      <c r="H1746">
        <v>187.98</v>
      </c>
    </row>
    <row r="1747" spans="1:8" x14ac:dyDescent="0.3">
      <c r="A1747" t="s">
        <v>1838</v>
      </c>
      <c r="B1747" t="s">
        <v>31</v>
      </c>
      <c r="C1747">
        <v>46073</v>
      </c>
      <c r="D1747">
        <v>186.57</v>
      </c>
      <c r="E1747">
        <v>190.33</v>
      </c>
      <c r="F1747">
        <v>185.93780000000001</v>
      </c>
      <c r="G1747">
        <v>189.82</v>
      </c>
      <c r="H1747">
        <v>187.9</v>
      </c>
    </row>
    <row r="1748" spans="1:8" x14ac:dyDescent="0.3">
      <c r="A1748" t="s">
        <v>1839</v>
      </c>
      <c r="B1748" t="s">
        <v>31</v>
      </c>
      <c r="C1748">
        <v>46076</v>
      </c>
      <c r="D1748">
        <v>191.4</v>
      </c>
      <c r="E1748">
        <v>193.95</v>
      </c>
      <c r="F1748">
        <v>189.57499999999999</v>
      </c>
      <c r="G1748">
        <v>191.55</v>
      </c>
      <c r="H1748">
        <v>189.82</v>
      </c>
    </row>
    <row r="1749" spans="1:8" x14ac:dyDescent="0.3">
      <c r="A1749" t="s">
        <v>1840</v>
      </c>
      <c r="B1749" t="s">
        <v>31</v>
      </c>
      <c r="C1749">
        <v>46077</v>
      </c>
      <c r="D1749">
        <v>191.49</v>
      </c>
      <c r="E1749">
        <v>193.77</v>
      </c>
      <c r="F1749">
        <v>187.4</v>
      </c>
      <c r="G1749">
        <v>192.85</v>
      </c>
      <c r="H1749">
        <v>191.55</v>
      </c>
    </row>
    <row r="1750" spans="1:8" x14ac:dyDescent="0.3">
      <c r="A1750" t="s">
        <v>1841</v>
      </c>
      <c r="B1750" t="s">
        <v>33</v>
      </c>
      <c r="C1750">
        <v>45650</v>
      </c>
      <c r="D1750">
        <v>435.9</v>
      </c>
      <c r="E1750">
        <v>462.78</v>
      </c>
      <c r="F1750">
        <v>435.14</v>
      </c>
      <c r="G1750">
        <v>462.25</v>
      </c>
      <c r="H1750">
        <v>430.6</v>
      </c>
    </row>
    <row r="1751" spans="1:8" x14ac:dyDescent="0.3">
      <c r="A1751" t="s">
        <v>1842</v>
      </c>
      <c r="B1751" t="s">
        <v>33</v>
      </c>
      <c r="C1751">
        <v>45652</v>
      </c>
      <c r="D1751">
        <v>465.16</v>
      </c>
      <c r="E1751">
        <v>465.32990000000001</v>
      </c>
      <c r="F1751">
        <v>451.02</v>
      </c>
      <c r="G1751">
        <v>454.13</v>
      </c>
      <c r="H1751">
        <v>462.25</v>
      </c>
    </row>
    <row r="1752" spans="1:8" x14ac:dyDescent="0.3">
      <c r="A1752" t="s">
        <v>1843</v>
      </c>
      <c r="B1752" t="s">
        <v>33</v>
      </c>
      <c r="C1752">
        <v>45653</v>
      </c>
      <c r="D1752">
        <v>449.52</v>
      </c>
      <c r="E1752">
        <v>450</v>
      </c>
      <c r="F1752">
        <v>426.5</v>
      </c>
      <c r="G1752">
        <v>431.66</v>
      </c>
      <c r="H1752">
        <v>454.13</v>
      </c>
    </row>
    <row r="1753" spans="1:8" x14ac:dyDescent="0.3">
      <c r="A1753" t="s">
        <v>1844</v>
      </c>
      <c r="B1753" t="s">
        <v>33</v>
      </c>
      <c r="C1753">
        <v>45656</v>
      </c>
      <c r="D1753">
        <v>419.4</v>
      </c>
      <c r="E1753">
        <v>427</v>
      </c>
      <c r="F1753">
        <v>415.75</v>
      </c>
      <c r="G1753">
        <v>417.41</v>
      </c>
      <c r="H1753">
        <v>431.66</v>
      </c>
    </row>
    <row r="1754" spans="1:8" x14ac:dyDescent="0.3">
      <c r="A1754" t="s">
        <v>1845</v>
      </c>
      <c r="B1754" t="s">
        <v>33</v>
      </c>
      <c r="C1754">
        <v>45657</v>
      </c>
      <c r="D1754">
        <v>423.79</v>
      </c>
      <c r="E1754">
        <v>427.93</v>
      </c>
      <c r="F1754">
        <v>402.54</v>
      </c>
      <c r="G1754">
        <v>403.84</v>
      </c>
      <c r="H1754">
        <v>417.41</v>
      </c>
    </row>
    <row r="1755" spans="1:8" x14ac:dyDescent="0.3">
      <c r="A1755" t="s">
        <v>1846</v>
      </c>
      <c r="B1755" t="s">
        <v>33</v>
      </c>
      <c r="C1755">
        <v>45659</v>
      </c>
      <c r="D1755">
        <v>390.1</v>
      </c>
      <c r="E1755">
        <v>392.72989999999999</v>
      </c>
      <c r="F1755">
        <v>373.04</v>
      </c>
      <c r="G1755">
        <v>379.28</v>
      </c>
      <c r="H1755">
        <v>403.84</v>
      </c>
    </row>
    <row r="1756" spans="1:8" x14ac:dyDescent="0.3">
      <c r="A1756" t="s">
        <v>1847</v>
      </c>
      <c r="B1756" t="s">
        <v>33</v>
      </c>
      <c r="C1756">
        <v>45660</v>
      </c>
      <c r="D1756">
        <v>381.48</v>
      </c>
      <c r="E1756">
        <v>411.87990000000002</v>
      </c>
      <c r="F1756">
        <v>379.45</v>
      </c>
      <c r="G1756">
        <v>410.44</v>
      </c>
      <c r="H1756">
        <v>379.28</v>
      </c>
    </row>
    <row r="1757" spans="1:8" x14ac:dyDescent="0.3">
      <c r="A1757" t="s">
        <v>1848</v>
      </c>
      <c r="B1757" t="s">
        <v>33</v>
      </c>
      <c r="C1757">
        <v>45663</v>
      </c>
      <c r="D1757">
        <v>423.2</v>
      </c>
      <c r="E1757">
        <v>426.43</v>
      </c>
      <c r="F1757">
        <v>401.7</v>
      </c>
      <c r="G1757">
        <v>411.05</v>
      </c>
      <c r="H1757">
        <v>410.44</v>
      </c>
    </row>
    <row r="1758" spans="1:8" x14ac:dyDescent="0.3">
      <c r="A1758" t="s">
        <v>1849</v>
      </c>
      <c r="B1758" t="s">
        <v>33</v>
      </c>
      <c r="C1758">
        <v>45664</v>
      </c>
      <c r="D1758">
        <v>405.83</v>
      </c>
      <c r="E1758">
        <v>414.33</v>
      </c>
      <c r="F1758">
        <v>390</v>
      </c>
      <c r="G1758">
        <v>394.36</v>
      </c>
      <c r="H1758">
        <v>411.05</v>
      </c>
    </row>
    <row r="1759" spans="1:8" x14ac:dyDescent="0.3">
      <c r="A1759" t="s">
        <v>1850</v>
      </c>
      <c r="B1759" t="s">
        <v>33</v>
      </c>
      <c r="C1759">
        <v>45665</v>
      </c>
      <c r="D1759">
        <v>392.95</v>
      </c>
      <c r="E1759">
        <v>402.49990000000003</v>
      </c>
      <c r="F1759">
        <v>387.4</v>
      </c>
      <c r="G1759">
        <v>394.94</v>
      </c>
      <c r="H1759">
        <v>394.36</v>
      </c>
    </row>
    <row r="1760" spans="1:8" x14ac:dyDescent="0.3">
      <c r="A1760" t="s">
        <v>1851</v>
      </c>
      <c r="B1760" t="s">
        <v>33</v>
      </c>
      <c r="C1760">
        <v>45667</v>
      </c>
      <c r="D1760">
        <v>391.4</v>
      </c>
      <c r="E1760">
        <v>399.28</v>
      </c>
      <c r="F1760">
        <v>377.29</v>
      </c>
      <c r="G1760">
        <v>394.74</v>
      </c>
      <c r="H1760">
        <v>394.94</v>
      </c>
    </row>
    <row r="1761" spans="1:8" x14ac:dyDescent="0.3">
      <c r="A1761" t="s">
        <v>1852</v>
      </c>
      <c r="B1761" t="s">
        <v>33</v>
      </c>
      <c r="C1761">
        <v>45670</v>
      </c>
      <c r="D1761">
        <v>383.21</v>
      </c>
      <c r="E1761">
        <v>403.79</v>
      </c>
      <c r="F1761">
        <v>380.07</v>
      </c>
      <c r="G1761">
        <v>403.31</v>
      </c>
      <c r="H1761">
        <v>394.74</v>
      </c>
    </row>
    <row r="1762" spans="1:8" x14ac:dyDescent="0.3">
      <c r="A1762" t="s">
        <v>1853</v>
      </c>
      <c r="B1762" t="s">
        <v>33</v>
      </c>
      <c r="C1762">
        <v>45671</v>
      </c>
      <c r="D1762">
        <v>414.34</v>
      </c>
      <c r="E1762">
        <v>422.64</v>
      </c>
      <c r="F1762">
        <v>394.54</v>
      </c>
      <c r="G1762">
        <v>396.36</v>
      </c>
      <c r="H1762">
        <v>403.31</v>
      </c>
    </row>
    <row r="1763" spans="1:8" x14ac:dyDescent="0.3">
      <c r="A1763" t="s">
        <v>1854</v>
      </c>
      <c r="B1763" t="s">
        <v>33</v>
      </c>
      <c r="C1763">
        <v>45672</v>
      </c>
      <c r="D1763">
        <v>409.9</v>
      </c>
      <c r="E1763">
        <v>429.8</v>
      </c>
      <c r="F1763">
        <v>405.661</v>
      </c>
      <c r="G1763">
        <v>428.22</v>
      </c>
      <c r="H1763">
        <v>396.36</v>
      </c>
    </row>
    <row r="1764" spans="1:8" x14ac:dyDescent="0.3">
      <c r="A1764" t="s">
        <v>1855</v>
      </c>
      <c r="B1764" t="s">
        <v>33</v>
      </c>
      <c r="C1764">
        <v>45673</v>
      </c>
      <c r="D1764">
        <v>423.49</v>
      </c>
      <c r="E1764">
        <v>424</v>
      </c>
      <c r="F1764">
        <v>409.13</v>
      </c>
      <c r="G1764">
        <v>413.82</v>
      </c>
      <c r="H1764">
        <v>428.22</v>
      </c>
    </row>
    <row r="1765" spans="1:8" x14ac:dyDescent="0.3">
      <c r="A1765" t="s">
        <v>1856</v>
      </c>
      <c r="B1765" t="s">
        <v>33</v>
      </c>
      <c r="C1765">
        <v>45674</v>
      </c>
      <c r="D1765">
        <v>421.5</v>
      </c>
      <c r="E1765">
        <v>439.74</v>
      </c>
      <c r="F1765">
        <v>419.75</v>
      </c>
      <c r="G1765">
        <v>426.5</v>
      </c>
      <c r="H1765">
        <v>413.82</v>
      </c>
    </row>
    <row r="1766" spans="1:8" x14ac:dyDescent="0.3">
      <c r="A1766" t="s">
        <v>1857</v>
      </c>
      <c r="B1766" t="s">
        <v>33</v>
      </c>
      <c r="C1766">
        <v>45678</v>
      </c>
      <c r="D1766">
        <v>432.64</v>
      </c>
      <c r="E1766">
        <v>433.2</v>
      </c>
      <c r="F1766">
        <v>406.31</v>
      </c>
      <c r="G1766">
        <v>424.07</v>
      </c>
      <c r="H1766">
        <v>426.5</v>
      </c>
    </row>
    <row r="1767" spans="1:8" x14ac:dyDescent="0.3">
      <c r="A1767" t="s">
        <v>1858</v>
      </c>
      <c r="B1767" t="s">
        <v>33</v>
      </c>
      <c r="C1767">
        <v>45679</v>
      </c>
      <c r="D1767">
        <v>416.81</v>
      </c>
      <c r="E1767">
        <v>428</v>
      </c>
      <c r="F1767">
        <v>414.59</v>
      </c>
      <c r="G1767">
        <v>415.11</v>
      </c>
      <c r="H1767">
        <v>424.07</v>
      </c>
    </row>
    <row r="1768" spans="1:8" x14ac:dyDescent="0.3">
      <c r="A1768" t="s">
        <v>1859</v>
      </c>
      <c r="B1768" t="s">
        <v>33</v>
      </c>
      <c r="C1768">
        <v>45680</v>
      </c>
      <c r="D1768">
        <v>416.06</v>
      </c>
      <c r="E1768">
        <v>420.73</v>
      </c>
      <c r="F1768">
        <v>408.95</v>
      </c>
      <c r="G1768">
        <v>412.38</v>
      </c>
      <c r="H1768">
        <v>415.11</v>
      </c>
    </row>
    <row r="1769" spans="1:8" x14ac:dyDescent="0.3">
      <c r="A1769" t="s">
        <v>1860</v>
      </c>
      <c r="B1769" t="s">
        <v>33</v>
      </c>
      <c r="C1769">
        <v>45681</v>
      </c>
      <c r="D1769">
        <v>414.45</v>
      </c>
      <c r="E1769">
        <v>418.88</v>
      </c>
      <c r="F1769">
        <v>405.78</v>
      </c>
      <c r="G1769">
        <v>406.58</v>
      </c>
      <c r="H1769">
        <v>412.38</v>
      </c>
    </row>
    <row r="1770" spans="1:8" x14ac:dyDescent="0.3">
      <c r="A1770" t="s">
        <v>1861</v>
      </c>
      <c r="B1770" t="s">
        <v>33</v>
      </c>
      <c r="C1770">
        <v>45684</v>
      </c>
      <c r="D1770">
        <v>394.8</v>
      </c>
      <c r="E1770">
        <v>406.69</v>
      </c>
      <c r="F1770">
        <v>389</v>
      </c>
      <c r="G1770">
        <v>397.15</v>
      </c>
      <c r="H1770">
        <v>406.58</v>
      </c>
    </row>
    <row r="1771" spans="1:8" x14ac:dyDescent="0.3">
      <c r="A1771" t="s">
        <v>1862</v>
      </c>
      <c r="B1771" t="s">
        <v>33</v>
      </c>
      <c r="C1771">
        <v>45685</v>
      </c>
      <c r="D1771">
        <v>396.91</v>
      </c>
      <c r="E1771">
        <v>400.59</v>
      </c>
      <c r="F1771">
        <v>386.5</v>
      </c>
      <c r="G1771">
        <v>398.09</v>
      </c>
      <c r="H1771">
        <v>397.15</v>
      </c>
    </row>
    <row r="1772" spans="1:8" x14ac:dyDescent="0.3">
      <c r="A1772" t="s">
        <v>1863</v>
      </c>
      <c r="B1772" t="s">
        <v>33</v>
      </c>
      <c r="C1772">
        <v>45686</v>
      </c>
      <c r="D1772">
        <v>395.21</v>
      </c>
      <c r="E1772">
        <v>398.5899</v>
      </c>
      <c r="F1772">
        <v>384.48</v>
      </c>
      <c r="G1772">
        <v>389.1</v>
      </c>
      <c r="H1772">
        <v>398.09</v>
      </c>
    </row>
    <row r="1773" spans="1:8" x14ac:dyDescent="0.3">
      <c r="A1773" t="s">
        <v>1864</v>
      </c>
      <c r="B1773" t="s">
        <v>33</v>
      </c>
      <c r="C1773">
        <v>45687</v>
      </c>
      <c r="D1773">
        <v>410.78</v>
      </c>
      <c r="E1773">
        <v>412.5</v>
      </c>
      <c r="F1773">
        <v>384.41</v>
      </c>
      <c r="G1773">
        <v>400.28</v>
      </c>
      <c r="H1773">
        <v>389.1</v>
      </c>
    </row>
    <row r="1774" spans="1:8" x14ac:dyDescent="0.3">
      <c r="A1774" t="s">
        <v>1865</v>
      </c>
      <c r="B1774" t="s">
        <v>33</v>
      </c>
      <c r="C1774">
        <v>45688</v>
      </c>
      <c r="D1774">
        <v>401.53</v>
      </c>
      <c r="E1774">
        <v>419.99</v>
      </c>
      <c r="F1774">
        <v>401.34</v>
      </c>
      <c r="G1774">
        <v>404.6</v>
      </c>
      <c r="H1774">
        <v>400.28</v>
      </c>
    </row>
    <row r="1775" spans="1:8" x14ac:dyDescent="0.3">
      <c r="A1775" t="s">
        <v>1866</v>
      </c>
      <c r="B1775" t="s">
        <v>33</v>
      </c>
      <c r="C1775">
        <v>45691</v>
      </c>
      <c r="D1775">
        <v>386.68</v>
      </c>
      <c r="E1775">
        <v>389.17</v>
      </c>
      <c r="F1775">
        <v>374.36</v>
      </c>
      <c r="G1775">
        <v>383.68</v>
      </c>
      <c r="H1775">
        <v>404.6</v>
      </c>
    </row>
    <row r="1776" spans="1:8" x14ac:dyDescent="0.3">
      <c r="A1776" t="s">
        <v>1867</v>
      </c>
      <c r="B1776" t="s">
        <v>33</v>
      </c>
      <c r="C1776">
        <v>45692</v>
      </c>
      <c r="D1776">
        <v>382.63</v>
      </c>
      <c r="E1776">
        <v>394</v>
      </c>
      <c r="F1776">
        <v>381.4</v>
      </c>
      <c r="G1776">
        <v>392.21</v>
      </c>
      <c r="H1776">
        <v>383.68</v>
      </c>
    </row>
    <row r="1777" spans="1:8" x14ac:dyDescent="0.3">
      <c r="A1777" t="s">
        <v>1868</v>
      </c>
      <c r="B1777" t="s">
        <v>33</v>
      </c>
      <c r="C1777">
        <v>45693</v>
      </c>
      <c r="D1777">
        <v>387.51</v>
      </c>
      <c r="E1777">
        <v>388.39</v>
      </c>
      <c r="F1777">
        <v>375.53</v>
      </c>
      <c r="G1777">
        <v>378.17</v>
      </c>
      <c r="H1777">
        <v>392.21</v>
      </c>
    </row>
    <row r="1778" spans="1:8" x14ac:dyDescent="0.3">
      <c r="A1778" t="s">
        <v>1869</v>
      </c>
      <c r="B1778" t="s">
        <v>33</v>
      </c>
      <c r="C1778">
        <v>45694</v>
      </c>
      <c r="D1778">
        <v>373.03</v>
      </c>
      <c r="E1778">
        <v>375.4</v>
      </c>
      <c r="F1778">
        <v>363.18</v>
      </c>
      <c r="G1778">
        <v>374.32</v>
      </c>
      <c r="H1778">
        <v>378.17</v>
      </c>
    </row>
    <row r="1779" spans="1:8" x14ac:dyDescent="0.3">
      <c r="A1779" t="s">
        <v>1870</v>
      </c>
      <c r="B1779" t="s">
        <v>33</v>
      </c>
      <c r="C1779">
        <v>45695</v>
      </c>
      <c r="D1779">
        <v>370.19</v>
      </c>
      <c r="E1779">
        <v>380.54590000000002</v>
      </c>
      <c r="F1779">
        <v>360.34</v>
      </c>
      <c r="G1779">
        <v>361.62</v>
      </c>
      <c r="H1779">
        <v>374.32</v>
      </c>
    </row>
    <row r="1780" spans="1:8" x14ac:dyDescent="0.3">
      <c r="A1780" t="s">
        <v>1871</v>
      </c>
      <c r="B1780" t="s">
        <v>33</v>
      </c>
      <c r="C1780">
        <v>45698</v>
      </c>
      <c r="D1780">
        <v>356.21</v>
      </c>
      <c r="E1780">
        <v>362.7</v>
      </c>
      <c r="F1780">
        <v>350.51</v>
      </c>
      <c r="G1780">
        <v>350.73</v>
      </c>
      <c r="H1780">
        <v>361.62</v>
      </c>
    </row>
    <row r="1781" spans="1:8" x14ac:dyDescent="0.3">
      <c r="A1781" t="s">
        <v>1872</v>
      </c>
      <c r="B1781" t="s">
        <v>33</v>
      </c>
      <c r="C1781">
        <v>45699</v>
      </c>
      <c r="D1781">
        <v>345.8</v>
      </c>
      <c r="E1781">
        <v>349.37</v>
      </c>
      <c r="F1781">
        <v>325.10000000000002</v>
      </c>
      <c r="G1781">
        <v>328.5</v>
      </c>
      <c r="H1781">
        <v>350.73</v>
      </c>
    </row>
    <row r="1782" spans="1:8" x14ac:dyDescent="0.3">
      <c r="A1782" t="s">
        <v>1873</v>
      </c>
      <c r="B1782" t="s">
        <v>33</v>
      </c>
      <c r="C1782">
        <v>45700</v>
      </c>
      <c r="D1782">
        <v>329.94</v>
      </c>
      <c r="E1782">
        <v>346.4</v>
      </c>
      <c r="F1782">
        <v>329.12</v>
      </c>
      <c r="G1782">
        <v>336.51</v>
      </c>
      <c r="H1782">
        <v>328.5</v>
      </c>
    </row>
    <row r="1783" spans="1:8" x14ac:dyDescent="0.3">
      <c r="A1783" t="s">
        <v>1874</v>
      </c>
      <c r="B1783" t="s">
        <v>33</v>
      </c>
      <c r="C1783">
        <v>45701</v>
      </c>
      <c r="D1783">
        <v>345</v>
      </c>
      <c r="E1783">
        <v>358.69</v>
      </c>
      <c r="F1783">
        <v>342.85</v>
      </c>
      <c r="G1783">
        <v>355.94</v>
      </c>
      <c r="H1783">
        <v>336.51</v>
      </c>
    </row>
    <row r="1784" spans="1:8" x14ac:dyDescent="0.3">
      <c r="A1784" t="s">
        <v>1875</v>
      </c>
      <c r="B1784" t="s">
        <v>33</v>
      </c>
      <c r="C1784">
        <v>45702</v>
      </c>
      <c r="D1784">
        <v>360.62</v>
      </c>
      <c r="E1784">
        <v>362</v>
      </c>
      <c r="F1784">
        <v>347.5</v>
      </c>
      <c r="G1784">
        <v>355.84</v>
      </c>
      <c r="H1784">
        <v>355.94</v>
      </c>
    </row>
    <row r="1785" spans="1:8" x14ac:dyDescent="0.3">
      <c r="A1785" t="s">
        <v>1876</v>
      </c>
      <c r="B1785" t="s">
        <v>33</v>
      </c>
      <c r="C1785">
        <v>45706</v>
      </c>
      <c r="D1785">
        <v>355.01</v>
      </c>
      <c r="E1785">
        <v>359.1</v>
      </c>
      <c r="F1785">
        <v>350.02</v>
      </c>
      <c r="G1785">
        <v>354.11</v>
      </c>
      <c r="H1785">
        <v>355.84</v>
      </c>
    </row>
    <row r="1786" spans="1:8" x14ac:dyDescent="0.3">
      <c r="A1786" t="s">
        <v>1877</v>
      </c>
      <c r="B1786" t="s">
        <v>33</v>
      </c>
      <c r="C1786">
        <v>45707</v>
      </c>
      <c r="D1786">
        <v>354</v>
      </c>
      <c r="E1786">
        <v>367.34</v>
      </c>
      <c r="F1786">
        <v>353.67</v>
      </c>
      <c r="G1786">
        <v>360.56</v>
      </c>
      <c r="H1786">
        <v>354.11</v>
      </c>
    </row>
    <row r="1787" spans="1:8" x14ac:dyDescent="0.3">
      <c r="A1787" t="s">
        <v>1878</v>
      </c>
      <c r="B1787" t="s">
        <v>33</v>
      </c>
      <c r="C1787">
        <v>45708</v>
      </c>
      <c r="D1787">
        <v>361.51</v>
      </c>
      <c r="E1787">
        <v>362.3</v>
      </c>
      <c r="F1787">
        <v>348</v>
      </c>
      <c r="G1787">
        <v>354.4</v>
      </c>
      <c r="H1787">
        <v>360.56</v>
      </c>
    </row>
    <row r="1788" spans="1:8" x14ac:dyDescent="0.3">
      <c r="A1788" t="s">
        <v>1879</v>
      </c>
      <c r="B1788" t="s">
        <v>33</v>
      </c>
      <c r="C1788">
        <v>45709</v>
      </c>
      <c r="D1788">
        <v>353.44</v>
      </c>
      <c r="E1788">
        <v>354.98</v>
      </c>
      <c r="F1788">
        <v>334.42</v>
      </c>
      <c r="G1788">
        <v>337.8</v>
      </c>
      <c r="H1788">
        <v>354.4</v>
      </c>
    </row>
    <row r="1789" spans="1:8" x14ac:dyDescent="0.3">
      <c r="A1789" t="s">
        <v>1880</v>
      </c>
      <c r="B1789" t="s">
        <v>33</v>
      </c>
      <c r="C1789">
        <v>45712</v>
      </c>
      <c r="D1789">
        <v>338.14</v>
      </c>
      <c r="E1789">
        <v>342.39729999999997</v>
      </c>
      <c r="F1789">
        <v>324.7</v>
      </c>
      <c r="G1789">
        <v>330.53</v>
      </c>
      <c r="H1789">
        <v>337.8</v>
      </c>
    </row>
    <row r="1790" spans="1:8" x14ac:dyDescent="0.3">
      <c r="A1790" t="s">
        <v>1881</v>
      </c>
      <c r="B1790" t="s">
        <v>33</v>
      </c>
      <c r="C1790">
        <v>45713</v>
      </c>
      <c r="D1790">
        <v>327.02499999999998</v>
      </c>
      <c r="E1790">
        <v>328.89</v>
      </c>
      <c r="F1790">
        <v>297.25119999999998</v>
      </c>
      <c r="G1790">
        <v>302.8</v>
      </c>
      <c r="H1790">
        <v>330.53</v>
      </c>
    </row>
    <row r="1791" spans="1:8" x14ac:dyDescent="0.3">
      <c r="A1791" t="s">
        <v>1882</v>
      </c>
      <c r="B1791" t="s">
        <v>33</v>
      </c>
      <c r="C1791">
        <v>45714</v>
      </c>
      <c r="D1791">
        <v>303.71499999999997</v>
      </c>
      <c r="E1791">
        <v>309</v>
      </c>
      <c r="F1791">
        <v>288.04000000000002</v>
      </c>
      <c r="G1791">
        <v>290.8</v>
      </c>
      <c r="H1791">
        <v>302.8</v>
      </c>
    </row>
    <row r="1792" spans="1:8" x14ac:dyDescent="0.3">
      <c r="A1792" t="s">
        <v>1883</v>
      </c>
      <c r="B1792" t="s">
        <v>33</v>
      </c>
      <c r="C1792">
        <v>45715</v>
      </c>
      <c r="D1792">
        <v>291.16000000000003</v>
      </c>
      <c r="E1792">
        <v>297.23</v>
      </c>
      <c r="F1792">
        <v>280.88</v>
      </c>
      <c r="G1792">
        <v>281.95</v>
      </c>
      <c r="H1792">
        <v>290.8</v>
      </c>
    </row>
    <row r="1793" spans="1:8" x14ac:dyDescent="0.3">
      <c r="A1793" t="s">
        <v>1884</v>
      </c>
      <c r="B1793" t="s">
        <v>33</v>
      </c>
      <c r="C1793">
        <v>45716</v>
      </c>
      <c r="D1793">
        <v>279.5</v>
      </c>
      <c r="E1793">
        <v>293.88</v>
      </c>
      <c r="F1793">
        <v>273.60000000000002</v>
      </c>
      <c r="G1793">
        <v>292.98</v>
      </c>
      <c r="H1793">
        <v>281.95</v>
      </c>
    </row>
    <row r="1794" spans="1:8" x14ac:dyDescent="0.3">
      <c r="A1794" t="s">
        <v>1885</v>
      </c>
      <c r="B1794" t="s">
        <v>33</v>
      </c>
      <c r="C1794">
        <v>45719</v>
      </c>
      <c r="D1794">
        <v>300.33999999999997</v>
      </c>
      <c r="E1794">
        <v>303.94</v>
      </c>
      <c r="F1794">
        <v>277.3</v>
      </c>
      <c r="G1794">
        <v>284.64999999999998</v>
      </c>
      <c r="H1794">
        <v>292.98</v>
      </c>
    </row>
    <row r="1795" spans="1:8" x14ac:dyDescent="0.3">
      <c r="A1795" t="s">
        <v>1886</v>
      </c>
      <c r="B1795" t="s">
        <v>33</v>
      </c>
      <c r="C1795">
        <v>45720</v>
      </c>
      <c r="D1795">
        <v>270.93</v>
      </c>
      <c r="E1795">
        <v>284.35000000000002</v>
      </c>
      <c r="F1795">
        <v>261.84010000000001</v>
      </c>
      <c r="G1795">
        <v>272.04000000000002</v>
      </c>
      <c r="H1795">
        <v>284.64999999999998</v>
      </c>
    </row>
    <row r="1796" spans="1:8" x14ac:dyDescent="0.3">
      <c r="A1796" t="s">
        <v>1887</v>
      </c>
      <c r="B1796" t="s">
        <v>33</v>
      </c>
      <c r="C1796">
        <v>45721</v>
      </c>
      <c r="D1796">
        <v>272.92</v>
      </c>
      <c r="E1796">
        <v>279.55</v>
      </c>
      <c r="F1796">
        <v>267.70999999999998</v>
      </c>
      <c r="G1796">
        <v>279.10000000000002</v>
      </c>
      <c r="H1796">
        <v>272.04000000000002</v>
      </c>
    </row>
    <row r="1797" spans="1:8" x14ac:dyDescent="0.3">
      <c r="A1797" t="s">
        <v>1888</v>
      </c>
      <c r="B1797" t="s">
        <v>33</v>
      </c>
      <c r="C1797">
        <v>45722</v>
      </c>
      <c r="D1797">
        <v>272.06</v>
      </c>
      <c r="E1797">
        <v>272.64999999999998</v>
      </c>
      <c r="F1797">
        <v>260.02</v>
      </c>
      <c r="G1797">
        <v>263.45</v>
      </c>
      <c r="H1797">
        <v>279.10000000000002</v>
      </c>
    </row>
    <row r="1798" spans="1:8" x14ac:dyDescent="0.3">
      <c r="A1798" t="s">
        <v>1889</v>
      </c>
      <c r="B1798" t="s">
        <v>33</v>
      </c>
      <c r="C1798">
        <v>45723</v>
      </c>
      <c r="D1798">
        <v>259.32</v>
      </c>
      <c r="E1798">
        <v>266.24990000000003</v>
      </c>
      <c r="F1798">
        <v>250.73</v>
      </c>
      <c r="G1798">
        <v>262.67</v>
      </c>
      <c r="H1798">
        <v>263.45</v>
      </c>
    </row>
    <row r="1799" spans="1:8" x14ac:dyDescent="0.3">
      <c r="A1799" t="s">
        <v>1890</v>
      </c>
      <c r="B1799" t="s">
        <v>33</v>
      </c>
      <c r="C1799">
        <v>45726</v>
      </c>
      <c r="D1799">
        <v>252.535</v>
      </c>
      <c r="E1799">
        <v>253.37</v>
      </c>
      <c r="F1799">
        <v>220</v>
      </c>
      <c r="G1799">
        <v>222.15</v>
      </c>
      <c r="H1799">
        <v>262.67</v>
      </c>
    </row>
    <row r="1800" spans="1:8" x14ac:dyDescent="0.3">
      <c r="A1800" t="s">
        <v>1891</v>
      </c>
      <c r="B1800" t="s">
        <v>33</v>
      </c>
      <c r="C1800">
        <v>45727</v>
      </c>
      <c r="D1800">
        <v>225.30500000000001</v>
      </c>
      <c r="E1800">
        <v>237.06489999999999</v>
      </c>
      <c r="F1800">
        <v>217.02</v>
      </c>
      <c r="G1800">
        <v>230.58</v>
      </c>
      <c r="H1800">
        <v>222.15</v>
      </c>
    </row>
    <row r="1801" spans="1:8" x14ac:dyDescent="0.3">
      <c r="A1801" t="s">
        <v>1892</v>
      </c>
      <c r="B1801" t="s">
        <v>33</v>
      </c>
      <c r="C1801">
        <v>45728</v>
      </c>
      <c r="D1801">
        <v>247.22</v>
      </c>
      <c r="E1801">
        <v>251.84</v>
      </c>
      <c r="F1801">
        <v>241.1</v>
      </c>
      <c r="G1801">
        <v>248.09</v>
      </c>
      <c r="H1801">
        <v>230.58</v>
      </c>
    </row>
    <row r="1802" spans="1:8" x14ac:dyDescent="0.3">
      <c r="A1802" t="s">
        <v>1893</v>
      </c>
      <c r="B1802" t="s">
        <v>33</v>
      </c>
      <c r="C1802">
        <v>45729</v>
      </c>
      <c r="D1802">
        <v>248.125</v>
      </c>
      <c r="E1802">
        <v>248.29</v>
      </c>
      <c r="F1802">
        <v>232.6</v>
      </c>
      <c r="G1802">
        <v>240.68</v>
      </c>
      <c r="H1802">
        <v>248.09</v>
      </c>
    </row>
    <row r="1803" spans="1:8" x14ac:dyDescent="0.3">
      <c r="A1803" t="s">
        <v>1894</v>
      </c>
      <c r="B1803" t="s">
        <v>33</v>
      </c>
      <c r="C1803">
        <v>45730</v>
      </c>
      <c r="D1803">
        <v>247.31</v>
      </c>
      <c r="E1803">
        <v>251.58</v>
      </c>
      <c r="F1803">
        <v>240.73</v>
      </c>
      <c r="G1803">
        <v>249.98</v>
      </c>
      <c r="H1803">
        <v>240.68</v>
      </c>
    </row>
    <row r="1804" spans="1:8" x14ac:dyDescent="0.3">
      <c r="A1804" t="s">
        <v>1895</v>
      </c>
      <c r="B1804" t="s">
        <v>33</v>
      </c>
      <c r="C1804">
        <v>45733</v>
      </c>
      <c r="D1804">
        <v>245.05500000000001</v>
      </c>
      <c r="E1804">
        <v>245.4</v>
      </c>
      <c r="F1804">
        <v>232.8</v>
      </c>
      <c r="G1804">
        <v>238.01</v>
      </c>
      <c r="H1804">
        <v>249.98</v>
      </c>
    </row>
    <row r="1805" spans="1:8" x14ac:dyDescent="0.3">
      <c r="A1805" t="s">
        <v>1896</v>
      </c>
      <c r="B1805" t="s">
        <v>33</v>
      </c>
      <c r="C1805">
        <v>45734</v>
      </c>
      <c r="D1805">
        <v>228.155</v>
      </c>
      <c r="E1805">
        <v>230.1</v>
      </c>
      <c r="F1805">
        <v>222.28</v>
      </c>
      <c r="G1805">
        <v>225.31</v>
      </c>
      <c r="H1805">
        <v>238.01</v>
      </c>
    </row>
    <row r="1806" spans="1:8" x14ac:dyDescent="0.3">
      <c r="A1806" t="s">
        <v>1897</v>
      </c>
      <c r="B1806" t="s">
        <v>33</v>
      </c>
      <c r="C1806">
        <v>45735</v>
      </c>
      <c r="D1806">
        <v>231.61</v>
      </c>
      <c r="E1806">
        <v>241.41</v>
      </c>
      <c r="F1806">
        <v>229.20099999999999</v>
      </c>
      <c r="G1806">
        <v>235.86</v>
      </c>
      <c r="H1806">
        <v>225.31</v>
      </c>
    </row>
    <row r="1807" spans="1:8" x14ac:dyDescent="0.3">
      <c r="A1807" t="s">
        <v>1898</v>
      </c>
      <c r="B1807" t="s">
        <v>33</v>
      </c>
      <c r="C1807">
        <v>45736</v>
      </c>
      <c r="D1807">
        <v>233.345</v>
      </c>
      <c r="E1807">
        <v>238</v>
      </c>
      <c r="F1807">
        <v>230.05009999999999</v>
      </c>
      <c r="G1807">
        <v>236.26</v>
      </c>
      <c r="H1807">
        <v>235.86</v>
      </c>
    </row>
    <row r="1808" spans="1:8" x14ac:dyDescent="0.3">
      <c r="A1808" t="s">
        <v>1899</v>
      </c>
      <c r="B1808" t="s">
        <v>33</v>
      </c>
      <c r="C1808">
        <v>45737</v>
      </c>
      <c r="D1808">
        <v>234.98500000000001</v>
      </c>
      <c r="E1808">
        <v>249.52</v>
      </c>
      <c r="F1808">
        <v>234.55</v>
      </c>
      <c r="G1808">
        <v>248.71</v>
      </c>
      <c r="H1808">
        <v>236.26</v>
      </c>
    </row>
    <row r="1809" spans="1:8" x14ac:dyDescent="0.3">
      <c r="A1809" t="s">
        <v>1900</v>
      </c>
      <c r="B1809" t="s">
        <v>33</v>
      </c>
      <c r="C1809">
        <v>45740</v>
      </c>
      <c r="D1809">
        <v>258.07499999999999</v>
      </c>
      <c r="E1809">
        <v>278.64</v>
      </c>
      <c r="F1809">
        <v>256.33</v>
      </c>
      <c r="G1809">
        <v>278.39</v>
      </c>
      <c r="H1809">
        <v>248.71</v>
      </c>
    </row>
    <row r="1810" spans="1:8" x14ac:dyDescent="0.3">
      <c r="A1810" t="s">
        <v>1901</v>
      </c>
      <c r="B1810" t="s">
        <v>33</v>
      </c>
      <c r="C1810">
        <v>45741</v>
      </c>
      <c r="D1810">
        <v>283.60000000000002</v>
      </c>
      <c r="E1810">
        <v>288.2</v>
      </c>
      <c r="F1810">
        <v>271.27999999999997</v>
      </c>
      <c r="G1810">
        <v>288.14</v>
      </c>
      <c r="H1810">
        <v>278.39</v>
      </c>
    </row>
    <row r="1811" spans="1:8" x14ac:dyDescent="0.3">
      <c r="A1811" t="s">
        <v>1902</v>
      </c>
      <c r="B1811" t="s">
        <v>33</v>
      </c>
      <c r="C1811">
        <v>45742</v>
      </c>
      <c r="D1811">
        <v>282.66000000000003</v>
      </c>
      <c r="E1811">
        <v>284.89999999999998</v>
      </c>
      <c r="F1811">
        <v>266.51</v>
      </c>
      <c r="G1811">
        <v>272.06</v>
      </c>
      <c r="H1811">
        <v>288.14</v>
      </c>
    </row>
    <row r="1812" spans="1:8" x14ac:dyDescent="0.3">
      <c r="A1812" t="s">
        <v>1903</v>
      </c>
      <c r="B1812" t="s">
        <v>33</v>
      </c>
      <c r="C1812">
        <v>45743</v>
      </c>
      <c r="D1812">
        <v>272.48</v>
      </c>
      <c r="E1812">
        <v>291.85000000000002</v>
      </c>
      <c r="F1812">
        <v>271.82159999999999</v>
      </c>
      <c r="G1812">
        <v>273.13</v>
      </c>
      <c r="H1812">
        <v>272.06</v>
      </c>
    </row>
    <row r="1813" spans="1:8" x14ac:dyDescent="0.3">
      <c r="A1813" t="s">
        <v>1904</v>
      </c>
      <c r="B1813" t="s">
        <v>33</v>
      </c>
      <c r="C1813">
        <v>45744</v>
      </c>
      <c r="D1813">
        <v>275.57499999999999</v>
      </c>
      <c r="E1813">
        <v>276.10000000000002</v>
      </c>
      <c r="F1813">
        <v>260.57</v>
      </c>
      <c r="G1813">
        <v>263.55</v>
      </c>
      <c r="H1813">
        <v>273.13</v>
      </c>
    </row>
    <row r="1814" spans="1:8" x14ac:dyDescent="0.3">
      <c r="A1814" t="s">
        <v>118</v>
      </c>
      <c r="B1814" t="s">
        <v>33</v>
      </c>
      <c r="C1814">
        <v>45747</v>
      </c>
      <c r="D1814">
        <v>249.31</v>
      </c>
      <c r="E1814">
        <v>260.56</v>
      </c>
      <c r="F1814">
        <v>243.36009999999999</v>
      </c>
      <c r="G1814">
        <v>259.16000000000003</v>
      </c>
      <c r="H1814">
        <v>263.55</v>
      </c>
    </row>
    <row r="1815" spans="1:8" x14ac:dyDescent="0.3">
      <c r="A1815" t="s">
        <v>1905</v>
      </c>
      <c r="B1815" t="s">
        <v>33</v>
      </c>
      <c r="C1815">
        <v>45748</v>
      </c>
      <c r="D1815">
        <v>263.8</v>
      </c>
      <c r="E1815">
        <v>277.45</v>
      </c>
      <c r="F1815">
        <v>259.25</v>
      </c>
      <c r="G1815">
        <v>268.45999999999998</v>
      </c>
      <c r="H1815">
        <v>259.16000000000003</v>
      </c>
    </row>
    <row r="1816" spans="1:8" x14ac:dyDescent="0.3">
      <c r="A1816" t="s">
        <v>1906</v>
      </c>
      <c r="B1816" t="s">
        <v>33</v>
      </c>
      <c r="C1816">
        <v>45749</v>
      </c>
      <c r="D1816">
        <v>254.6</v>
      </c>
      <c r="E1816">
        <v>284.99</v>
      </c>
      <c r="F1816">
        <v>251.27</v>
      </c>
      <c r="G1816">
        <v>282.76</v>
      </c>
      <c r="H1816">
        <v>268.45999999999998</v>
      </c>
    </row>
    <row r="1817" spans="1:8" x14ac:dyDescent="0.3">
      <c r="A1817" t="s">
        <v>1907</v>
      </c>
      <c r="B1817" t="s">
        <v>33</v>
      </c>
      <c r="C1817">
        <v>45750</v>
      </c>
      <c r="D1817">
        <v>265.29000000000002</v>
      </c>
      <c r="E1817">
        <v>276.3</v>
      </c>
      <c r="F1817">
        <v>261.51</v>
      </c>
      <c r="G1817">
        <v>267.27999999999997</v>
      </c>
      <c r="H1817">
        <v>282.76</v>
      </c>
    </row>
    <row r="1818" spans="1:8" x14ac:dyDescent="0.3">
      <c r="A1818" t="s">
        <v>1908</v>
      </c>
      <c r="B1818" t="s">
        <v>33</v>
      </c>
      <c r="C1818">
        <v>45751</v>
      </c>
      <c r="D1818">
        <v>255.38</v>
      </c>
      <c r="E1818">
        <v>261</v>
      </c>
      <c r="F1818">
        <v>236</v>
      </c>
      <c r="G1818">
        <v>239.43</v>
      </c>
      <c r="H1818">
        <v>267.27999999999997</v>
      </c>
    </row>
    <row r="1819" spans="1:8" x14ac:dyDescent="0.3">
      <c r="A1819" t="s">
        <v>1909</v>
      </c>
      <c r="B1819" t="s">
        <v>33</v>
      </c>
      <c r="C1819">
        <v>45754</v>
      </c>
      <c r="D1819">
        <v>223.78</v>
      </c>
      <c r="E1819">
        <v>252</v>
      </c>
      <c r="F1819">
        <v>214.25</v>
      </c>
      <c r="G1819">
        <v>233.29</v>
      </c>
      <c r="H1819">
        <v>239.43</v>
      </c>
    </row>
    <row r="1820" spans="1:8" x14ac:dyDescent="0.3">
      <c r="A1820" t="s">
        <v>1910</v>
      </c>
      <c r="B1820" t="s">
        <v>33</v>
      </c>
      <c r="C1820">
        <v>45755</v>
      </c>
      <c r="D1820">
        <v>245</v>
      </c>
      <c r="E1820">
        <v>250.44</v>
      </c>
      <c r="F1820">
        <v>217.8</v>
      </c>
      <c r="G1820">
        <v>221.86</v>
      </c>
      <c r="H1820">
        <v>233.29</v>
      </c>
    </row>
    <row r="1821" spans="1:8" x14ac:dyDescent="0.3">
      <c r="A1821" t="s">
        <v>1911</v>
      </c>
      <c r="B1821" t="s">
        <v>33</v>
      </c>
      <c r="C1821">
        <v>45756</v>
      </c>
      <c r="D1821">
        <v>224.69</v>
      </c>
      <c r="E1821">
        <v>274.69</v>
      </c>
      <c r="F1821">
        <v>223.88</v>
      </c>
      <c r="G1821">
        <v>272.2</v>
      </c>
      <c r="H1821">
        <v>221.86</v>
      </c>
    </row>
    <row r="1822" spans="1:8" x14ac:dyDescent="0.3">
      <c r="A1822" t="s">
        <v>1912</v>
      </c>
      <c r="B1822" t="s">
        <v>33</v>
      </c>
      <c r="C1822">
        <v>45757</v>
      </c>
      <c r="D1822">
        <v>260</v>
      </c>
      <c r="E1822">
        <v>262.49</v>
      </c>
      <c r="F1822">
        <v>239.33</v>
      </c>
      <c r="G1822">
        <v>252.4</v>
      </c>
      <c r="H1822">
        <v>272.2</v>
      </c>
    </row>
    <row r="1823" spans="1:8" x14ac:dyDescent="0.3">
      <c r="A1823" t="s">
        <v>1913</v>
      </c>
      <c r="B1823" t="s">
        <v>33</v>
      </c>
      <c r="C1823">
        <v>45758</v>
      </c>
      <c r="D1823">
        <v>251.84</v>
      </c>
      <c r="E1823">
        <v>257.74</v>
      </c>
      <c r="F1823">
        <v>241.3629</v>
      </c>
      <c r="G1823">
        <v>252.31</v>
      </c>
      <c r="H1823">
        <v>252.4</v>
      </c>
    </row>
    <row r="1824" spans="1:8" x14ac:dyDescent="0.3">
      <c r="A1824" t="s">
        <v>1914</v>
      </c>
      <c r="B1824" t="s">
        <v>33</v>
      </c>
      <c r="C1824">
        <v>45761</v>
      </c>
      <c r="D1824">
        <v>258.36</v>
      </c>
      <c r="E1824">
        <v>261.8</v>
      </c>
      <c r="F1824">
        <v>245.93</v>
      </c>
      <c r="G1824">
        <v>252.35</v>
      </c>
      <c r="H1824">
        <v>252.31</v>
      </c>
    </row>
    <row r="1825" spans="1:8" x14ac:dyDescent="0.3">
      <c r="A1825" t="s">
        <v>1915</v>
      </c>
      <c r="B1825" t="s">
        <v>33</v>
      </c>
      <c r="C1825">
        <v>45762</v>
      </c>
      <c r="D1825">
        <v>249.91</v>
      </c>
      <c r="E1825">
        <v>258.75</v>
      </c>
      <c r="F1825">
        <v>247.54</v>
      </c>
      <c r="G1825">
        <v>254.11</v>
      </c>
      <c r="H1825">
        <v>252.35</v>
      </c>
    </row>
    <row r="1826" spans="1:8" x14ac:dyDescent="0.3">
      <c r="A1826" t="s">
        <v>1916</v>
      </c>
      <c r="B1826" t="s">
        <v>33</v>
      </c>
      <c r="C1826">
        <v>45763</v>
      </c>
      <c r="D1826">
        <v>247.61</v>
      </c>
      <c r="E1826">
        <v>251.97</v>
      </c>
      <c r="F1826">
        <v>233.89</v>
      </c>
      <c r="G1826">
        <v>241.55</v>
      </c>
      <c r="H1826">
        <v>254.11</v>
      </c>
    </row>
    <row r="1827" spans="1:8" x14ac:dyDescent="0.3">
      <c r="A1827" t="s">
        <v>1917</v>
      </c>
      <c r="B1827" t="s">
        <v>33</v>
      </c>
      <c r="C1827">
        <v>45764</v>
      </c>
      <c r="D1827">
        <v>243.47</v>
      </c>
      <c r="E1827">
        <v>244.34</v>
      </c>
      <c r="F1827">
        <v>237.6833</v>
      </c>
      <c r="G1827">
        <v>241.37</v>
      </c>
      <c r="H1827">
        <v>241.55</v>
      </c>
    </row>
    <row r="1828" spans="1:8" x14ac:dyDescent="0.3">
      <c r="A1828" t="s">
        <v>1918</v>
      </c>
      <c r="B1828" t="s">
        <v>33</v>
      </c>
      <c r="C1828">
        <v>45768</v>
      </c>
      <c r="D1828">
        <v>230.26</v>
      </c>
      <c r="E1828">
        <v>232.21</v>
      </c>
      <c r="F1828">
        <v>222.79</v>
      </c>
      <c r="G1828">
        <v>227.5</v>
      </c>
      <c r="H1828">
        <v>241.37</v>
      </c>
    </row>
    <row r="1829" spans="1:8" x14ac:dyDescent="0.3">
      <c r="A1829" t="s">
        <v>1919</v>
      </c>
      <c r="B1829" t="s">
        <v>33</v>
      </c>
      <c r="C1829">
        <v>45769</v>
      </c>
      <c r="D1829">
        <v>230.96</v>
      </c>
      <c r="E1829">
        <v>242.79</v>
      </c>
      <c r="F1829">
        <v>229.8501</v>
      </c>
      <c r="G1829">
        <v>237.97</v>
      </c>
      <c r="H1829">
        <v>227.5</v>
      </c>
    </row>
    <row r="1830" spans="1:8" x14ac:dyDescent="0.3">
      <c r="A1830" t="s">
        <v>1920</v>
      </c>
      <c r="B1830" t="s">
        <v>33</v>
      </c>
      <c r="C1830">
        <v>45770</v>
      </c>
      <c r="D1830">
        <v>254.86</v>
      </c>
      <c r="E1830">
        <v>259.44990000000001</v>
      </c>
      <c r="F1830">
        <v>244.43</v>
      </c>
      <c r="G1830">
        <v>250.74</v>
      </c>
      <c r="H1830">
        <v>237.97</v>
      </c>
    </row>
    <row r="1831" spans="1:8" x14ac:dyDescent="0.3">
      <c r="A1831" t="s">
        <v>1921</v>
      </c>
      <c r="B1831" t="s">
        <v>33</v>
      </c>
      <c r="C1831">
        <v>45771</v>
      </c>
      <c r="D1831">
        <v>250.5</v>
      </c>
      <c r="E1831">
        <v>259.54000000000002</v>
      </c>
      <c r="F1831">
        <v>249.2</v>
      </c>
      <c r="G1831">
        <v>259.51</v>
      </c>
      <c r="H1831">
        <v>250.74</v>
      </c>
    </row>
    <row r="1832" spans="1:8" x14ac:dyDescent="0.3">
      <c r="A1832" t="s">
        <v>1922</v>
      </c>
      <c r="B1832" t="s">
        <v>33</v>
      </c>
      <c r="C1832">
        <v>45772</v>
      </c>
      <c r="D1832">
        <v>261.69</v>
      </c>
      <c r="E1832">
        <v>286.85000000000002</v>
      </c>
      <c r="F1832">
        <v>259.63</v>
      </c>
      <c r="G1832">
        <v>284.95</v>
      </c>
      <c r="H1832">
        <v>259.51</v>
      </c>
    </row>
    <row r="1833" spans="1:8" x14ac:dyDescent="0.3">
      <c r="A1833" t="s">
        <v>1923</v>
      </c>
      <c r="B1833" t="s">
        <v>33</v>
      </c>
      <c r="C1833">
        <v>45775</v>
      </c>
      <c r="D1833">
        <v>288.98</v>
      </c>
      <c r="E1833">
        <v>294.86</v>
      </c>
      <c r="F1833">
        <v>272.42</v>
      </c>
      <c r="G1833">
        <v>285.88</v>
      </c>
      <c r="H1833">
        <v>284.95</v>
      </c>
    </row>
    <row r="1834" spans="1:8" x14ac:dyDescent="0.3">
      <c r="A1834" t="s">
        <v>1924</v>
      </c>
      <c r="B1834" t="s">
        <v>33</v>
      </c>
      <c r="C1834">
        <v>45776</v>
      </c>
      <c r="D1834">
        <v>285.5</v>
      </c>
      <c r="E1834">
        <v>293.32</v>
      </c>
      <c r="F1834">
        <v>279.46949999999998</v>
      </c>
      <c r="G1834">
        <v>292.02999999999997</v>
      </c>
      <c r="H1834">
        <v>285.88</v>
      </c>
    </row>
    <row r="1835" spans="1:8" x14ac:dyDescent="0.3">
      <c r="A1835" t="s">
        <v>1925</v>
      </c>
      <c r="B1835" t="s">
        <v>33</v>
      </c>
      <c r="C1835">
        <v>45777</v>
      </c>
      <c r="D1835">
        <v>279.89999999999998</v>
      </c>
      <c r="E1835">
        <v>284.45</v>
      </c>
      <c r="F1835">
        <v>270.77999999999997</v>
      </c>
      <c r="G1835">
        <v>282.16000000000003</v>
      </c>
      <c r="H1835">
        <v>292.02999999999997</v>
      </c>
    </row>
    <row r="1836" spans="1:8" x14ac:dyDescent="0.3">
      <c r="A1836" t="s">
        <v>1926</v>
      </c>
      <c r="B1836" t="s">
        <v>33</v>
      </c>
      <c r="C1836">
        <v>45778</v>
      </c>
      <c r="D1836">
        <v>280.01</v>
      </c>
      <c r="E1836">
        <v>290.86880000000002</v>
      </c>
      <c r="F1836">
        <v>279.81</v>
      </c>
      <c r="G1836">
        <v>280.52</v>
      </c>
      <c r="H1836">
        <v>282.16000000000003</v>
      </c>
    </row>
    <row r="1837" spans="1:8" x14ac:dyDescent="0.3">
      <c r="A1837" t="s">
        <v>1927</v>
      </c>
      <c r="B1837" t="s">
        <v>33</v>
      </c>
      <c r="C1837">
        <v>45779</v>
      </c>
      <c r="D1837">
        <v>284.89999999999998</v>
      </c>
      <c r="E1837">
        <v>294.77999999999997</v>
      </c>
      <c r="F1837">
        <v>279.81</v>
      </c>
      <c r="G1837">
        <v>287.20999999999998</v>
      </c>
      <c r="H1837">
        <v>280.52</v>
      </c>
    </row>
    <row r="1838" spans="1:8" x14ac:dyDescent="0.3">
      <c r="A1838" t="s">
        <v>1928</v>
      </c>
      <c r="B1838" t="s">
        <v>33</v>
      </c>
      <c r="C1838">
        <v>45782</v>
      </c>
      <c r="D1838">
        <v>284.57</v>
      </c>
      <c r="E1838">
        <v>284.84899999999999</v>
      </c>
      <c r="F1838">
        <v>274.39999999999998</v>
      </c>
      <c r="G1838">
        <v>280.26</v>
      </c>
      <c r="H1838">
        <v>287.20999999999998</v>
      </c>
    </row>
    <row r="1839" spans="1:8" x14ac:dyDescent="0.3">
      <c r="A1839" t="s">
        <v>1929</v>
      </c>
      <c r="B1839" t="s">
        <v>33</v>
      </c>
      <c r="C1839">
        <v>45783</v>
      </c>
      <c r="D1839">
        <v>273.10500000000002</v>
      </c>
      <c r="E1839">
        <v>277.73</v>
      </c>
      <c r="F1839">
        <v>271.35000000000002</v>
      </c>
      <c r="G1839">
        <v>275.35000000000002</v>
      </c>
      <c r="H1839">
        <v>280.26</v>
      </c>
    </row>
    <row r="1840" spans="1:8" x14ac:dyDescent="0.3">
      <c r="A1840" t="s">
        <v>1930</v>
      </c>
      <c r="B1840" t="s">
        <v>33</v>
      </c>
      <c r="C1840">
        <v>45784</v>
      </c>
      <c r="D1840">
        <v>276.88</v>
      </c>
      <c r="E1840">
        <v>277.92</v>
      </c>
      <c r="F1840">
        <v>271</v>
      </c>
      <c r="G1840">
        <v>276.22000000000003</v>
      </c>
      <c r="H1840">
        <v>275.35000000000002</v>
      </c>
    </row>
    <row r="1841" spans="1:8" x14ac:dyDescent="0.3">
      <c r="A1841" t="s">
        <v>1931</v>
      </c>
      <c r="B1841" t="s">
        <v>33</v>
      </c>
      <c r="C1841">
        <v>45785</v>
      </c>
      <c r="D1841">
        <v>279.63</v>
      </c>
      <c r="E1841">
        <v>289.8</v>
      </c>
      <c r="F1841">
        <v>279.41000000000003</v>
      </c>
      <c r="G1841">
        <v>284.82</v>
      </c>
      <c r="H1841">
        <v>276.22000000000003</v>
      </c>
    </row>
    <row r="1842" spans="1:8" x14ac:dyDescent="0.3">
      <c r="A1842" t="s">
        <v>1932</v>
      </c>
      <c r="B1842" t="s">
        <v>33</v>
      </c>
      <c r="C1842">
        <v>45786</v>
      </c>
      <c r="D1842">
        <v>290.20999999999998</v>
      </c>
      <c r="E1842">
        <v>307.04000000000002</v>
      </c>
      <c r="F1842">
        <v>290</v>
      </c>
      <c r="G1842">
        <v>298.26</v>
      </c>
      <c r="H1842">
        <v>284.82</v>
      </c>
    </row>
    <row r="1843" spans="1:8" x14ac:dyDescent="0.3">
      <c r="A1843" t="s">
        <v>1933</v>
      </c>
      <c r="B1843" t="s">
        <v>33</v>
      </c>
      <c r="C1843">
        <v>45789</v>
      </c>
      <c r="D1843">
        <v>321.99</v>
      </c>
      <c r="E1843">
        <v>322.20999999999998</v>
      </c>
      <c r="F1843">
        <v>311.5</v>
      </c>
      <c r="G1843">
        <v>318.38</v>
      </c>
      <c r="H1843">
        <v>298.26</v>
      </c>
    </row>
    <row r="1844" spans="1:8" x14ac:dyDescent="0.3">
      <c r="A1844" t="s">
        <v>1934</v>
      </c>
      <c r="B1844" t="s">
        <v>33</v>
      </c>
      <c r="C1844">
        <v>45790</v>
      </c>
      <c r="D1844">
        <v>320</v>
      </c>
      <c r="E1844">
        <v>337.58940000000001</v>
      </c>
      <c r="F1844">
        <v>316.8</v>
      </c>
      <c r="G1844">
        <v>334.07</v>
      </c>
      <c r="H1844">
        <v>318.38</v>
      </c>
    </row>
    <row r="1845" spans="1:8" x14ac:dyDescent="0.3">
      <c r="A1845" t="s">
        <v>1935</v>
      </c>
      <c r="B1845" t="s">
        <v>33</v>
      </c>
      <c r="C1845">
        <v>45791</v>
      </c>
      <c r="D1845">
        <v>342.5</v>
      </c>
      <c r="E1845">
        <v>350</v>
      </c>
      <c r="F1845">
        <v>337</v>
      </c>
      <c r="G1845">
        <v>347.68</v>
      </c>
      <c r="H1845">
        <v>334.07</v>
      </c>
    </row>
    <row r="1846" spans="1:8" x14ac:dyDescent="0.3">
      <c r="A1846" t="s">
        <v>1936</v>
      </c>
      <c r="B1846" t="s">
        <v>33</v>
      </c>
      <c r="C1846">
        <v>45792</v>
      </c>
      <c r="D1846">
        <v>340.34</v>
      </c>
      <c r="E1846">
        <v>346.13929999999999</v>
      </c>
      <c r="F1846">
        <v>334.71530000000001</v>
      </c>
      <c r="G1846">
        <v>342.82</v>
      </c>
      <c r="H1846">
        <v>347.68</v>
      </c>
    </row>
    <row r="1847" spans="1:8" x14ac:dyDescent="0.3">
      <c r="A1847" t="s">
        <v>1937</v>
      </c>
      <c r="B1847" t="s">
        <v>33</v>
      </c>
      <c r="C1847">
        <v>45793</v>
      </c>
      <c r="D1847">
        <v>346.24</v>
      </c>
      <c r="E1847">
        <v>351.62</v>
      </c>
      <c r="F1847">
        <v>342.33</v>
      </c>
      <c r="G1847">
        <v>349.98</v>
      </c>
      <c r="H1847">
        <v>342.82</v>
      </c>
    </row>
    <row r="1848" spans="1:8" x14ac:dyDescent="0.3">
      <c r="A1848" t="s">
        <v>1938</v>
      </c>
      <c r="B1848" t="s">
        <v>33</v>
      </c>
      <c r="C1848">
        <v>45796</v>
      </c>
      <c r="D1848">
        <v>336.3</v>
      </c>
      <c r="E1848">
        <v>343</v>
      </c>
      <c r="F1848">
        <v>333.37</v>
      </c>
      <c r="G1848">
        <v>342.09</v>
      </c>
      <c r="H1848">
        <v>349.98</v>
      </c>
    </row>
    <row r="1849" spans="1:8" x14ac:dyDescent="0.3">
      <c r="A1849" t="s">
        <v>1939</v>
      </c>
      <c r="B1849" t="s">
        <v>33</v>
      </c>
      <c r="C1849">
        <v>45797</v>
      </c>
      <c r="D1849">
        <v>347.87</v>
      </c>
      <c r="E1849">
        <v>354.98989999999998</v>
      </c>
      <c r="F1849">
        <v>341.63</v>
      </c>
      <c r="G1849">
        <v>343.82</v>
      </c>
      <c r="H1849">
        <v>342.09</v>
      </c>
    </row>
    <row r="1850" spans="1:8" x14ac:dyDescent="0.3">
      <c r="A1850" t="s">
        <v>1940</v>
      </c>
      <c r="B1850" t="s">
        <v>33</v>
      </c>
      <c r="C1850">
        <v>45798</v>
      </c>
      <c r="D1850">
        <v>344.43</v>
      </c>
      <c r="E1850">
        <v>347.35</v>
      </c>
      <c r="F1850">
        <v>332.2</v>
      </c>
      <c r="G1850">
        <v>334.62</v>
      </c>
      <c r="H1850">
        <v>343.82</v>
      </c>
    </row>
    <row r="1851" spans="1:8" x14ac:dyDescent="0.3">
      <c r="A1851" t="s">
        <v>1941</v>
      </c>
      <c r="B1851" t="s">
        <v>33</v>
      </c>
      <c r="C1851">
        <v>45799</v>
      </c>
      <c r="D1851">
        <v>331.9</v>
      </c>
      <c r="E1851">
        <v>347.27</v>
      </c>
      <c r="F1851">
        <v>331.39</v>
      </c>
      <c r="G1851">
        <v>341.04</v>
      </c>
      <c r="H1851">
        <v>334.62</v>
      </c>
    </row>
    <row r="1852" spans="1:8" x14ac:dyDescent="0.3">
      <c r="A1852" t="s">
        <v>1942</v>
      </c>
      <c r="B1852" t="s">
        <v>33</v>
      </c>
      <c r="C1852">
        <v>45800</v>
      </c>
      <c r="D1852">
        <v>337.92</v>
      </c>
      <c r="E1852">
        <v>343.18</v>
      </c>
      <c r="F1852">
        <v>333.21</v>
      </c>
      <c r="G1852">
        <v>339.34</v>
      </c>
      <c r="H1852">
        <v>341.04</v>
      </c>
    </row>
    <row r="1853" spans="1:8" x14ac:dyDescent="0.3">
      <c r="A1853" t="s">
        <v>1943</v>
      </c>
      <c r="B1853" t="s">
        <v>33</v>
      </c>
      <c r="C1853">
        <v>45804</v>
      </c>
      <c r="D1853">
        <v>347.35</v>
      </c>
      <c r="E1853">
        <v>363.79</v>
      </c>
      <c r="F1853">
        <v>347.32</v>
      </c>
      <c r="G1853">
        <v>362.89</v>
      </c>
      <c r="H1853">
        <v>339.34</v>
      </c>
    </row>
    <row r="1854" spans="1:8" x14ac:dyDescent="0.3">
      <c r="A1854" t="s">
        <v>1944</v>
      </c>
      <c r="B1854" t="s">
        <v>33</v>
      </c>
      <c r="C1854">
        <v>45805</v>
      </c>
      <c r="D1854">
        <v>364.84</v>
      </c>
      <c r="E1854">
        <v>365</v>
      </c>
      <c r="F1854">
        <v>355.91</v>
      </c>
      <c r="G1854">
        <v>356.9</v>
      </c>
      <c r="H1854">
        <v>362.89</v>
      </c>
    </row>
    <row r="1855" spans="1:8" x14ac:dyDescent="0.3">
      <c r="A1855" t="s">
        <v>1945</v>
      </c>
      <c r="B1855" t="s">
        <v>33</v>
      </c>
      <c r="C1855">
        <v>45806</v>
      </c>
      <c r="D1855">
        <v>365.29</v>
      </c>
      <c r="E1855">
        <v>367.71</v>
      </c>
      <c r="F1855">
        <v>356</v>
      </c>
      <c r="G1855">
        <v>358.43</v>
      </c>
      <c r="H1855">
        <v>356.9</v>
      </c>
    </row>
    <row r="1856" spans="1:8" x14ac:dyDescent="0.3">
      <c r="A1856" t="s">
        <v>1946</v>
      </c>
      <c r="B1856" t="s">
        <v>33</v>
      </c>
      <c r="C1856">
        <v>45807</v>
      </c>
      <c r="D1856">
        <v>355.52</v>
      </c>
      <c r="E1856">
        <v>363.68</v>
      </c>
      <c r="F1856">
        <v>345.29</v>
      </c>
      <c r="G1856">
        <v>346.46</v>
      </c>
      <c r="H1856">
        <v>358.43</v>
      </c>
    </row>
    <row r="1857" spans="1:8" x14ac:dyDescent="0.3">
      <c r="A1857" t="s">
        <v>1947</v>
      </c>
      <c r="B1857" t="s">
        <v>33</v>
      </c>
      <c r="C1857">
        <v>45810</v>
      </c>
      <c r="D1857">
        <v>343.5</v>
      </c>
      <c r="E1857">
        <v>348.02</v>
      </c>
      <c r="F1857">
        <v>333.33</v>
      </c>
      <c r="G1857">
        <v>342.69</v>
      </c>
      <c r="H1857">
        <v>346.46</v>
      </c>
    </row>
    <row r="1858" spans="1:8" x14ac:dyDescent="0.3">
      <c r="A1858" t="s">
        <v>1948</v>
      </c>
      <c r="B1858" t="s">
        <v>33</v>
      </c>
      <c r="C1858">
        <v>45811</v>
      </c>
      <c r="D1858">
        <v>346.59500000000003</v>
      </c>
      <c r="E1858">
        <v>355.4</v>
      </c>
      <c r="F1858">
        <v>343.04</v>
      </c>
      <c r="G1858">
        <v>344.27</v>
      </c>
      <c r="H1858">
        <v>342.69</v>
      </c>
    </row>
    <row r="1859" spans="1:8" x14ac:dyDescent="0.3">
      <c r="A1859" t="s">
        <v>1949</v>
      </c>
      <c r="B1859" t="s">
        <v>33</v>
      </c>
      <c r="C1859">
        <v>45812</v>
      </c>
      <c r="D1859">
        <v>345.09500000000003</v>
      </c>
      <c r="E1859">
        <v>345.6</v>
      </c>
      <c r="F1859">
        <v>327.33080000000001</v>
      </c>
      <c r="G1859">
        <v>332.05</v>
      </c>
      <c r="H1859">
        <v>344.27</v>
      </c>
    </row>
    <row r="1860" spans="1:8" x14ac:dyDescent="0.3">
      <c r="A1860" t="s">
        <v>1950</v>
      </c>
      <c r="B1860" t="s">
        <v>33</v>
      </c>
      <c r="C1860">
        <v>45813</v>
      </c>
      <c r="D1860">
        <v>322.49</v>
      </c>
      <c r="E1860">
        <v>324.54989999999998</v>
      </c>
      <c r="F1860">
        <v>273.20999999999998</v>
      </c>
      <c r="G1860">
        <v>284.7</v>
      </c>
      <c r="H1860">
        <v>332.05</v>
      </c>
    </row>
    <row r="1861" spans="1:8" x14ac:dyDescent="0.3">
      <c r="A1861" t="s">
        <v>1951</v>
      </c>
      <c r="B1861" t="s">
        <v>33</v>
      </c>
      <c r="C1861">
        <v>45814</v>
      </c>
      <c r="D1861">
        <v>298.83</v>
      </c>
      <c r="E1861">
        <v>305.5</v>
      </c>
      <c r="F1861">
        <v>291.14</v>
      </c>
      <c r="G1861">
        <v>295.14</v>
      </c>
      <c r="H1861">
        <v>284.7</v>
      </c>
    </row>
    <row r="1862" spans="1:8" x14ac:dyDescent="0.3">
      <c r="A1862" t="s">
        <v>1952</v>
      </c>
      <c r="B1862" t="s">
        <v>33</v>
      </c>
      <c r="C1862">
        <v>45817</v>
      </c>
      <c r="D1862">
        <v>285.95499999999998</v>
      </c>
      <c r="E1862">
        <v>309.83</v>
      </c>
      <c r="F1862">
        <v>281.85000000000002</v>
      </c>
      <c r="G1862">
        <v>308.58</v>
      </c>
      <c r="H1862">
        <v>295.14</v>
      </c>
    </row>
    <row r="1863" spans="1:8" x14ac:dyDescent="0.3">
      <c r="A1863" t="s">
        <v>1953</v>
      </c>
      <c r="B1863" t="s">
        <v>33</v>
      </c>
      <c r="C1863">
        <v>45818</v>
      </c>
      <c r="D1863">
        <v>314.94</v>
      </c>
      <c r="E1863">
        <v>327.83</v>
      </c>
      <c r="F1863">
        <v>310.66699999999997</v>
      </c>
      <c r="G1863">
        <v>326.08999999999997</v>
      </c>
      <c r="H1863">
        <v>308.58</v>
      </c>
    </row>
    <row r="1864" spans="1:8" x14ac:dyDescent="0.3">
      <c r="A1864" t="s">
        <v>1954</v>
      </c>
      <c r="B1864" t="s">
        <v>33</v>
      </c>
      <c r="C1864">
        <v>45819</v>
      </c>
      <c r="D1864">
        <v>334.39499999999998</v>
      </c>
      <c r="E1864">
        <v>335.5</v>
      </c>
      <c r="F1864">
        <v>322.5</v>
      </c>
      <c r="G1864">
        <v>326.43</v>
      </c>
      <c r="H1864">
        <v>326.08999999999997</v>
      </c>
    </row>
    <row r="1865" spans="1:8" x14ac:dyDescent="0.3">
      <c r="A1865" t="s">
        <v>1955</v>
      </c>
      <c r="B1865" t="s">
        <v>33</v>
      </c>
      <c r="C1865">
        <v>45820</v>
      </c>
      <c r="D1865">
        <v>323.07499999999999</v>
      </c>
      <c r="E1865">
        <v>332.56</v>
      </c>
      <c r="F1865">
        <v>316.86</v>
      </c>
      <c r="G1865">
        <v>319.11</v>
      </c>
      <c r="H1865">
        <v>326.43</v>
      </c>
    </row>
    <row r="1866" spans="1:8" x14ac:dyDescent="0.3">
      <c r="A1866" t="s">
        <v>1956</v>
      </c>
      <c r="B1866" t="s">
        <v>33</v>
      </c>
      <c r="C1866">
        <v>45821</v>
      </c>
      <c r="D1866">
        <v>313.97000000000003</v>
      </c>
      <c r="E1866">
        <v>332.99</v>
      </c>
      <c r="F1866">
        <v>313.3</v>
      </c>
      <c r="G1866">
        <v>325.31</v>
      </c>
      <c r="H1866">
        <v>319.11</v>
      </c>
    </row>
    <row r="1867" spans="1:8" x14ac:dyDescent="0.3">
      <c r="A1867" t="s">
        <v>1957</v>
      </c>
      <c r="B1867" t="s">
        <v>33</v>
      </c>
      <c r="C1867">
        <v>45824</v>
      </c>
      <c r="D1867">
        <v>331.29</v>
      </c>
      <c r="E1867">
        <v>332.05</v>
      </c>
      <c r="F1867">
        <v>326.41000000000003</v>
      </c>
      <c r="G1867">
        <v>329.13</v>
      </c>
      <c r="H1867">
        <v>325.31</v>
      </c>
    </row>
    <row r="1868" spans="1:8" x14ac:dyDescent="0.3">
      <c r="A1868" t="s">
        <v>1958</v>
      </c>
      <c r="B1868" t="s">
        <v>33</v>
      </c>
      <c r="C1868">
        <v>45825</v>
      </c>
      <c r="D1868">
        <v>326.08999999999997</v>
      </c>
      <c r="E1868">
        <v>327.26</v>
      </c>
      <c r="F1868">
        <v>314.74</v>
      </c>
      <c r="G1868">
        <v>316.35000000000002</v>
      </c>
      <c r="H1868">
        <v>329.13</v>
      </c>
    </row>
    <row r="1869" spans="1:8" x14ac:dyDescent="0.3">
      <c r="A1869" t="s">
        <v>1959</v>
      </c>
      <c r="B1869" t="s">
        <v>33</v>
      </c>
      <c r="C1869">
        <v>45826</v>
      </c>
      <c r="D1869">
        <v>317.31</v>
      </c>
      <c r="E1869">
        <v>329.32</v>
      </c>
      <c r="F1869">
        <v>315.45</v>
      </c>
      <c r="G1869">
        <v>322.05</v>
      </c>
      <c r="H1869">
        <v>316.35000000000002</v>
      </c>
    </row>
    <row r="1870" spans="1:8" x14ac:dyDescent="0.3">
      <c r="A1870" t="s">
        <v>1960</v>
      </c>
      <c r="B1870" t="s">
        <v>33</v>
      </c>
      <c r="C1870">
        <v>45828</v>
      </c>
      <c r="D1870">
        <v>327.95</v>
      </c>
      <c r="E1870">
        <v>332.36</v>
      </c>
      <c r="F1870">
        <v>317.77999999999997</v>
      </c>
      <c r="G1870">
        <v>322.16000000000003</v>
      </c>
      <c r="H1870">
        <v>322.05</v>
      </c>
    </row>
    <row r="1871" spans="1:8" x14ac:dyDescent="0.3">
      <c r="A1871" t="s">
        <v>1961</v>
      </c>
      <c r="B1871" t="s">
        <v>33</v>
      </c>
      <c r="C1871">
        <v>45831</v>
      </c>
      <c r="D1871">
        <v>327.54000000000002</v>
      </c>
      <c r="E1871">
        <v>357.54</v>
      </c>
      <c r="F1871">
        <v>327.48</v>
      </c>
      <c r="G1871">
        <v>348.68</v>
      </c>
      <c r="H1871">
        <v>322.16000000000003</v>
      </c>
    </row>
    <row r="1872" spans="1:8" x14ac:dyDescent="0.3">
      <c r="A1872" t="s">
        <v>1962</v>
      </c>
      <c r="B1872" t="s">
        <v>33</v>
      </c>
      <c r="C1872">
        <v>45832</v>
      </c>
      <c r="D1872">
        <v>356.17</v>
      </c>
      <c r="E1872">
        <v>356.26</v>
      </c>
      <c r="F1872">
        <v>340.44</v>
      </c>
      <c r="G1872">
        <v>340.47</v>
      </c>
      <c r="H1872">
        <v>348.68</v>
      </c>
    </row>
    <row r="1873" spans="1:8" x14ac:dyDescent="0.3">
      <c r="A1873" t="s">
        <v>1963</v>
      </c>
      <c r="B1873" t="s">
        <v>33</v>
      </c>
      <c r="C1873">
        <v>45833</v>
      </c>
      <c r="D1873">
        <v>342.7</v>
      </c>
      <c r="E1873">
        <v>343</v>
      </c>
      <c r="F1873">
        <v>320.39999999999998</v>
      </c>
      <c r="G1873">
        <v>327.55</v>
      </c>
      <c r="H1873">
        <v>340.47</v>
      </c>
    </row>
    <row r="1874" spans="1:8" x14ac:dyDescent="0.3">
      <c r="A1874" t="s">
        <v>1964</v>
      </c>
      <c r="B1874" t="s">
        <v>33</v>
      </c>
      <c r="C1874">
        <v>45834</v>
      </c>
      <c r="D1874">
        <v>324.61</v>
      </c>
      <c r="E1874">
        <v>331.05</v>
      </c>
      <c r="F1874">
        <v>323.61</v>
      </c>
      <c r="G1874">
        <v>325.77999999999997</v>
      </c>
      <c r="H1874">
        <v>327.55</v>
      </c>
    </row>
    <row r="1875" spans="1:8" x14ac:dyDescent="0.3">
      <c r="A1875" t="s">
        <v>1965</v>
      </c>
      <c r="B1875" t="s">
        <v>33</v>
      </c>
      <c r="C1875">
        <v>45835</v>
      </c>
      <c r="D1875">
        <v>324.51</v>
      </c>
      <c r="E1875">
        <v>329.33929999999998</v>
      </c>
      <c r="F1875">
        <v>317.495</v>
      </c>
      <c r="G1875">
        <v>323.63</v>
      </c>
      <c r="H1875">
        <v>325.77999999999997</v>
      </c>
    </row>
    <row r="1876" spans="1:8" x14ac:dyDescent="0.3">
      <c r="A1876" t="s">
        <v>117</v>
      </c>
      <c r="B1876" t="s">
        <v>33</v>
      </c>
      <c r="C1876">
        <v>45838</v>
      </c>
      <c r="D1876">
        <v>319.89999999999998</v>
      </c>
      <c r="E1876">
        <v>325.57990000000001</v>
      </c>
      <c r="F1876">
        <v>316.60000000000002</v>
      </c>
      <c r="G1876">
        <v>317.66000000000003</v>
      </c>
      <c r="H1876">
        <v>323.63</v>
      </c>
    </row>
    <row r="1877" spans="1:8" x14ac:dyDescent="0.3">
      <c r="A1877" t="s">
        <v>1966</v>
      </c>
      <c r="B1877" t="s">
        <v>33</v>
      </c>
      <c r="C1877">
        <v>45839</v>
      </c>
      <c r="D1877">
        <v>298.45999999999998</v>
      </c>
      <c r="E1877">
        <v>305.89</v>
      </c>
      <c r="F1877">
        <v>293.20999999999998</v>
      </c>
      <c r="G1877">
        <v>300.70999999999998</v>
      </c>
      <c r="H1877">
        <v>317.66000000000003</v>
      </c>
    </row>
    <row r="1878" spans="1:8" x14ac:dyDescent="0.3">
      <c r="A1878" t="s">
        <v>1967</v>
      </c>
      <c r="B1878" t="s">
        <v>33</v>
      </c>
      <c r="C1878">
        <v>45840</v>
      </c>
      <c r="D1878">
        <v>312.63</v>
      </c>
      <c r="E1878">
        <v>316.83199999999999</v>
      </c>
      <c r="F1878">
        <v>303.82</v>
      </c>
      <c r="G1878">
        <v>315.64999999999998</v>
      </c>
      <c r="H1878">
        <v>300.70999999999998</v>
      </c>
    </row>
    <row r="1879" spans="1:8" x14ac:dyDescent="0.3">
      <c r="A1879" t="s">
        <v>1968</v>
      </c>
      <c r="B1879" t="s">
        <v>33</v>
      </c>
      <c r="C1879">
        <v>45841</v>
      </c>
      <c r="D1879">
        <v>317.99</v>
      </c>
      <c r="E1879">
        <v>318.45</v>
      </c>
      <c r="F1879">
        <v>312.76</v>
      </c>
      <c r="G1879">
        <v>315.35000000000002</v>
      </c>
      <c r="H1879">
        <v>315.64999999999998</v>
      </c>
    </row>
    <row r="1880" spans="1:8" x14ac:dyDescent="0.3">
      <c r="A1880" t="s">
        <v>1969</v>
      </c>
      <c r="B1880" t="s">
        <v>33</v>
      </c>
      <c r="C1880">
        <v>45845</v>
      </c>
      <c r="D1880">
        <v>291.37</v>
      </c>
      <c r="E1880">
        <v>296.14999999999998</v>
      </c>
      <c r="F1880">
        <v>288.77010000000001</v>
      </c>
      <c r="G1880">
        <v>293.94</v>
      </c>
      <c r="H1880">
        <v>315.35000000000002</v>
      </c>
    </row>
    <row r="1881" spans="1:8" x14ac:dyDescent="0.3">
      <c r="A1881" t="s">
        <v>1970</v>
      </c>
      <c r="B1881" t="s">
        <v>33</v>
      </c>
      <c r="C1881">
        <v>45846</v>
      </c>
      <c r="D1881">
        <v>297</v>
      </c>
      <c r="E1881">
        <v>304.04989999999998</v>
      </c>
      <c r="F1881">
        <v>294.35000000000002</v>
      </c>
      <c r="G1881">
        <v>297.81</v>
      </c>
      <c r="H1881">
        <v>293.94</v>
      </c>
    </row>
    <row r="1882" spans="1:8" x14ac:dyDescent="0.3">
      <c r="A1882" t="s">
        <v>1971</v>
      </c>
      <c r="B1882" t="s">
        <v>33</v>
      </c>
      <c r="C1882">
        <v>45847</v>
      </c>
      <c r="D1882">
        <v>297.55</v>
      </c>
      <c r="E1882">
        <v>300.14999999999998</v>
      </c>
      <c r="F1882">
        <v>293.55</v>
      </c>
      <c r="G1882">
        <v>295.88</v>
      </c>
      <c r="H1882">
        <v>297.81</v>
      </c>
    </row>
    <row r="1883" spans="1:8" x14ac:dyDescent="0.3">
      <c r="A1883" t="s">
        <v>1972</v>
      </c>
      <c r="B1883" t="s">
        <v>33</v>
      </c>
      <c r="C1883">
        <v>45848</v>
      </c>
      <c r="D1883">
        <v>300.05</v>
      </c>
      <c r="E1883">
        <v>310.48</v>
      </c>
      <c r="F1883">
        <v>300</v>
      </c>
      <c r="G1883">
        <v>309.87</v>
      </c>
      <c r="H1883">
        <v>295.88</v>
      </c>
    </row>
    <row r="1884" spans="1:8" x14ac:dyDescent="0.3">
      <c r="A1884" t="s">
        <v>1973</v>
      </c>
      <c r="B1884" t="s">
        <v>33</v>
      </c>
      <c r="C1884">
        <v>45849</v>
      </c>
      <c r="D1884">
        <v>307.89</v>
      </c>
      <c r="E1884">
        <v>314.08999999999997</v>
      </c>
      <c r="F1884">
        <v>305.64999999999998</v>
      </c>
      <c r="G1884">
        <v>313.51</v>
      </c>
      <c r="H1884">
        <v>309.87</v>
      </c>
    </row>
    <row r="1885" spans="1:8" x14ac:dyDescent="0.3">
      <c r="A1885" t="s">
        <v>1974</v>
      </c>
      <c r="B1885" t="s">
        <v>33</v>
      </c>
      <c r="C1885">
        <v>45852</v>
      </c>
      <c r="D1885">
        <v>317.73</v>
      </c>
      <c r="E1885">
        <v>322.59859999999998</v>
      </c>
      <c r="F1885">
        <v>312.67</v>
      </c>
      <c r="G1885">
        <v>316.89999999999998</v>
      </c>
      <c r="H1885">
        <v>313.51</v>
      </c>
    </row>
    <row r="1886" spans="1:8" x14ac:dyDescent="0.3">
      <c r="A1886" t="s">
        <v>1975</v>
      </c>
      <c r="B1886" t="s">
        <v>33</v>
      </c>
      <c r="C1886">
        <v>45853</v>
      </c>
      <c r="D1886">
        <v>319.67500000000001</v>
      </c>
      <c r="E1886">
        <v>321.2</v>
      </c>
      <c r="F1886">
        <v>310.5</v>
      </c>
      <c r="G1886">
        <v>310.77999999999997</v>
      </c>
      <c r="H1886">
        <v>316.89999999999998</v>
      </c>
    </row>
    <row r="1887" spans="1:8" x14ac:dyDescent="0.3">
      <c r="A1887" t="s">
        <v>1976</v>
      </c>
      <c r="B1887" t="s">
        <v>33</v>
      </c>
      <c r="C1887">
        <v>45854</v>
      </c>
      <c r="D1887">
        <v>312.8</v>
      </c>
      <c r="E1887">
        <v>323.5</v>
      </c>
      <c r="F1887">
        <v>312.62</v>
      </c>
      <c r="G1887">
        <v>321.67</v>
      </c>
      <c r="H1887">
        <v>310.77999999999997</v>
      </c>
    </row>
    <row r="1888" spans="1:8" x14ac:dyDescent="0.3">
      <c r="A1888" t="s">
        <v>1977</v>
      </c>
      <c r="B1888" t="s">
        <v>33</v>
      </c>
      <c r="C1888">
        <v>45855</v>
      </c>
      <c r="D1888">
        <v>323.14999999999998</v>
      </c>
      <c r="E1888">
        <v>324.33999999999997</v>
      </c>
      <c r="F1888">
        <v>317.06009999999998</v>
      </c>
      <c r="G1888">
        <v>319.41000000000003</v>
      </c>
      <c r="H1888">
        <v>321.67</v>
      </c>
    </row>
    <row r="1889" spans="1:8" x14ac:dyDescent="0.3">
      <c r="A1889" t="s">
        <v>1978</v>
      </c>
      <c r="B1889" t="s">
        <v>33</v>
      </c>
      <c r="C1889">
        <v>45856</v>
      </c>
      <c r="D1889">
        <v>321.66000000000003</v>
      </c>
      <c r="E1889">
        <v>330.9</v>
      </c>
      <c r="F1889">
        <v>321.42</v>
      </c>
      <c r="G1889">
        <v>329.65</v>
      </c>
      <c r="H1889">
        <v>319.41000000000003</v>
      </c>
    </row>
    <row r="1890" spans="1:8" x14ac:dyDescent="0.3">
      <c r="A1890" t="s">
        <v>1979</v>
      </c>
      <c r="B1890" t="s">
        <v>33</v>
      </c>
      <c r="C1890">
        <v>45859</v>
      </c>
      <c r="D1890">
        <v>334.4</v>
      </c>
      <c r="E1890">
        <v>338</v>
      </c>
      <c r="F1890">
        <v>326.88</v>
      </c>
      <c r="G1890">
        <v>328.49</v>
      </c>
      <c r="H1890">
        <v>329.65</v>
      </c>
    </row>
    <row r="1891" spans="1:8" x14ac:dyDescent="0.3">
      <c r="A1891" t="s">
        <v>1980</v>
      </c>
      <c r="B1891" t="s">
        <v>33</v>
      </c>
      <c r="C1891">
        <v>45860</v>
      </c>
      <c r="D1891">
        <v>329.74</v>
      </c>
      <c r="E1891">
        <v>335.40980000000002</v>
      </c>
      <c r="F1891">
        <v>321.55</v>
      </c>
      <c r="G1891">
        <v>332.11</v>
      </c>
      <c r="H1891">
        <v>328.49</v>
      </c>
    </row>
    <row r="1892" spans="1:8" x14ac:dyDescent="0.3">
      <c r="A1892" t="s">
        <v>1981</v>
      </c>
      <c r="B1892" t="s">
        <v>33</v>
      </c>
      <c r="C1892">
        <v>45861</v>
      </c>
      <c r="D1892">
        <v>330.9</v>
      </c>
      <c r="E1892">
        <v>336.2</v>
      </c>
      <c r="F1892">
        <v>328.67</v>
      </c>
      <c r="G1892">
        <v>332.56</v>
      </c>
      <c r="H1892">
        <v>332.11</v>
      </c>
    </row>
    <row r="1893" spans="1:8" x14ac:dyDescent="0.3">
      <c r="A1893" t="s">
        <v>1982</v>
      </c>
      <c r="B1893" t="s">
        <v>33</v>
      </c>
      <c r="C1893">
        <v>45862</v>
      </c>
      <c r="D1893">
        <v>310</v>
      </c>
      <c r="E1893">
        <v>310.14999999999998</v>
      </c>
      <c r="F1893">
        <v>300.41000000000003</v>
      </c>
      <c r="G1893">
        <v>305.3</v>
      </c>
      <c r="H1893">
        <v>332.56</v>
      </c>
    </row>
    <row r="1894" spans="1:8" x14ac:dyDescent="0.3">
      <c r="A1894" t="s">
        <v>1983</v>
      </c>
      <c r="B1894" t="s">
        <v>33</v>
      </c>
      <c r="C1894">
        <v>45863</v>
      </c>
      <c r="D1894">
        <v>308.74</v>
      </c>
      <c r="E1894">
        <v>323.63</v>
      </c>
      <c r="F1894">
        <v>308.01</v>
      </c>
      <c r="G1894">
        <v>316.06</v>
      </c>
      <c r="H1894">
        <v>305.3</v>
      </c>
    </row>
    <row r="1895" spans="1:8" x14ac:dyDescent="0.3">
      <c r="A1895" t="s">
        <v>1984</v>
      </c>
      <c r="B1895" t="s">
        <v>33</v>
      </c>
      <c r="C1895">
        <v>45866</v>
      </c>
      <c r="D1895">
        <v>318.45</v>
      </c>
      <c r="E1895">
        <v>330.49</v>
      </c>
      <c r="F1895">
        <v>315.69</v>
      </c>
      <c r="G1895">
        <v>325.58999999999997</v>
      </c>
      <c r="H1895">
        <v>316.06</v>
      </c>
    </row>
    <row r="1896" spans="1:8" x14ac:dyDescent="0.3">
      <c r="A1896" t="s">
        <v>1985</v>
      </c>
      <c r="B1896" t="s">
        <v>33</v>
      </c>
      <c r="C1896">
        <v>45867</v>
      </c>
      <c r="D1896">
        <v>325.55</v>
      </c>
      <c r="E1896">
        <v>326.25</v>
      </c>
      <c r="F1896">
        <v>318.25</v>
      </c>
      <c r="G1896">
        <v>321.2</v>
      </c>
      <c r="H1896">
        <v>325.58999999999997</v>
      </c>
    </row>
    <row r="1897" spans="1:8" x14ac:dyDescent="0.3">
      <c r="A1897" t="s">
        <v>1986</v>
      </c>
      <c r="B1897" t="s">
        <v>33</v>
      </c>
      <c r="C1897">
        <v>45868</v>
      </c>
      <c r="D1897">
        <v>322.18</v>
      </c>
      <c r="E1897">
        <v>324.44990000000001</v>
      </c>
      <c r="F1897">
        <v>311.6164</v>
      </c>
      <c r="G1897">
        <v>319.04000000000002</v>
      </c>
      <c r="H1897">
        <v>321.2</v>
      </c>
    </row>
    <row r="1898" spans="1:8" x14ac:dyDescent="0.3">
      <c r="A1898" t="s">
        <v>1987</v>
      </c>
      <c r="B1898" t="s">
        <v>33</v>
      </c>
      <c r="C1898">
        <v>45869</v>
      </c>
      <c r="D1898">
        <v>319.60500000000002</v>
      </c>
      <c r="E1898">
        <v>321.37</v>
      </c>
      <c r="F1898">
        <v>306.10000000000002</v>
      </c>
      <c r="G1898">
        <v>308.27</v>
      </c>
      <c r="H1898">
        <v>319.04000000000002</v>
      </c>
    </row>
    <row r="1899" spans="1:8" x14ac:dyDescent="0.3">
      <c r="A1899" t="s">
        <v>1988</v>
      </c>
      <c r="B1899" t="s">
        <v>33</v>
      </c>
      <c r="C1899">
        <v>45870</v>
      </c>
      <c r="D1899">
        <v>306.20499999999998</v>
      </c>
      <c r="E1899">
        <v>309.31</v>
      </c>
      <c r="F1899">
        <v>297.82</v>
      </c>
      <c r="G1899">
        <v>302.63</v>
      </c>
      <c r="H1899">
        <v>308.27</v>
      </c>
    </row>
    <row r="1900" spans="1:8" x14ac:dyDescent="0.3">
      <c r="A1900" t="s">
        <v>1989</v>
      </c>
      <c r="B1900" t="s">
        <v>33</v>
      </c>
      <c r="C1900">
        <v>45873</v>
      </c>
      <c r="D1900">
        <v>309.08</v>
      </c>
      <c r="E1900">
        <v>312.11860000000001</v>
      </c>
      <c r="F1900">
        <v>303.00009999999997</v>
      </c>
      <c r="G1900">
        <v>309.26</v>
      </c>
      <c r="H1900">
        <v>302.63</v>
      </c>
    </row>
    <row r="1901" spans="1:8" x14ac:dyDescent="0.3">
      <c r="A1901" t="s">
        <v>1990</v>
      </c>
      <c r="B1901" t="s">
        <v>33</v>
      </c>
      <c r="C1901">
        <v>45874</v>
      </c>
      <c r="D1901">
        <v>308.95</v>
      </c>
      <c r="E1901">
        <v>312.44990000000001</v>
      </c>
      <c r="F1901">
        <v>305.5</v>
      </c>
      <c r="G1901">
        <v>308.72000000000003</v>
      </c>
      <c r="H1901">
        <v>309.26</v>
      </c>
    </row>
    <row r="1902" spans="1:8" x14ac:dyDescent="0.3">
      <c r="A1902" t="s">
        <v>1991</v>
      </c>
      <c r="B1902" t="s">
        <v>33</v>
      </c>
      <c r="C1902">
        <v>45875</v>
      </c>
      <c r="D1902">
        <v>307.89</v>
      </c>
      <c r="E1902">
        <v>320.47000000000003</v>
      </c>
      <c r="F1902">
        <v>306.93450000000001</v>
      </c>
      <c r="G1902">
        <v>319.91000000000003</v>
      </c>
      <c r="H1902">
        <v>308.72000000000003</v>
      </c>
    </row>
    <row r="1903" spans="1:8" x14ac:dyDescent="0.3">
      <c r="A1903" t="s">
        <v>1992</v>
      </c>
      <c r="B1903" t="s">
        <v>33</v>
      </c>
      <c r="C1903">
        <v>45876</v>
      </c>
      <c r="D1903">
        <v>319.79000000000002</v>
      </c>
      <c r="E1903">
        <v>322.39999999999998</v>
      </c>
      <c r="F1903">
        <v>316.16000000000003</v>
      </c>
      <c r="G1903">
        <v>322.27</v>
      </c>
      <c r="H1903">
        <v>319.91000000000003</v>
      </c>
    </row>
    <row r="1904" spans="1:8" x14ac:dyDescent="0.3">
      <c r="A1904" t="s">
        <v>1993</v>
      </c>
      <c r="B1904" t="s">
        <v>33</v>
      </c>
      <c r="C1904">
        <v>45877</v>
      </c>
      <c r="D1904">
        <v>321.43</v>
      </c>
      <c r="E1904">
        <v>335.15</v>
      </c>
      <c r="F1904">
        <v>320.98</v>
      </c>
      <c r="G1904">
        <v>329.65</v>
      </c>
      <c r="H1904">
        <v>322.27</v>
      </c>
    </row>
    <row r="1905" spans="1:8" x14ac:dyDescent="0.3">
      <c r="A1905" t="s">
        <v>1994</v>
      </c>
      <c r="B1905" t="s">
        <v>33</v>
      </c>
      <c r="C1905">
        <v>45880</v>
      </c>
      <c r="D1905">
        <v>335</v>
      </c>
      <c r="E1905">
        <v>346.64</v>
      </c>
      <c r="F1905">
        <v>334.15</v>
      </c>
      <c r="G1905">
        <v>339.03</v>
      </c>
      <c r="H1905">
        <v>329.65</v>
      </c>
    </row>
    <row r="1906" spans="1:8" x14ac:dyDescent="0.3">
      <c r="A1906" t="s">
        <v>1995</v>
      </c>
      <c r="B1906" t="s">
        <v>33</v>
      </c>
      <c r="C1906">
        <v>45881</v>
      </c>
      <c r="D1906">
        <v>345</v>
      </c>
      <c r="E1906">
        <v>345.26</v>
      </c>
      <c r="F1906">
        <v>332.94</v>
      </c>
      <c r="G1906">
        <v>340.84</v>
      </c>
      <c r="H1906">
        <v>339.03</v>
      </c>
    </row>
    <row r="1907" spans="1:8" x14ac:dyDescent="0.3">
      <c r="A1907" t="s">
        <v>1996</v>
      </c>
      <c r="B1907" t="s">
        <v>33</v>
      </c>
      <c r="C1907">
        <v>45882</v>
      </c>
      <c r="D1907">
        <v>341.5</v>
      </c>
      <c r="E1907">
        <v>348.98</v>
      </c>
      <c r="F1907">
        <v>338.2</v>
      </c>
      <c r="G1907">
        <v>339.38</v>
      </c>
      <c r="H1907">
        <v>340.84</v>
      </c>
    </row>
    <row r="1908" spans="1:8" x14ac:dyDescent="0.3">
      <c r="A1908" t="s">
        <v>1997</v>
      </c>
      <c r="B1908" t="s">
        <v>33</v>
      </c>
      <c r="C1908">
        <v>45883</v>
      </c>
      <c r="D1908">
        <v>335.76</v>
      </c>
      <c r="E1908">
        <v>340.4699</v>
      </c>
      <c r="F1908">
        <v>330.4</v>
      </c>
      <c r="G1908">
        <v>335.58</v>
      </c>
      <c r="H1908">
        <v>339.38</v>
      </c>
    </row>
    <row r="1909" spans="1:8" x14ac:dyDescent="0.3">
      <c r="A1909" t="s">
        <v>1998</v>
      </c>
      <c r="B1909" t="s">
        <v>33</v>
      </c>
      <c r="C1909">
        <v>45884</v>
      </c>
      <c r="D1909">
        <v>337.65499999999997</v>
      </c>
      <c r="E1909">
        <v>339.3</v>
      </c>
      <c r="F1909">
        <v>327.02</v>
      </c>
      <c r="G1909">
        <v>330.56</v>
      </c>
      <c r="H1909">
        <v>335.58</v>
      </c>
    </row>
    <row r="1910" spans="1:8" x14ac:dyDescent="0.3">
      <c r="A1910" t="s">
        <v>1999</v>
      </c>
      <c r="B1910" t="s">
        <v>33</v>
      </c>
      <c r="C1910">
        <v>45887</v>
      </c>
      <c r="D1910">
        <v>329.62</v>
      </c>
      <c r="E1910">
        <v>336.27</v>
      </c>
      <c r="F1910">
        <v>329.59</v>
      </c>
      <c r="G1910">
        <v>335.16</v>
      </c>
      <c r="H1910">
        <v>330.56</v>
      </c>
    </row>
    <row r="1911" spans="1:8" x14ac:dyDescent="0.3">
      <c r="A1911" t="s">
        <v>2000</v>
      </c>
      <c r="B1911" t="s">
        <v>33</v>
      </c>
      <c r="C1911">
        <v>45888</v>
      </c>
      <c r="D1911">
        <v>335.79</v>
      </c>
      <c r="E1911">
        <v>340.55</v>
      </c>
      <c r="F1911">
        <v>327.85</v>
      </c>
      <c r="G1911">
        <v>329.31</v>
      </c>
      <c r="H1911">
        <v>335.16</v>
      </c>
    </row>
    <row r="1912" spans="1:8" x14ac:dyDescent="0.3">
      <c r="A1912" t="s">
        <v>2001</v>
      </c>
      <c r="B1912" t="s">
        <v>33</v>
      </c>
      <c r="C1912">
        <v>45889</v>
      </c>
      <c r="D1912">
        <v>329.22</v>
      </c>
      <c r="E1912">
        <v>331.37</v>
      </c>
      <c r="F1912">
        <v>314.60000000000002</v>
      </c>
      <c r="G1912">
        <v>323.89999999999998</v>
      </c>
      <c r="H1912">
        <v>329.31</v>
      </c>
    </row>
    <row r="1913" spans="1:8" x14ac:dyDescent="0.3">
      <c r="A1913" t="s">
        <v>2002</v>
      </c>
      <c r="B1913" t="s">
        <v>33</v>
      </c>
      <c r="C1913">
        <v>45890</v>
      </c>
      <c r="D1913">
        <v>322.08</v>
      </c>
      <c r="E1913">
        <v>324.89999999999998</v>
      </c>
      <c r="F1913">
        <v>318.68</v>
      </c>
      <c r="G1913">
        <v>320.11</v>
      </c>
      <c r="H1913">
        <v>323.89999999999998</v>
      </c>
    </row>
    <row r="1914" spans="1:8" x14ac:dyDescent="0.3">
      <c r="A1914" t="s">
        <v>2003</v>
      </c>
      <c r="B1914" t="s">
        <v>33</v>
      </c>
      <c r="C1914">
        <v>45891</v>
      </c>
      <c r="D1914">
        <v>321.66000000000003</v>
      </c>
      <c r="E1914">
        <v>340.25</v>
      </c>
      <c r="F1914">
        <v>319.69</v>
      </c>
      <c r="G1914">
        <v>340.01</v>
      </c>
      <c r="H1914">
        <v>320.11</v>
      </c>
    </row>
    <row r="1915" spans="1:8" x14ac:dyDescent="0.3">
      <c r="A1915" t="s">
        <v>2004</v>
      </c>
      <c r="B1915" t="s">
        <v>33</v>
      </c>
      <c r="C1915">
        <v>45894</v>
      </c>
      <c r="D1915">
        <v>338.9</v>
      </c>
      <c r="E1915">
        <v>349.53</v>
      </c>
      <c r="F1915">
        <v>335.03</v>
      </c>
      <c r="G1915">
        <v>346.6</v>
      </c>
      <c r="H1915">
        <v>340.01</v>
      </c>
    </row>
    <row r="1916" spans="1:8" x14ac:dyDescent="0.3">
      <c r="A1916" t="s">
        <v>2005</v>
      </c>
      <c r="B1916" t="s">
        <v>33</v>
      </c>
      <c r="C1916">
        <v>45895</v>
      </c>
      <c r="D1916">
        <v>344.93</v>
      </c>
      <c r="E1916">
        <v>351.9</v>
      </c>
      <c r="F1916">
        <v>343.72</v>
      </c>
      <c r="G1916">
        <v>351.67</v>
      </c>
      <c r="H1916">
        <v>346.6</v>
      </c>
    </row>
    <row r="1917" spans="1:8" x14ac:dyDescent="0.3">
      <c r="A1917" t="s">
        <v>2006</v>
      </c>
      <c r="B1917" t="s">
        <v>33</v>
      </c>
      <c r="C1917">
        <v>45896</v>
      </c>
      <c r="D1917">
        <v>351.94</v>
      </c>
      <c r="E1917">
        <v>355.39</v>
      </c>
      <c r="F1917">
        <v>349.15600000000001</v>
      </c>
      <c r="G1917">
        <v>349.6</v>
      </c>
      <c r="H1917">
        <v>351.67</v>
      </c>
    </row>
    <row r="1918" spans="1:8" x14ac:dyDescent="0.3">
      <c r="A1918" t="s">
        <v>2007</v>
      </c>
      <c r="B1918" t="s">
        <v>33</v>
      </c>
      <c r="C1918">
        <v>45897</v>
      </c>
      <c r="D1918">
        <v>350.91</v>
      </c>
      <c r="E1918">
        <v>353.55</v>
      </c>
      <c r="F1918">
        <v>340.26</v>
      </c>
      <c r="G1918">
        <v>345.98</v>
      </c>
      <c r="H1918">
        <v>349.6</v>
      </c>
    </row>
    <row r="1919" spans="1:8" x14ac:dyDescent="0.3">
      <c r="A1919" t="s">
        <v>2008</v>
      </c>
      <c r="B1919" t="s">
        <v>33</v>
      </c>
      <c r="C1919">
        <v>45898</v>
      </c>
      <c r="D1919">
        <v>347.23</v>
      </c>
      <c r="E1919">
        <v>348.74990000000003</v>
      </c>
      <c r="F1919">
        <v>331.7</v>
      </c>
      <c r="G1919">
        <v>333.87</v>
      </c>
      <c r="H1919">
        <v>345.98</v>
      </c>
    </row>
    <row r="1920" spans="1:8" x14ac:dyDescent="0.3">
      <c r="A1920" t="s">
        <v>2009</v>
      </c>
      <c r="B1920" t="s">
        <v>33</v>
      </c>
      <c r="C1920">
        <v>45902</v>
      </c>
      <c r="D1920">
        <v>328.23</v>
      </c>
      <c r="E1920">
        <v>333.33</v>
      </c>
      <c r="F1920">
        <v>325.60000000000002</v>
      </c>
      <c r="G1920">
        <v>329.36</v>
      </c>
      <c r="H1920">
        <v>333.87</v>
      </c>
    </row>
    <row r="1921" spans="1:8" x14ac:dyDescent="0.3">
      <c r="A1921" t="s">
        <v>2010</v>
      </c>
      <c r="B1921" t="s">
        <v>33</v>
      </c>
      <c r="C1921">
        <v>45903</v>
      </c>
      <c r="D1921">
        <v>335.2</v>
      </c>
      <c r="E1921">
        <v>343.33</v>
      </c>
      <c r="F1921">
        <v>328.51</v>
      </c>
      <c r="G1921">
        <v>334.09</v>
      </c>
      <c r="H1921">
        <v>329.36</v>
      </c>
    </row>
    <row r="1922" spans="1:8" x14ac:dyDescent="0.3">
      <c r="A1922" t="s">
        <v>2011</v>
      </c>
      <c r="B1922" t="s">
        <v>33</v>
      </c>
      <c r="C1922">
        <v>45904</v>
      </c>
      <c r="D1922">
        <v>336.15</v>
      </c>
      <c r="E1922">
        <v>338.89</v>
      </c>
      <c r="F1922">
        <v>331.48</v>
      </c>
      <c r="G1922">
        <v>338.53</v>
      </c>
      <c r="H1922">
        <v>334.09</v>
      </c>
    </row>
    <row r="1923" spans="1:8" x14ac:dyDescent="0.3">
      <c r="A1923" t="s">
        <v>2012</v>
      </c>
      <c r="B1923" t="s">
        <v>33</v>
      </c>
      <c r="C1923">
        <v>45905</v>
      </c>
      <c r="D1923">
        <v>348</v>
      </c>
      <c r="E1923">
        <v>355.87</v>
      </c>
      <c r="F1923">
        <v>344.68009999999998</v>
      </c>
      <c r="G1923">
        <v>350.84</v>
      </c>
      <c r="H1923">
        <v>338.53</v>
      </c>
    </row>
    <row r="1924" spans="1:8" x14ac:dyDescent="0.3">
      <c r="A1924" t="s">
        <v>2013</v>
      </c>
      <c r="B1924" t="s">
        <v>33</v>
      </c>
      <c r="C1924">
        <v>45908</v>
      </c>
      <c r="D1924">
        <v>354.64</v>
      </c>
      <c r="E1924">
        <v>358.44</v>
      </c>
      <c r="F1924">
        <v>344.84</v>
      </c>
      <c r="G1924">
        <v>346.4</v>
      </c>
      <c r="H1924">
        <v>350.84</v>
      </c>
    </row>
    <row r="1925" spans="1:8" x14ac:dyDescent="0.3">
      <c r="A1925" t="s">
        <v>2014</v>
      </c>
      <c r="B1925" t="s">
        <v>33</v>
      </c>
      <c r="C1925">
        <v>45909</v>
      </c>
      <c r="D1925">
        <v>348.44</v>
      </c>
      <c r="E1925">
        <v>350.77</v>
      </c>
      <c r="F1925">
        <v>343.82</v>
      </c>
      <c r="G1925">
        <v>346.97</v>
      </c>
      <c r="H1925">
        <v>346.4</v>
      </c>
    </row>
    <row r="1926" spans="1:8" x14ac:dyDescent="0.3">
      <c r="A1926" t="s">
        <v>2015</v>
      </c>
      <c r="B1926" t="s">
        <v>33</v>
      </c>
      <c r="C1926">
        <v>45910</v>
      </c>
      <c r="D1926">
        <v>350.55</v>
      </c>
      <c r="E1926">
        <v>356.33</v>
      </c>
      <c r="F1926">
        <v>346.07</v>
      </c>
      <c r="G1926">
        <v>347.79</v>
      </c>
      <c r="H1926">
        <v>346.97</v>
      </c>
    </row>
    <row r="1927" spans="1:8" x14ac:dyDescent="0.3">
      <c r="A1927" t="s">
        <v>2016</v>
      </c>
      <c r="B1927" t="s">
        <v>33</v>
      </c>
      <c r="C1927">
        <v>45911</v>
      </c>
      <c r="D1927">
        <v>350.17</v>
      </c>
      <c r="E1927">
        <v>368.99</v>
      </c>
      <c r="F1927">
        <v>347.6</v>
      </c>
      <c r="G1927">
        <v>368.81</v>
      </c>
      <c r="H1927">
        <v>347.79</v>
      </c>
    </row>
    <row r="1928" spans="1:8" x14ac:dyDescent="0.3">
      <c r="A1928" t="s">
        <v>2017</v>
      </c>
      <c r="B1928" t="s">
        <v>33</v>
      </c>
      <c r="C1928">
        <v>45912</v>
      </c>
      <c r="D1928">
        <v>370.94</v>
      </c>
      <c r="E1928">
        <v>396.68990000000002</v>
      </c>
      <c r="F1928">
        <v>370.24</v>
      </c>
      <c r="G1928">
        <v>395.94</v>
      </c>
      <c r="H1928">
        <v>368.81</v>
      </c>
    </row>
    <row r="1929" spans="1:8" x14ac:dyDescent="0.3">
      <c r="A1929" t="s">
        <v>2018</v>
      </c>
      <c r="B1929" t="s">
        <v>33</v>
      </c>
      <c r="C1929">
        <v>45915</v>
      </c>
      <c r="D1929">
        <v>423.13</v>
      </c>
      <c r="E1929">
        <v>425.7</v>
      </c>
      <c r="F1929">
        <v>402.43</v>
      </c>
      <c r="G1929">
        <v>410.04</v>
      </c>
      <c r="H1929">
        <v>395.94</v>
      </c>
    </row>
    <row r="1930" spans="1:8" x14ac:dyDescent="0.3">
      <c r="A1930" t="s">
        <v>2019</v>
      </c>
      <c r="B1930" t="s">
        <v>33</v>
      </c>
      <c r="C1930">
        <v>45916</v>
      </c>
      <c r="D1930">
        <v>414.495</v>
      </c>
      <c r="E1930">
        <v>423.25</v>
      </c>
      <c r="F1930">
        <v>411.43</v>
      </c>
      <c r="G1930">
        <v>421.62</v>
      </c>
      <c r="H1930">
        <v>410.04</v>
      </c>
    </row>
    <row r="1931" spans="1:8" x14ac:dyDescent="0.3">
      <c r="A1931" t="s">
        <v>2020</v>
      </c>
      <c r="B1931" t="s">
        <v>33</v>
      </c>
      <c r="C1931">
        <v>45917</v>
      </c>
      <c r="D1931">
        <v>415.75</v>
      </c>
      <c r="E1931">
        <v>428.31209999999999</v>
      </c>
      <c r="F1931">
        <v>409.67</v>
      </c>
      <c r="G1931">
        <v>425.86</v>
      </c>
      <c r="H1931">
        <v>421.62</v>
      </c>
    </row>
    <row r="1932" spans="1:8" x14ac:dyDescent="0.3">
      <c r="A1932" t="s">
        <v>2021</v>
      </c>
      <c r="B1932" t="s">
        <v>33</v>
      </c>
      <c r="C1932">
        <v>45918</v>
      </c>
      <c r="D1932">
        <v>428.86500000000001</v>
      </c>
      <c r="E1932">
        <v>432.2199</v>
      </c>
      <c r="F1932">
        <v>416.56</v>
      </c>
      <c r="G1932">
        <v>416.85</v>
      </c>
      <c r="H1932">
        <v>425.86</v>
      </c>
    </row>
    <row r="1933" spans="1:8" x14ac:dyDescent="0.3">
      <c r="A1933" t="s">
        <v>2022</v>
      </c>
      <c r="B1933" t="s">
        <v>33</v>
      </c>
      <c r="C1933">
        <v>45919</v>
      </c>
      <c r="D1933">
        <v>421.82</v>
      </c>
      <c r="E1933">
        <v>429.47</v>
      </c>
      <c r="F1933">
        <v>421.72</v>
      </c>
      <c r="G1933">
        <v>426.07</v>
      </c>
      <c r="H1933">
        <v>416.85</v>
      </c>
    </row>
    <row r="1934" spans="1:8" x14ac:dyDescent="0.3">
      <c r="A1934" t="s">
        <v>2023</v>
      </c>
      <c r="B1934" t="s">
        <v>33</v>
      </c>
      <c r="C1934">
        <v>45922</v>
      </c>
      <c r="D1934">
        <v>431.11</v>
      </c>
      <c r="E1934">
        <v>444.98</v>
      </c>
      <c r="F1934">
        <v>429.13</v>
      </c>
      <c r="G1934">
        <v>434.21</v>
      </c>
      <c r="H1934">
        <v>426.07</v>
      </c>
    </row>
    <row r="1935" spans="1:8" x14ac:dyDescent="0.3">
      <c r="A1935" t="s">
        <v>2024</v>
      </c>
      <c r="B1935" t="s">
        <v>33</v>
      </c>
      <c r="C1935">
        <v>45923</v>
      </c>
      <c r="D1935">
        <v>439.88</v>
      </c>
      <c r="E1935">
        <v>440.97</v>
      </c>
      <c r="F1935">
        <v>423.72</v>
      </c>
      <c r="G1935">
        <v>425.85</v>
      </c>
      <c r="H1935">
        <v>434.21</v>
      </c>
    </row>
    <row r="1936" spans="1:8" x14ac:dyDescent="0.3">
      <c r="A1936" t="s">
        <v>2025</v>
      </c>
      <c r="B1936" t="s">
        <v>33</v>
      </c>
      <c r="C1936">
        <v>45924</v>
      </c>
      <c r="D1936">
        <v>429.83</v>
      </c>
      <c r="E1936">
        <v>444.21</v>
      </c>
      <c r="F1936">
        <v>429.0301</v>
      </c>
      <c r="G1936">
        <v>442.79</v>
      </c>
      <c r="H1936">
        <v>425.85</v>
      </c>
    </row>
    <row r="1937" spans="1:8" x14ac:dyDescent="0.3">
      <c r="A1937" t="s">
        <v>2026</v>
      </c>
      <c r="B1937" t="s">
        <v>33</v>
      </c>
      <c r="C1937">
        <v>45925</v>
      </c>
      <c r="D1937">
        <v>435.24</v>
      </c>
      <c r="E1937">
        <v>435.35</v>
      </c>
      <c r="F1937">
        <v>419.08</v>
      </c>
      <c r="G1937">
        <v>423.39</v>
      </c>
      <c r="H1937">
        <v>442.79</v>
      </c>
    </row>
    <row r="1938" spans="1:8" x14ac:dyDescent="0.3">
      <c r="A1938" t="s">
        <v>2027</v>
      </c>
      <c r="B1938" t="s">
        <v>33</v>
      </c>
      <c r="C1938">
        <v>45926</v>
      </c>
      <c r="D1938">
        <v>428.3</v>
      </c>
      <c r="E1938">
        <v>440.47</v>
      </c>
      <c r="F1938">
        <v>421.02</v>
      </c>
      <c r="G1938">
        <v>440.4</v>
      </c>
      <c r="H1938">
        <v>423.39</v>
      </c>
    </row>
    <row r="1939" spans="1:8" x14ac:dyDescent="0.3">
      <c r="A1939" t="s">
        <v>2028</v>
      </c>
      <c r="B1939" t="s">
        <v>33</v>
      </c>
      <c r="C1939">
        <v>45929</v>
      </c>
      <c r="D1939">
        <v>444.35</v>
      </c>
      <c r="E1939">
        <v>450.98</v>
      </c>
      <c r="F1939">
        <v>439.5</v>
      </c>
      <c r="G1939">
        <v>443.21</v>
      </c>
      <c r="H1939">
        <v>440.4</v>
      </c>
    </row>
    <row r="1940" spans="1:8" x14ac:dyDescent="0.3">
      <c r="A1940" t="s">
        <v>116</v>
      </c>
      <c r="B1940" t="s">
        <v>33</v>
      </c>
      <c r="C1940">
        <v>45930</v>
      </c>
      <c r="D1940">
        <v>441.52</v>
      </c>
      <c r="E1940">
        <v>445</v>
      </c>
      <c r="F1940">
        <v>433.12</v>
      </c>
      <c r="G1940">
        <v>444.72</v>
      </c>
      <c r="H1940">
        <v>443.21</v>
      </c>
    </row>
    <row r="1941" spans="1:8" x14ac:dyDescent="0.3">
      <c r="A1941" t="s">
        <v>2029</v>
      </c>
      <c r="B1941" t="s">
        <v>33</v>
      </c>
      <c r="C1941">
        <v>45931</v>
      </c>
      <c r="D1941">
        <v>443.8</v>
      </c>
      <c r="E1941">
        <v>462.29</v>
      </c>
      <c r="F1941">
        <v>440.75</v>
      </c>
      <c r="G1941">
        <v>459.46</v>
      </c>
      <c r="H1941">
        <v>444.72</v>
      </c>
    </row>
    <row r="1942" spans="1:8" x14ac:dyDescent="0.3">
      <c r="A1942" t="s">
        <v>2030</v>
      </c>
      <c r="B1942" t="s">
        <v>33</v>
      </c>
      <c r="C1942">
        <v>45932</v>
      </c>
      <c r="D1942">
        <v>470.54</v>
      </c>
      <c r="E1942">
        <v>470.75</v>
      </c>
      <c r="F1942">
        <v>435.57</v>
      </c>
      <c r="G1942">
        <v>436</v>
      </c>
      <c r="H1942">
        <v>459.46</v>
      </c>
    </row>
    <row r="1943" spans="1:8" x14ac:dyDescent="0.3">
      <c r="A1943" t="s">
        <v>2031</v>
      </c>
      <c r="B1943" t="s">
        <v>33</v>
      </c>
      <c r="C1943">
        <v>45933</v>
      </c>
      <c r="D1943">
        <v>443.28500000000003</v>
      </c>
      <c r="E1943">
        <v>446.77</v>
      </c>
      <c r="F1943">
        <v>416.57499999999999</v>
      </c>
      <c r="G1943">
        <v>429.83</v>
      </c>
      <c r="H1943">
        <v>436</v>
      </c>
    </row>
    <row r="1944" spans="1:8" x14ac:dyDescent="0.3">
      <c r="A1944" t="s">
        <v>2032</v>
      </c>
      <c r="B1944" t="s">
        <v>33</v>
      </c>
      <c r="C1944">
        <v>45936</v>
      </c>
      <c r="D1944">
        <v>440.75</v>
      </c>
      <c r="E1944">
        <v>453.55</v>
      </c>
      <c r="F1944">
        <v>436.69</v>
      </c>
      <c r="G1944">
        <v>453.25</v>
      </c>
      <c r="H1944">
        <v>429.83</v>
      </c>
    </row>
    <row r="1945" spans="1:8" x14ac:dyDescent="0.3">
      <c r="A1945" t="s">
        <v>2033</v>
      </c>
      <c r="B1945" t="s">
        <v>33</v>
      </c>
      <c r="C1945">
        <v>45937</v>
      </c>
      <c r="D1945">
        <v>447.82</v>
      </c>
      <c r="E1945">
        <v>452.68</v>
      </c>
      <c r="F1945">
        <v>432.45010000000002</v>
      </c>
      <c r="G1945">
        <v>433.09</v>
      </c>
      <c r="H1945">
        <v>453.25</v>
      </c>
    </row>
    <row r="1946" spans="1:8" x14ac:dyDescent="0.3">
      <c r="A1946" t="s">
        <v>2034</v>
      </c>
      <c r="B1946" t="s">
        <v>33</v>
      </c>
      <c r="C1946">
        <v>45938</v>
      </c>
      <c r="D1946">
        <v>437.57</v>
      </c>
      <c r="E1946">
        <v>441.33</v>
      </c>
      <c r="F1946">
        <v>425.23</v>
      </c>
      <c r="G1946">
        <v>438.69</v>
      </c>
      <c r="H1946">
        <v>433.09</v>
      </c>
    </row>
    <row r="1947" spans="1:8" x14ac:dyDescent="0.3">
      <c r="A1947" t="s">
        <v>2035</v>
      </c>
      <c r="B1947" t="s">
        <v>33</v>
      </c>
      <c r="C1947">
        <v>45939</v>
      </c>
      <c r="D1947">
        <v>431.81</v>
      </c>
      <c r="E1947">
        <v>436.35</v>
      </c>
      <c r="F1947">
        <v>426.18</v>
      </c>
      <c r="G1947">
        <v>435.54</v>
      </c>
      <c r="H1947">
        <v>438.69</v>
      </c>
    </row>
    <row r="1948" spans="1:8" x14ac:dyDescent="0.3">
      <c r="A1948" t="s">
        <v>2036</v>
      </c>
      <c r="B1948" t="s">
        <v>33</v>
      </c>
      <c r="C1948">
        <v>45940</v>
      </c>
      <c r="D1948">
        <v>436.54</v>
      </c>
      <c r="E1948">
        <v>443.13</v>
      </c>
      <c r="F1948">
        <v>411.45</v>
      </c>
      <c r="G1948">
        <v>413.49</v>
      </c>
      <c r="H1948">
        <v>435.54</v>
      </c>
    </row>
    <row r="1949" spans="1:8" x14ac:dyDescent="0.3">
      <c r="A1949" t="s">
        <v>2037</v>
      </c>
      <c r="B1949" t="s">
        <v>33</v>
      </c>
      <c r="C1949">
        <v>45943</v>
      </c>
      <c r="D1949">
        <v>423.53</v>
      </c>
      <c r="E1949">
        <v>436.89</v>
      </c>
      <c r="F1949">
        <v>419.7</v>
      </c>
      <c r="G1949">
        <v>435.9</v>
      </c>
      <c r="H1949">
        <v>413.49</v>
      </c>
    </row>
    <row r="1950" spans="1:8" x14ac:dyDescent="0.3">
      <c r="A1950" t="s">
        <v>2038</v>
      </c>
      <c r="B1950" t="s">
        <v>33</v>
      </c>
      <c r="C1950">
        <v>45944</v>
      </c>
      <c r="D1950">
        <v>426.79</v>
      </c>
      <c r="E1950">
        <v>434.2</v>
      </c>
      <c r="F1950">
        <v>417.86</v>
      </c>
      <c r="G1950">
        <v>429.24</v>
      </c>
      <c r="H1950">
        <v>435.9</v>
      </c>
    </row>
    <row r="1951" spans="1:8" x14ac:dyDescent="0.3">
      <c r="A1951" t="s">
        <v>2039</v>
      </c>
      <c r="B1951" t="s">
        <v>33</v>
      </c>
      <c r="C1951">
        <v>45945</v>
      </c>
      <c r="D1951">
        <v>434.9</v>
      </c>
      <c r="E1951">
        <v>440.51</v>
      </c>
      <c r="F1951">
        <v>426.33010000000002</v>
      </c>
      <c r="G1951">
        <v>435.15</v>
      </c>
      <c r="H1951">
        <v>429.24</v>
      </c>
    </row>
    <row r="1952" spans="1:8" x14ac:dyDescent="0.3">
      <c r="A1952" t="s">
        <v>2040</v>
      </c>
      <c r="B1952" t="s">
        <v>33</v>
      </c>
      <c r="C1952">
        <v>45946</v>
      </c>
      <c r="D1952">
        <v>434.73</v>
      </c>
      <c r="E1952">
        <v>439.35</v>
      </c>
      <c r="F1952">
        <v>421.31009999999998</v>
      </c>
      <c r="G1952">
        <v>428.75</v>
      </c>
      <c r="H1952">
        <v>435.15</v>
      </c>
    </row>
    <row r="1953" spans="1:8" x14ac:dyDescent="0.3">
      <c r="A1953" t="s">
        <v>2041</v>
      </c>
      <c r="B1953" t="s">
        <v>33</v>
      </c>
      <c r="C1953">
        <v>45947</v>
      </c>
      <c r="D1953">
        <v>425.5</v>
      </c>
      <c r="E1953">
        <v>441.45580000000001</v>
      </c>
      <c r="F1953">
        <v>423.6</v>
      </c>
      <c r="G1953">
        <v>439.31</v>
      </c>
      <c r="H1953">
        <v>428.75</v>
      </c>
    </row>
    <row r="1954" spans="1:8" x14ac:dyDescent="0.3">
      <c r="A1954" t="s">
        <v>2042</v>
      </c>
      <c r="B1954" t="s">
        <v>33</v>
      </c>
      <c r="C1954">
        <v>45950</v>
      </c>
      <c r="D1954">
        <v>443.86500000000001</v>
      </c>
      <c r="E1954">
        <v>449.8</v>
      </c>
      <c r="F1954">
        <v>440.61</v>
      </c>
      <c r="G1954">
        <v>447.43</v>
      </c>
      <c r="H1954">
        <v>439.31</v>
      </c>
    </row>
    <row r="1955" spans="1:8" x14ac:dyDescent="0.3">
      <c r="A1955" t="s">
        <v>2043</v>
      </c>
      <c r="B1955" t="s">
        <v>33</v>
      </c>
      <c r="C1955">
        <v>45951</v>
      </c>
      <c r="D1955">
        <v>445.755</v>
      </c>
      <c r="E1955">
        <v>449.3</v>
      </c>
      <c r="F1955">
        <v>442.05</v>
      </c>
      <c r="G1955">
        <v>442.6</v>
      </c>
      <c r="H1955">
        <v>447.43</v>
      </c>
    </row>
    <row r="1956" spans="1:8" x14ac:dyDescent="0.3">
      <c r="A1956" t="s">
        <v>2044</v>
      </c>
      <c r="B1956" t="s">
        <v>33</v>
      </c>
      <c r="C1956">
        <v>45952</v>
      </c>
      <c r="D1956">
        <v>443.45</v>
      </c>
      <c r="E1956">
        <v>445.53899999999999</v>
      </c>
      <c r="F1956">
        <v>429</v>
      </c>
      <c r="G1956">
        <v>438.97</v>
      </c>
      <c r="H1956">
        <v>442.6</v>
      </c>
    </row>
    <row r="1957" spans="1:8" x14ac:dyDescent="0.3">
      <c r="A1957" t="s">
        <v>2045</v>
      </c>
      <c r="B1957" t="s">
        <v>33</v>
      </c>
      <c r="C1957">
        <v>45953</v>
      </c>
      <c r="D1957">
        <v>420</v>
      </c>
      <c r="E1957">
        <v>449.3999</v>
      </c>
      <c r="F1957">
        <v>413.9</v>
      </c>
      <c r="G1957">
        <v>448.98</v>
      </c>
      <c r="H1957">
        <v>438.97</v>
      </c>
    </row>
    <row r="1958" spans="1:8" x14ac:dyDescent="0.3">
      <c r="A1958" t="s">
        <v>2046</v>
      </c>
      <c r="B1958" t="s">
        <v>33</v>
      </c>
      <c r="C1958">
        <v>45954</v>
      </c>
      <c r="D1958">
        <v>446.83</v>
      </c>
      <c r="E1958">
        <v>451.68</v>
      </c>
      <c r="F1958">
        <v>430.17</v>
      </c>
      <c r="G1958">
        <v>433.72</v>
      </c>
      <c r="H1958">
        <v>448.98</v>
      </c>
    </row>
    <row r="1959" spans="1:8" x14ac:dyDescent="0.3">
      <c r="A1959" t="s">
        <v>2047</v>
      </c>
      <c r="B1959" t="s">
        <v>33</v>
      </c>
      <c r="C1959">
        <v>45957</v>
      </c>
      <c r="D1959">
        <v>439.98</v>
      </c>
      <c r="E1959">
        <v>460.16</v>
      </c>
      <c r="F1959">
        <v>438.69</v>
      </c>
      <c r="G1959">
        <v>452.42</v>
      </c>
      <c r="H1959">
        <v>433.72</v>
      </c>
    </row>
    <row r="1960" spans="1:8" x14ac:dyDescent="0.3">
      <c r="A1960" t="s">
        <v>2048</v>
      </c>
      <c r="B1960" t="s">
        <v>33</v>
      </c>
      <c r="C1960">
        <v>45958</v>
      </c>
      <c r="D1960">
        <v>454.77499999999998</v>
      </c>
      <c r="E1960">
        <v>467</v>
      </c>
      <c r="F1960">
        <v>451.6</v>
      </c>
      <c r="G1960">
        <v>460.55</v>
      </c>
      <c r="H1960">
        <v>452.42</v>
      </c>
    </row>
    <row r="1961" spans="1:8" x14ac:dyDescent="0.3">
      <c r="A1961" t="s">
        <v>2049</v>
      </c>
      <c r="B1961" t="s">
        <v>33</v>
      </c>
      <c r="C1961">
        <v>45959</v>
      </c>
      <c r="D1961">
        <v>462.5</v>
      </c>
      <c r="E1961">
        <v>465.7</v>
      </c>
      <c r="F1961">
        <v>452.65</v>
      </c>
      <c r="G1961">
        <v>461.51</v>
      </c>
      <c r="H1961">
        <v>460.55</v>
      </c>
    </row>
    <row r="1962" spans="1:8" x14ac:dyDescent="0.3">
      <c r="A1962" t="s">
        <v>2050</v>
      </c>
      <c r="B1962" t="s">
        <v>33</v>
      </c>
      <c r="C1962">
        <v>45960</v>
      </c>
      <c r="D1962">
        <v>451.05</v>
      </c>
      <c r="E1962">
        <v>455.0607</v>
      </c>
      <c r="F1962">
        <v>439.61</v>
      </c>
      <c r="G1962">
        <v>440.1</v>
      </c>
      <c r="H1962">
        <v>461.51</v>
      </c>
    </row>
    <row r="1963" spans="1:8" x14ac:dyDescent="0.3">
      <c r="A1963" t="s">
        <v>2051</v>
      </c>
      <c r="B1963" t="s">
        <v>33</v>
      </c>
      <c r="C1963">
        <v>45961</v>
      </c>
      <c r="D1963">
        <v>446.75</v>
      </c>
      <c r="E1963">
        <v>458</v>
      </c>
      <c r="F1963">
        <v>443.68549999999999</v>
      </c>
      <c r="G1963">
        <v>456.56</v>
      </c>
      <c r="H1963">
        <v>440.1</v>
      </c>
    </row>
    <row r="1964" spans="1:8" x14ac:dyDescent="0.3">
      <c r="A1964" t="s">
        <v>2052</v>
      </c>
      <c r="B1964" t="s">
        <v>33</v>
      </c>
      <c r="C1964">
        <v>45964</v>
      </c>
      <c r="D1964">
        <v>455.99</v>
      </c>
      <c r="E1964">
        <v>474.07</v>
      </c>
      <c r="F1964">
        <v>453.8</v>
      </c>
      <c r="G1964">
        <v>468.37</v>
      </c>
      <c r="H1964">
        <v>456.56</v>
      </c>
    </row>
    <row r="1965" spans="1:8" x14ac:dyDescent="0.3">
      <c r="A1965" t="s">
        <v>2053</v>
      </c>
      <c r="B1965" t="s">
        <v>33</v>
      </c>
      <c r="C1965">
        <v>45965</v>
      </c>
      <c r="D1965">
        <v>454.46</v>
      </c>
      <c r="E1965">
        <v>460.22</v>
      </c>
      <c r="F1965">
        <v>443.6</v>
      </c>
      <c r="G1965">
        <v>444.26</v>
      </c>
      <c r="H1965">
        <v>468.37</v>
      </c>
    </row>
    <row r="1966" spans="1:8" x14ac:dyDescent="0.3">
      <c r="A1966" t="s">
        <v>2054</v>
      </c>
      <c r="B1966" t="s">
        <v>33</v>
      </c>
      <c r="C1966">
        <v>45966</v>
      </c>
      <c r="D1966">
        <v>452.05</v>
      </c>
      <c r="E1966">
        <v>466.32990000000001</v>
      </c>
      <c r="F1966">
        <v>440.71</v>
      </c>
      <c r="G1966">
        <v>462.07</v>
      </c>
      <c r="H1966">
        <v>444.26</v>
      </c>
    </row>
    <row r="1967" spans="1:8" x14ac:dyDescent="0.3">
      <c r="A1967" t="s">
        <v>2055</v>
      </c>
      <c r="B1967" t="s">
        <v>33</v>
      </c>
      <c r="C1967">
        <v>45967</v>
      </c>
      <c r="D1967">
        <v>461.96</v>
      </c>
      <c r="E1967">
        <v>467.45</v>
      </c>
      <c r="F1967">
        <v>435.09</v>
      </c>
      <c r="G1967">
        <v>445.91</v>
      </c>
      <c r="H1967">
        <v>462.07</v>
      </c>
    </row>
    <row r="1968" spans="1:8" x14ac:dyDescent="0.3">
      <c r="A1968" t="s">
        <v>2056</v>
      </c>
      <c r="B1968" t="s">
        <v>33</v>
      </c>
      <c r="C1968">
        <v>45968</v>
      </c>
      <c r="D1968">
        <v>437.92</v>
      </c>
      <c r="E1968">
        <v>439.36</v>
      </c>
      <c r="F1968">
        <v>421.88</v>
      </c>
      <c r="G1968">
        <v>429.52</v>
      </c>
      <c r="H1968">
        <v>445.91</v>
      </c>
    </row>
    <row r="1969" spans="1:8" x14ac:dyDescent="0.3">
      <c r="A1969" t="s">
        <v>2057</v>
      </c>
      <c r="B1969" t="s">
        <v>33</v>
      </c>
      <c r="C1969">
        <v>45971</v>
      </c>
      <c r="D1969">
        <v>439.6</v>
      </c>
      <c r="E1969">
        <v>449.67149999999998</v>
      </c>
      <c r="F1969">
        <v>433.36</v>
      </c>
      <c r="G1969">
        <v>445.23</v>
      </c>
      <c r="H1969">
        <v>429.52</v>
      </c>
    </row>
    <row r="1970" spans="1:8" x14ac:dyDescent="0.3">
      <c r="A1970" t="s">
        <v>2058</v>
      </c>
      <c r="B1970" t="s">
        <v>33</v>
      </c>
      <c r="C1970">
        <v>45972</v>
      </c>
      <c r="D1970">
        <v>439.4</v>
      </c>
      <c r="E1970">
        <v>442.49</v>
      </c>
      <c r="F1970">
        <v>432.36</v>
      </c>
      <c r="G1970">
        <v>439.62</v>
      </c>
      <c r="H1970">
        <v>445.23</v>
      </c>
    </row>
    <row r="1971" spans="1:8" x14ac:dyDescent="0.3">
      <c r="A1971" t="s">
        <v>2059</v>
      </c>
      <c r="B1971" t="s">
        <v>33</v>
      </c>
      <c r="C1971">
        <v>45973</v>
      </c>
      <c r="D1971">
        <v>442.15</v>
      </c>
      <c r="E1971">
        <v>442.32900000000001</v>
      </c>
      <c r="F1971">
        <v>426.56</v>
      </c>
      <c r="G1971">
        <v>430.6</v>
      </c>
      <c r="H1971">
        <v>439.62</v>
      </c>
    </row>
    <row r="1972" spans="1:8" x14ac:dyDescent="0.3">
      <c r="A1972" t="s">
        <v>2060</v>
      </c>
      <c r="B1972" t="s">
        <v>33</v>
      </c>
      <c r="C1972">
        <v>45974</v>
      </c>
      <c r="D1972">
        <v>423.13</v>
      </c>
      <c r="E1972">
        <v>424.5</v>
      </c>
      <c r="F1972">
        <v>396.34</v>
      </c>
      <c r="G1972">
        <v>401.99</v>
      </c>
      <c r="H1972">
        <v>430.6</v>
      </c>
    </row>
    <row r="1973" spans="1:8" x14ac:dyDescent="0.3">
      <c r="A1973" t="s">
        <v>2061</v>
      </c>
      <c r="B1973" t="s">
        <v>33</v>
      </c>
      <c r="C1973">
        <v>45975</v>
      </c>
      <c r="D1973">
        <v>386.3</v>
      </c>
      <c r="E1973">
        <v>412.19</v>
      </c>
      <c r="F1973">
        <v>382.78</v>
      </c>
      <c r="G1973">
        <v>404.35</v>
      </c>
      <c r="H1973">
        <v>401.99</v>
      </c>
    </row>
    <row r="1974" spans="1:8" x14ac:dyDescent="0.3">
      <c r="A1974" t="s">
        <v>2062</v>
      </c>
      <c r="B1974" t="s">
        <v>33</v>
      </c>
      <c r="C1974">
        <v>45978</v>
      </c>
      <c r="D1974">
        <v>398.74</v>
      </c>
      <c r="E1974">
        <v>423.96</v>
      </c>
      <c r="F1974">
        <v>398.74</v>
      </c>
      <c r="G1974">
        <v>408.92</v>
      </c>
      <c r="H1974">
        <v>404.35</v>
      </c>
    </row>
    <row r="1975" spans="1:8" x14ac:dyDescent="0.3">
      <c r="A1975" t="s">
        <v>2063</v>
      </c>
      <c r="B1975" t="s">
        <v>33</v>
      </c>
      <c r="C1975">
        <v>45979</v>
      </c>
      <c r="D1975">
        <v>405.38</v>
      </c>
      <c r="E1975">
        <v>408.9</v>
      </c>
      <c r="F1975">
        <v>393.71</v>
      </c>
      <c r="G1975">
        <v>401.25</v>
      </c>
      <c r="H1975">
        <v>408.92</v>
      </c>
    </row>
    <row r="1976" spans="1:8" x14ac:dyDescent="0.3">
      <c r="A1976" t="s">
        <v>2064</v>
      </c>
      <c r="B1976" t="s">
        <v>33</v>
      </c>
      <c r="C1976">
        <v>45980</v>
      </c>
      <c r="D1976">
        <v>406.18</v>
      </c>
      <c r="E1976">
        <v>411.78</v>
      </c>
      <c r="F1976">
        <v>398.5</v>
      </c>
      <c r="G1976">
        <v>403.99</v>
      </c>
      <c r="H1976">
        <v>401.25</v>
      </c>
    </row>
    <row r="1977" spans="1:8" x14ac:dyDescent="0.3">
      <c r="A1977" t="s">
        <v>2065</v>
      </c>
      <c r="B1977" t="s">
        <v>33</v>
      </c>
      <c r="C1977">
        <v>45981</v>
      </c>
      <c r="D1977">
        <v>414.63</v>
      </c>
      <c r="E1977">
        <v>428.94</v>
      </c>
      <c r="F1977">
        <v>394.74</v>
      </c>
      <c r="G1977">
        <v>395.23</v>
      </c>
      <c r="H1977">
        <v>403.99</v>
      </c>
    </row>
    <row r="1978" spans="1:8" x14ac:dyDescent="0.3">
      <c r="A1978" t="s">
        <v>2066</v>
      </c>
      <c r="B1978" t="s">
        <v>33</v>
      </c>
      <c r="C1978">
        <v>45982</v>
      </c>
      <c r="D1978">
        <v>402.32</v>
      </c>
      <c r="E1978">
        <v>402.8</v>
      </c>
      <c r="F1978">
        <v>383.76</v>
      </c>
      <c r="G1978">
        <v>391.09</v>
      </c>
      <c r="H1978">
        <v>395.23</v>
      </c>
    </row>
    <row r="1979" spans="1:8" x14ac:dyDescent="0.3">
      <c r="A1979" t="s">
        <v>2067</v>
      </c>
      <c r="B1979" t="s">
        <v>33</v>
      </c>
      <c r="C1979">
        <v>45985</v>
      </c>
      <c r="D1979">
        <v>402.17</v>
      </c>
      <c r="E1979">
        <v>421.72</v>
      </c>
      <c r="F1979">
        <v>401.09</v>
      </c>
      <c r="G1979">
        <v>417.78</v>
      </c>
      <c r="H1979">
        <v>391.09</v>
      </c>
    </row>
    <row r="1980" spans="1:8" x14ac:dyDescent="0.3">
      <c r="A1980" t="s">
        <v>2068</v>
      </c>
      <c r="B1980" t="s">
        <v>33</v>
      </c>
      <c r="C1980">
        <v>45986</v>
      </c>
      <c r="D1980">
        <v>414.42</v>
      </c>
      <c r="E1980">
        <v>420.48</v>
      </c>
      <c r="F1980">
        <v>405.95</v>
      </c>
      <c r="G1980">
        <v>419.4</v>
      </c>
      <c r="H1980">
        <v>417.78</v>
      </c>
    </row>
    <row r="1981" spans="1:8" x14ac:dyDescent="0.3">
      <c r="A1981" t="s">
        <v>2069</v>
      </c>
      <c r="B1981" t="s">
        <v>33</v>
      </c>
      <c r="C1981">
        <v>45987</v>
      </c>
      <c r="D1981">
        <v>423.95</v>
      </c>
      <c r="E1981">
        <v>426.94</v>
      </c>
      <c r="F1981">
        <v>416.89</v>
      </c>
      <c r="G1981">
        <v>426.58</v>
      </c>
      <c r="H1981">
        <v>419.4</v>
      </c>
    </row>
    <row r="1982" spans="1:8" x14ac:dyDescent="0.3">
      <c r="A1982" t="s">
        <v>2070</v>
      </c>
      <c r="B1982" t="s">
        <v>33</v>
      </c>
      <c r="C1982">
        <v>45989</v>
      </c>
      <c r="D1982">
        <v>426.59</v>
      </c>
      <c r="E1982">
        <v>432.93</v>
      </c>
      <c r="F1982">
        <v>426.2</v>
      </c>
      <c r="G1982">
        <v>430.17</v>
      </c>
      <c r="H1982">
        <v>426.58</v>
      </c>
    </row>
    <row r="1983" spans="1:8" x14ac:dyDescent="0.3">
      <c r="A1983" t="s">
        <v>2071</v>
      </c>
      <c r="B1983" t="s">
        <v>33</v>
      </c>
      <c r="C1983">
        <v>45992</v>
      </c>
      <c r="D1983">
        <v>425.32</v>
      </c>
      <c r="E1983">
        <v>433.65989999999999</v>
      </c>
      <c r="F1983">
        <v>425.29</v>
      </c>
      <c r="G1983">
        <v>430.14</v>
      </c>
      <c r="H1983">
        <v>430.17</v>
      </c>
    </row>
    <row r="1984" spans="1:8" x14ac:dyDescent="0.3">
      <c r="A1984" t="s">
        <v>2072</v>
      </c>
      <c r="B1984" t="s">
        <v>33</v>
      </c>
      <c r="C1984">
        <v>45993</v>
      </c>
      <c r="D1984">
        <v>430.81</v>
      </c>
      <c r="E1984">
        <v>436.8</v>
      </c>
      <c r="F1984">
        <v>422.12</v>
      </c>
      <c r="G1984">
        <v>429.24</v>
      </c>
      <c r="H1984">
        <v>430.14</v>
      </c>
    </row>
    <row r="1985" spans="1:8" x14ac:dyDescent="0.3">
      <c r="A1985" t="s">
        <v>2073</v>
      </c>
      <c r="B1985" t="s">
        <v>33</v>
      </c>
      <c r="C1985">
        <v>45994</v>
      </c>
      <c r="D1985">
        <v>432.1</v>
      </c>
      <c r="E1985">
        <v>447.92</v>
      </c>
      <c r="F1985">
        <v>431.11</v>
      </c>
      <c r="G1985">
        <v>446.74</v>
      </c>
      <c r="H1985">
        <v>429.24</v>
      </c>
    </row>
    <row r="1986" spans="1:8" x14ac:dyDescent="0.3">
      <c r="A1986" t="s">
        <v>2074</v>
      </c>
      <c r="B1986" t="s">
        <v>33</v>
      </c>
      <c r="C1986">
        <v>45995</v>
      </c>
      <c r="D1986">
        <v>449.94</v>
      </c>
      <c r="E1986">
        <v>454.63</v>
      </c>
      <c r="F1986">
        <v>445.39</v>
      </c>
      <c r="G1986">
        <v>454.53</v>
      </c>
      <c r="H1986">
        <v>446.74</v>
      </c>
    </row>
    <row r="1987" spans="1:8" x14ac:dyDescent="0.3">
      <c r="A1987" t="s">
        <v>2075</v>
      </c>
      <c r="B1987" t="s">
        <v>33</v>
      </c>
      <c r="C1987">
        <v>45996</v>
      </c>
      <c r="D1987">
        <v>453.03</v>
      </c>
      <c r="E1987">
        <v>458.87</v>
      </c>
      <c r="F1987">
        <v>451.66</v>
      </c>
      <c r="G1987">
        <v>455</v>
      </c>
      <c r="H1987">
        <v>454.53</v>
      </c>
    </row>
    <row r="1988" spans="1:8" x14ac:dyDescent="0.3">
      <c r="A1988" t="s">
        <v>2076</v>
      </c>
      <c r="B1988" t="s">
        <v>33</v>
      </c>
      <c r="C1988">
        <v>45999</v>
      </c>
      <c r="D1988">
        <v>447.44499999999999</v>
      </c>
      <c r="E1988">
        <v>449.74630000000002</v>
      </c>
      <c r="F1988">
        <v>435.25</v>
      </c>
      <c r="G1988">
        <v>439.58</v>
      </c>
      <c r="H1988">
        <v>455</v>
      </c>
    </row>
    <row r="1989" spans="1:8" x14ac:dyDescent="0.3">
      <c r="A1989" t="s">
        <v>2077</v>
      </c>
      <c r="B1989" t="s">
        <v>33</v>
      </c>
      <c r="C1989">
        <v>46000</v>
      </c>
      <c r="D1989">
        <v>437.54</v>
      </c>
      <c r="E1989">
        <v>452.39</v>
      </c>
      <c r="F1989">
        <v>435.7</v>
      </c>
      <c r="G1989">
        <v>445.17</v>
      </c>
      <c r="H1989">
        <v>439.58</v>
      </c>
    </row>
    <row r="1990" spans="1:8" x14ac:dyDescent="0.3">
      <c r="A1990" t="s">
        <v>2078</v>
      </c>
      <c r="B1990" t="s">
        <v>33</v>
      </c>
      <c r="C1990">
        <v>46001</v>
      </c>
      <c r="D1990">
        <v>446.065</v>
      </c>
      <c r="E1990">
        <v>456.88</v>
      </c>
      <c r="F1990">
        <v>443.61</v>
      </c>
      <c r="G1990">
        <v>451.45</v>
      </c>
      <c r="H1990">
        <v>445.17</v>
      </c>
    </row>
    <row r="1991" spans="1:8" x14ac:dyDescent="0.3">
      <c r="A1991" t="s">
        <v>2079</v>
      </c>
      <c r="B1991" t="s">
        <v>33</v>
      </c>
      <c r="C1991">
        <v>46002</v>
      </c>
      <c r="D1991">
        <v>448.94499999999999</v>
      </c>
      <c r="E1991">
        <v>449.26990000000001</v>
      </c>
      <c r="F1991">
        <v>440.33</v>
      </c>
      <c r="G1991">
        <v>446.89</v>
      </c>
      <c r="H1991">
        <v>451.45</v>
      </c>
    </row>
    <row r="1992" spans="1:8" x14ac:dyDescent="0.3">
      <c r="A1992" t="s">
        <v>2080</v>
      </c>
      <c r="B1992" t="s">
        <v>33</v>
      </c>
      <c r="C1992">
        <v>46003</v>
      </c>
      <c r="D1992">
        <v>448.09</v>
      </c>
      <c r="E1992">
        <v>463.01</v>
      </c>
      <c r="F1992">
        <v>441.67</v>
      </c>
      <c r="G1992">
        <v>458.96</v>
      </c>
      <c r="H1992">
        <v>446.89</v>
      </c>
    </row>
    <row r="1993" spans="1:8" x14ac:dyDescent="0.3">
      <c r="A1993" t="s">
        <v>2081</v>
      </c>
      <c r="B1993" t="s">
        <v>33</v>
      </c>
      <c r="C1993">
        <v>46006</v>
      </c>
      <c r="D1993">
        <v>469.44</v>
      </c>
      <c r="E1993">
        <v>481.76940000000002</v>
      </c>
      <c r="F1993">
        <v>467.66</v>
      </c>
      <c r="G1993">
        <v>475.31</v>
      </c>
      <c r="H1993">
        <v>458.96</v>
      </c>
    </row>
    <row r="1994" spans="1:8" x14ac:dyDescent="0.3">
      <c r="A1994" t="s">
        <v>2082</v>
      </c>
      <c r="B1994" t="s">
        <v>33</v>
      </c>
      <c r="C1994">
        <v>46007</v>
      </c>
      <c r="D1994">
        <v>472.21</v>
      </c>
      <c r="E1994">
        <v>491.5</v>
      </c>
      <c r="F1994">
        <v>465.83</v>
      </c>
      <c r="G1994">
        <v>489.88</v>
      </c>
      <c r="H1994">
        <v>475.31</v>
      </c>
    </row>
    <row r="1995" spans="1:8" x14ac:dyDescent="0.3">
      <c r="A1995" t="s">
        <v>2083</v>
      </c>
      <c r="B1995" t="s">
        <v>33</v>
      </c>
      <c r="C1995">
        <v>46008</v>
      </c>
      <c r="D1995">
        <v>488.22</v>
      </c>
      <c r="E1995">
        <v>495.2799</v>
      </c>
      <c r="F1995">
        <v>466.2</v>
      </c>
      <c r="G1995">
        <v>467.26</v>
      </c>
      <c r="H1995">
        <v>489.88</v>
      </c>
    </row>
    <row r="1996" spans="1:8" x14ac:dyDescent="0.3">
      <c r="A1996" t="s">
        <v>2084</v>
      </c>
      <c r="B1996" t="s">
        <v>33</v>
      </c>
      <c r="C1996">
        <v>46009</v>
      </c>
      <c r="D1996">
        <v>478.16</v>
      </c>
      <c r="E1996">
        <v>490.86</v>
      </c>
      <c r="F1996">
        <v>473.12</v>
      </c>
      <c r="G1996">
        <v>483.37</v>
      </c>
      <c r="H1996">
        <v>467.26</v>
      </c>
    </row>
    <row r="1997" spans="1:8" x14ac:dyDescent="0.3">
      <c r="A1997" t="s">
        <v>2085</v>
      </c>
      <c r="B1997" t="s">
        <v>33</v>
      </c>
      <c r="C1997">
        <v>46010</v>
      </c>
      <c r="D1997">
        <v>488.12</v>
      </c>
      <c r="E1997">
        <v>490.49</v>
      </c>
      <c r="F1997">
        <v>474.72</v>
      </c>
      <c r="G1997">
        <v>481.2</v>
      </c>
      <c r="H1997">
        <v>483.37</v>
      </c>
    </row>
    <row r="1998" spans="1:8" x14ac:dyDescent="0.3">
      <c r="A1998" t="s">
        <v>2086</v>
      </c>
      <c r="B1998" t="s">
        <v>33</v>
      </c>
      <c r="C1998">
        <v>46013</v>
      </c>
      <c r="D1998">
        <v>489.88</v>
      </c>
      <c r="E1998">
        <v>498.83</v>
      </c>
      <c r="F1998">
        <v>485.33</v>
      </c>
      <c r="G1998">
        <v>488.73</v>
      </c>
      <c r="H1998">
        <v>481.2</v>
      </c>
    </row>
    <row r="1999" spans="1:8" x14ac:dyDescent="0.3">
      <c r="A1999" t="s">
        <v>2087</v>
      </c>
      <c r="B1999" t="s">
        <v>33</v>
      </c>
      <c r="C1999">
        <v>46014</v>
      </c>
      <c r="D1999">
        <v>489.39499999999998</v>
      </c>
      <c r="E1999">
        <v>491.97</v>
      </c>
      <c r="F1999">
        <v>482.84</v>
      </c>
      <c r="G1999">
        <v>485.56</v>
      </c>
      <c r="H1999">
        <v>488.73</v>
      </c>
    </row>
    <row r="2000" spans="1:8" x14ac:dyDescent="0.3">
      <c r="A2000" t="s">
        <v>2088</v>
      </c>
      <c r="B2000" t="s">
        <v>33</v>
      </c>
      <c r="C2000">
        <v>46015</v>
      </c>
      <c r="D2000">
        <v>488.48</v>
      </c>
      <c r="E2000">
        <v>490.9</v>
      </c>
      <c r="F2000">
        <v>476.8</v>
      </c>
      <c r="G2000">
        <v>485.4</v>
      </c>
      <c r="H2000">
        <v>485.56</v>
      </c>
    </row>
    <row r="2001" spans="1:8" x14ac:dyDescent="0.3">
      <c r="A2001" t="s">
        <v>2089</v>
      </c>
      <c r="B2001" t="s">
        <v>33</v>
      </c>
      <c r="C2001">
        <v>46017</v>
      </c>
      <c r="D2001">
        <v>485.23</v>
      </c>
      <c r="E2001">
        <v>489.09</v>
      </c>
      <c r="F2001">
        <v>473.82</v>
      </c>
      <c r="G2001">
        <v>475.19</v>
      </c>
      <c r="H2001">
        <v>485.4</v>
      </c>
    </row>
    <row r="2002" spans="1:8" x14ac:dyDescent="0.3">
      <c r="A2002" t="s">
        <v>2090</v>
      </c>
      <c r="B2002" t="s">
        <v>33</v>
      </c>
      <c r="C2002">
        <v>46020</v>
      </c>
      <c r="D2002">
        <v>469</v>
      </c>
      <c r="E2002">
        <v>469.4</v>
      </c>
      <c r="F2002">
        <v>459</v>
      </c>
      <c r="G2002">
        <v>459.64</v>
      </c>
      <c r="H2002">
        <v>475.19</v>
      </c>
    </row>
    <row r="2003" spans="1:8" x14ac:dyDescent="0.3">
      <c r="A2003" t="s">
        <v>2091</v>
      </c>
      <c r="B2003" t="s">
        <v>33</v>
      </c>
      <c r="C2003">
        <v>46021</v>
      </c>
      <c r="D2003">
        <v>461.09</v>
      </c>
      <c r="E2003">
        <v>463.12</v>
      </c>
      <c r="F2003">
        <v>453.83</v>
      </c>
      <c r="G2003">
        <v>454.43</v>
      </c>
      <c r="H2003">
        <v>459.64</v>
      </c>
    </row>
    <row r="2004" spans="1:8" x14ac:dyDescent="0.3">
      <c r="A2004" t="s">
        <v>115</v>
      </c>
      <c r="B2004" t="s">
        <v>33</v>
      </c>
      <c r="C2004">
        <v>46022</v>
      </c>
      <c r="D2004">
        <v>456.1</v>
      </c>
      <c r="E2004">
        <v>456.55</v>
      </c>
      <c r="F2004">
        <v>449.3</v>
      </c>
      <c r="G2004">
        <v>449.72</v>
      </c>
      <c r="H2004">
        <v>454.43</v>
      </c>
    </row>
    <row r="2005" spans="1:8" x14ac:dyDescent="0.3">
      <c r="A2005" t="s">
        <v>2092</v>
      </c>
      <c r="B2005" t="s">
        <v>33</v>
      </c>
      <c r="C2005">
        <v>46024</v>
      </c>
      <c r="D2005">
        <v>457.8</v>
      </c>
      <c r="E2005">
        <v>458.34</v>
      </c>
      <c r="F2005">
        <v>435.3</v>
      </c>
      <c r="G2005">
        <v>438.07</v>
      </c>
      <c r="H2005">
        <v>449.72</v>
      </c>
    </row>
    <row r="2006" spans="1:8" x14ac:dyDescent="0.3">
      <c r="A2006" t="s">
        <v>2093</v>
      </c>
      <c r="B2006" t="s">
        <v>33</v>
      </c>
      <c r="C2006">
        <v>46027</v>
      </c>
      <c r="D2006">
        <v>447.99</v>
      </c>
      <c r="E2006">
        <v>457.54989999999998</v>
      </c>
      <c r="F2006">
        <v>444.57</v>
      </c>
      <c r="G2006">
        <v>451.67</v>
      </c>
      <c r="H2006">
        <v>438.07</v>
      </c>
    </row>
    <row r="2007" spans="1:8" x14ac:dyDescent="0.3">
      <c r="A2007" t="s">
        <v>2094</v>
      </c>
      <c r="B2007" t="s">
        <v>33</v>
      </c>
      <c r="C2007">
        <v>46028</v>
      </c>
      <c r="D2007">
        <v>446.38</v>
      </c>
      <c r="E2007">
        <v>448.25</v>
      </c>
      <c r="F2007">
        <v>428.78</v>
      </c>
      <c r="G2007">
        <v>432.96</v>
      </c>
      <c r="H2007">
        <v>451.67</v>
      </c>
    </row>
    <row r="2008" spans="1:8" x14ac:dyDescent="0.3">
      <c r="A2008" t="s">
        <v>2095</v>
      </c>
      <c r="B2008" t="s">
        <v>33</v>
      </c>
      <c r="C2008">
        <v>46029</v>
      </c>
      <c r="D2008">
        <v>435.9</v>
      </c>
      <c r="E2008">
        <v>438.37</v>
      </c>
      <c r="F2008">
        <v>431.29</v>
      </c>
      <c r="G2008">
        <v>431.41</v>
      </c>
      <c r="H2008">
        <v>432.96</v>
      </c>
    </row>
    <row r="2009" spans="1:8" x14ac:dyDescent="0.3">
      <c r="A2009" t="s">
        <v>2096</v>
      </c>
      <c r="B2009" t="s">
        <v>33</v>
      </c>
      <c r="C2009">
        <v>46030</v>
      </c>
      <c r="D2009">
        <v>427.89</v>
      </c>
      <c r="E2009">
        <v>436.89</v>
      </c>
      <c r="F2009">
        <v>424.36500000000001</v>
      </c>
      <c r="G2009">
        <v>435.8</v>
      </c>
      <c r="H2009">
        <v>431.41</v>
      </c>
    </row>
    <row r="2010" spans="1:8" x14ac:dyDescent="0.3">
      <c r="A2010" t="s">
        <v>2097</v>
      </c>
      <c r="B2010" t="s">
        <v>33</v>
      </c>
      <c r="C2010">
        <v>46031</v>
      </c>
      <c r="D2010">
        <v>435.94499999999999</v>
      </c>
      <c r="E2010">
        <v>449.05</v>
      </c>
      <c r="F2010">
        <v>430.39</v>
      </c>
      <c r="G2010">
        <v>445.01</v>
      </c>
      <c r="H2010">
        <v>435.8</v>
      </c>
    </row>
    <row r="2011" spans="1:8" x14ac:dyDescent="0.3">
      <c r="A2011" t="s">
        <v>2098</v>
      </c>
      <c r="B2011" t="s">
        <v>33</v>
      </c>
      <c r="C2011">
        <v>46034</v>
      </c>
      <c r="D2011">
        <v>441.22500000000002</v>
      </c>
      <c r="E2011">
        <v>454.3</v>
      </c>
      <c r="F2011">
        <v>438</v>
      </c>
      <c r="G2011">
        <v>448.96</v>
      </c>
      <c r="H2011">
        <v>445.01</v>
      </c>
    </row>
    <row r="2012" spans="1:8" x14ac:dyDescent="0.3">
      <c r="A2012" t="s">
        <v>2099</v>
      </c>
      <c r="B2012" t="s">
        <v>33</v>
      </c>
      <c r="C2012">
        <v>46035</v>
      </c>
      <c r="D2012">
        <v>450.2</v>
      </c>
      <c r="E2012">
        <v>451.81</v>
      </c>
      <c r="F2012">
        <v>443.95</v>
      </c>
      <c r="G2012">
        <v>447.2</v>
      </c>
      <c r="H2012">
        <v>448.96</v>
      </c>
    </row>
    <row r="2013" spans="1:8" x14ac:dyDescent="0.3">
      <c r="A2013" t="s">
        <v>2100</v>
      </c>
      <c r="B2013" t="s">
        <v>33</v>
      </c>
      <c r="C2013">
        <v>46036</v>
      </c>
      <c r="D2013">
        <v>442.81</v>
      </c>
      <c r="E2013">
        <v>443.91</v>
      </c>
      <c r="F2013">
        <v>434.22</v>
      </c>
      <c r="G2013">
        <v>439.2</v>
      </c>
      <c r="H2013">
        <v>447.2</v>
      </c>
    </row>
    <row r="2014" spans="1:8" x14ac:dyDescent="0.3">
      <c r="A2014" t="s">
        <v>2101</v>
      </c>
      <c r="B2014" t="s">
        <v>33</v>
      </c>
      <c r="C2014">
        <v>46037</v>
      </c>
      <c r="D2014">
        <v>441.125</v>
      </c>
      <c r="E2014">
        <v>445.36</v>
      </c>
      <c r="F2014">
        <v>437.65</v>
      </c>
      <c r="G2014">
        <v>438.57</v>
      </c>
      <c r="H2014">
        <v>439.2</v>
      </c>
    </row>
    <row r="2015" spans="1:8" x14ac:dyDescent="0.3">
      <c r="A2015" t="s">
        <v>2102</v>
      </c>
      <c r="B2015" t="s">
        <v>33</v>
      </c>
      <c r="C2015">
        <v>46038</v>
      </c>
      <c r="D2015">
        <v>439.5</v>
      </c>
      <c r="E2015">
        <v>447.25</v>
      </c>
      <c r="F2015">
        <v>435.26010000000002</v>
      </c>
      <c r="G2015">
        <v>437.5</v>
      </c>
      <c r="H2015">
        <v>438.57</v>
      </c>
    </row>
    <row r="2016" spans="1:8" x14ac:dyDescent="0.3">
      <c r="A2016" t="s">
        <v>2103</v>
      </c>
      <c r="B2016" t="s">
        <v>33</v>
      </c>
      <c r="C2016">
        <v>46042</v>
      </c>
      <c r="D2016">
        <v>429.36</v>
      </c>
      <c r="E2016">
        <v>430.72500000000002</v>
      </c>
      <c r="F2016">
        <v>417.44</v>
      </c>
      <c r="G2016">
        <v>419.25</v>
      </c>
      <c r="H2016">
        <v>437.5</v>
      </c>
    </row>
    <row r="2017" spans="1:8" x14ac:dyDescent="0.3">
      <c r="A2017" t="s">
        <v>2104</v>
      </c>
      <c r="B2017" t="s">
        <v>33</v>
      </c>
      <c r="C2017">
        <v>46043</v>
      </c>
      <c r="D2017">
        <v>421.66</v>
      </c>
      <c r="E2017">
        <v>438.2</v>
      </c>
      <c r="F2017">
        <v>419.62009999999998</v>
      </c>
      <c r="G2017">
        <v>431.44</v>
      </c>
      <c r="H2017">
        <v>419.25</v>
      </c>
    </row>
    <row r="2018" spans="1:8" x14ac:dyDescent="0.3">
      <c r="A2018" t="s">
        <v>2105</v>
      </c>
      <c r="B2018" t="s">
        <v>33</v>
      </c>
      <c r="C2018">
        <v>46044</v>
      </c>
      <c r="D2018">
        <v>435.16</v>
      </c>
      <c r="E2018">
        <v>449.5</v>
      </c>
      <c r="F2018">
        <v>432.6293</v>
      </c>
      <c r="G2018">
        <v>449.36</v>
      </c>
      <c r="H2018">
        <v>431.44</v>
      </c>
    </row>
    <row r="2019" spans="1:8" x14ac:dyDescent="0.3">
      <c r="A2019" t="s">
        <v>2106</v>
      </c>
      <c r="B2019" t="s">
        <v>33</v>
      </c>
      <c r="C2019">
        <v>46045</v>
      </c>
      <c r="D2019">
        <v>447.42500000000001</v>
      </c>
      <c r="E2019">
        <v>452.43</v>
      </c>
      <c r="F2019">
        <v>444.04</v>
      </c>
      <c r="G2019">
        <v>449.06</v>
      </c>
      <c r="H2019">
        <v>449.36</v>
      </c>
    </row>
    <row r="2020" spans="1:8" x14ac:dyDescent="0.3">
      <c r="A2020" t="s">
        <v>2107</v>
      </c>
      <c r="B2020" t="s">
        <v>33</v>
      </c>
      <c r="C2020">
        <v>46048</v>
      </c>
      <c r="D2020">
        <v>445</v>
      </c>
      <c r="E2020">
        <v>445.04</v>
      </c>
      <c r="F2020">
        <v>434.28</v>
      </c>
      <c r="G2020">
        <v>435.2</v>
      </c>
      <c r="H2020">
        <v>449.06</v>
      </c>
    </row>
    <row r="2021" spans="1:8" x14ac:dyDescent="0.3">
      <c r="A2021" t="s">
        <v>2108</v>
      </c>
      <c r="B2021" t="s">
        <v>33</v>
      </c>
      <c r="C2021">
        <v>46049</v>
      </c>
      <c r="D2021">
        <v>437.41</v>
      </c>
      <c r="E2021">
        <v>437.52</v>
      </c>
      <c r="F2021">
        <v>430.69</v>
      </c>
      <c r="G2021">
        <v>430.9</v>
      </c>
      <c r="H2021">
        <v>435.2</v>
      </c>
    </row>
    <row r="2022" spans="1:8" x14ac:dyDescent="0.3">
      <c r="A2022" t="s">
        <v>2109</v>
      </c>
      <c r="B2022" t="s">
        <v>33</v>
      </c>
      <c r="C2022">
        <v>46050</v>
      </c>
      <c r="D2022">
        <v>431.91</v>
      </c>
      <c r="E2022">
        <v>438.26</v>
      </c>
      <c r="F2022">
        <v>430.1</v>
      </c>
      <c r="G2022">
        <v>431.46</v>
      </c>
      <c r="H2022">
        <v>430.9</v>
      </c>
    </row>
    <row r="2023" spans="1:8" x14ac:dyDescent="0.3">
      <c r="A2023" t="s">
        <v>2110</v>
      </c>
      <c r="B2023" t="s">
        <v>33</v>
      </c>
      <c r="C2023">
        <v>46051</v>
      </c>
      <c r="D2023">
        <v>437.8</v>
      </c>
      <c r="E2023">
        <v>440.22989999999999</v>
      </c>
      <c r="F2023">
        <v>414.62</v>
      </c>
      <c r="G2023">
        <v>416.56</v>
      </c>
      <c r="H2023">
        <v>431.46</v>
      </c>
    </row>
    <row r="2024" spans="1:8" x14ac:dyDescent="0.3">
      <c r="A2024" t="s">
        <v>2111</v>
      </c>
      <c r="B2024" t="s">
        <v>33</v>
      </c>
      <c r="C2024">
        <v>46052</v>
      </c>
      <c r="D2024">
        <v>425.35</v>
      </c>
      <c r="E2024">
        <v>439.88</v>
      </c>
      <c r="F2024">
        <v>422.7</v>
      </c>
      <c r="G2024">
        <v>430.41</v>
      </c>
      <c r="H2024">
        <v>416.56</v>
      </c>
    </row>
    <row r="2025" spans="1:8" x14ac:dyDescent="0.3">
      <c r="A2025" t="s">
        <v>2112</v>
      </c>
      <c r="B2025" t="s">
        <v>33</v>
      </c>
      <c r="C2025">
        <v>46055</v>
      </c>
      <c r="D2025">
        <v>421.29</v>
      </c>
      <c r="E2025">
        <v>427.15</v>
      </c>
      <c r="F2025">
        <v>414.5</v>
      </c>
      <c r="G2025">
        <v>421.81</v>
      </c>
      <c r="H2025">
        <v>430.41</v>
      </c>
    </row>
    <row r="2026" spans="1:8" x14ac:dyDescent="0.3">
      <c r="A2026" t="s">
        <v>2113</v>
      </c>
      <c r="B2026" t="s">
        <v>33</v>
      </c>
      <c r="C2026">
        <v>46056</v>
      </c>
      <c r="D2026">
        <v>424.27</v>
      </c>
      <c r="E2026">
        <v>428.56</v>
      </c>
      <c r="F2026">
        <v>413.69009999999997</v>
      </c>
      <c r="G2026">
        <v>421.96</v>
      </c>
      <c r="H2026">
        <v>421.81</v>
      </c>
    </row>
    <row r="2027" spans="1:8" x14ac:dyDescent="0.3">
      <c r="A2027" t="s">
        <v>2114</v>
      </c>
      <c r="B2027" t="s">
        <v>33</v>
      </c>
      <c r="C2027">
        <v>46057</v>
      </c>
      <c r="D2027">
        <v>420.46</v>
      </c>
      <c r="E2027">
        <v>423.9</v>
      </c>
      <c r="F2027">
        <v>399.18</v>
      </c>
      <c r="G2027">
        <v>406.01</v>
      </c>
      <c r="H2027">
        <v>421.96</v>
      </c>
    </row>
    <row r="2028" spans="1:8" x14ac:dyDescent="0.3">
      <c r="A2028" t="s">
        <v>2115</v>
      </c>
      <c r="B2028" t="s">
        <v>33</v>
      </c>
      <c r="C2028">
        <v>46058</v>
      </c>
      <c r="D2028">
        <v>397.01499999999999</v>
      </c>
      <c r="E2028">
        <v>402.1</v>
      </c>
      <c r="F2028">
        <v>387.53089999999997</v>
      </c>
      <c r="G2028">
        <v>397.21</v>
      </c>
      <c r="H2028">
        <v>406.01</v>
      </c>
    </row>
    <row r="2029" spans="1:8" x14ac:dyDescent="0.3">
      <c r="A2029" t="s">
        <v>2116</v>
      </c>
      <c r="B2029" t="s">
        <v>33</v>
      </c>
      <c r="C2029">
        <v>46059</v>
      </c>
      <c r="D2029">
        <v>400.87</v>
      </c>
      <c r="E2029">
        <v>414.55</v>
      </c>
      <c r="F2029">
        <v>397.75099999999998</v>
      </c>
      <c r="G2029">
        <v>411.11</v>
      </c>
      <c r="H2029">
        <v>397.21</v>
      </c>
    </row>
    <row r="2030" spans="1:8" x14ac:dyDescent="0.3">
      <c r="A2030" t="s">
        <v>2117</v>
      </c>
      <c r="B2030" t="s">
        <v>33</v>
      </c>
      <c r="C2030">
        <v>46062</v>
      </c>
      <c r="D2030">
        <v>409.90499999999997</v>
      </c>
      <c r="E2030">
        <v>421.25</v>
      </c>
      <c r="F2030">
        <v>407.29</v>
      </c>
      <c r="G2030">
        <v>417.32</v>
      </c>
      <c r="H2030">
        <v>411.11</v>
      </c>
    </row>
    <row r="2031" spans="1:8" x14ac:dyDescent="0.3">
      <c r="A2031" t="s">
        <v>2118</v>
      </c>
      <c r="B2031" t="s">
        <v>33</v>
      </c>
      <c r="C2031">
        <v>46063</v>
      </c>
      <c r="D2031">
        <v>418.08</v>
      </c>
      <c r="E2031">
        <v>427.25</v>
      </c>
      <c r="F2031">
        <v>417</v>
      </c>
      <c r="G2031">
        <v>425.21</v>
      </c>
      <c r="H2031">
        <v>417.32</v>
      </c>
    </row>
    <row r="2032" spans="1:8" x14ac:dyDescent="0.3">
      <c r="A2032" t="s">
        <v>2119</v>
      </c>
      <c r="B2032" t="s">
        <v>33</v>
      </c>
      <c r="C2032">
        <v>46064</v>
      </c>
      <c r="D2032">
        <v>427.95499999999998</v>
      </c>
      <c r="E2032">
        <v>436.35</v>
      </c>
      <c r="F2032">
        <v>420.03</v>
      </c>
      <c r="G2032">
        <v>428.27</v>
      </c>
      <c r="H2032">
        <v>425.21</v>
      </c>
    </row>
    <row r="2033" spans="1:8" x14ac:dyDescent="0.3">
      <c r="A2033" t="s">
        <v>2120</v>
      </c>
      <c r="B2033" t="s">
        <v>33</v>
      </c>
      <c r="C2033">
        <v>46065</v>
      </c>
      <c r="D2033">
        <v>430.3</v>
      </c>
      <c r="E2033">
        <v>436.23</v>
      </c>
      <c r="F2033">
        <v>414</v>
      </c>
      <c r="G2033">
        <v>417.07</v>
      </c>
      <c r="H2033">
        <v>428.27</v>
      </c>
    </row>
    <row r="2034" spans="1:8" x14ac:dyDescent="0.3">
      <c r="A2034" t="s">
        <v>2121</v>
      </c>
      <c r="B2034" t="s">
        <v>33</v>
      </c>
      <c r="C2034">
        <v>46066</v>
      </c>
      <c r="D2034">
        <v>414.30500000000001</v>
      </c>
      <c r="E2034">
        <v>424.06</v>
      </c>
      <c r="F2034">
        <v>410.88</v>
      </c>
      <c r="G2034">
        <v>417.44</v>
      </c>
      <c r="H2034">
        <v>417.07</v>
      </c>
    </row>
    <row r="2035" spans="1:8" x14ac:dyDescent="0.3">
      <c r="A2035" t="s">
        <v>2122</v>
      </c>
      <c r="B2035" t="s">
        <v>33</v>
      </c>
      <c r="C2035">
        <v>46070</v>
      </c>
      <c r="D2035">
        <v>412.36</v>
      </c>
      <c r="E2035">
        <v>413.72</v>
      </c>
      <c r="F2035">
        <v>400.51</v>
      </c>
      <c r="G2035">
        <v>410.63</v>
      </c>
      <c r="H2035">
        <v>417.44</v>
      </c>
    </row>
    <row r="2036" spans="1:8" x14ac:dyDescent="0.3">
      <c r="A2036" t="s">
        <v>2123</v>
      </c>
      <c r="B2036" t="s">
        <v>33</v>
      </c>
      <c r="C2036">
        <v>46071</v>
      </c>
      <c r="D2036">
        <v>411.11</v>
      </c>
      <c r="E2036">
        <v>416.9</v>
      </c>
      <c r="F2036">
        <v>409.58</v>
      </c>
      <c r="G2036">
        <v>411.32</v>
      </c>
      <c r="H2036">
        <v>410.63</v>
      </c>
    </row>
    <row r="2037" spans="1:8" x14ac:dyDescent="0.3">
      <c r="A2037" t="s">
        <v>2124</v>
      </c>
      <c r="B2037" t="s">
        <v>33</v>
      </c>
      <c r="C2037">
        <v>46072</v>
      </c>
      <c r="D2037">
        <v>407.25</v>
      </c>
      <c r="E2037">
        <v>415.24990000000003</v>
      </c>
      <c r="F2037">
        <v>404.11</v>
      </c>
      <c r="G2037">
        <v>411.71</v>
      </c>
      <c r="H2037">
        <v>411.32</v>
      </c>
    </row>
    <row r="2038" spans="1:8" x14ac:dyDescent="0.3">
      <c r="A2038" t="s">
        <v>2125</v>
      </c>
      <c r="B2038" t="s">
        <v>33</v>
      </c>
      <c r="C2038">
        <v>46073</v>
      </c>
      <c r="D2038">
        <v>408.3</v>
      </c>
      <c r="E2038">
        <v>414.7</v>
      </c>
      <c r="F2038">
        <v>405.5</v>
      </c>
      <c r="G2038">
        <v>411.82</v>
      </c>
      <c r="H2038">
        <v>411.71</v>
      </c>
    </row>
    <row r="2039" spans="1:8" x14ac:dyDescent="0.3">
      <c r="A2039" t="s">
        <v>2126</v>
      </c>
      <c r="B2039" t="s">
        <v>33</v>
      </c>
      <c r="C2039">
        <v>46076</v>
      </c>
      <c r="D2039">
        <v>407.28500000000003</v>
      </c>
      <c r="E2039">
        <v>407.7</v>
      </c>
      <c r="F2039">
        <v>394.04</v>
      </c>
      <c r="G2039">
        <v>399.83</v>
      </c>
      <c r="H2039">
        <v>411.82</v>
      </c>
    </row>
    <row r="2040" spans="1:8" x14ac:dyDescent="0.3">
      <c r="A2040" t="s">
        <v>2127</v>
      </c>
      <c r="B2040" t="s">
        <v>33</v>
      </c>
      <c r="C2040">
        <v>46077</v>
      </c>
      <c r="D2040">
        <v>399.5</v>
      </c>
      <c r="E2040">
        <v>410.82</v>
      </c>
      <c r="F2040">
        <v>397.64</v>
      </c>
      <c r="G2040">
        <v>409.38</v>
      </c>
      <c r="H2040">
        <v>399.83</v>
      </c>
    </row>
  </sheetData>
  <mergeCells count="1">
    <mergeCell ref="A1:H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4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5" width="10" customWidth="1"/>
    <col min="6" max="6" width="16" customWidth="1"/>
    <col min="7" max="10" width="12" customWidth="1"/>
    <col min="11" max="11" width="14" customWidth="1"/>
    <col min="12" max="12" width="10" customWidth="1"/>
    <col min="13" max="13" width="26" customWidth="1"/>
    <col min="14" max="19" width="8" customWidth="1"/>
  </cols>
  <sheetData>
    <row r="1" spans="1:19" ht="22.35" customHeight="1" x14ac:dyDescent="0.3">
      <c r="A1" s="19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9" x14ac:dyDescent="0.3">
      <c r="A2" s="21" t="s">
        <v>54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1:19" ht="28.8" x14ac:dyDescent="0.3">
      <c r="A4" s="1" t="s">
        <v>55</v>
      </c>
      <c r="B4" s="1" t="s">
        <v>18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36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</row>
    <row r="5" spans="1:19" x14ac:dyDescent="0.3">
      <c r="A5" s="7"/>
      <c r="B5" s="8"/>
      <c r="C5" s="9" t="str">
        <f>IFERROR(INDEX(tblEarningsRaw[EPS_Actual],MATCH($N5,tblEarningsRaw[Key],0)),"")</f>
        <v/>
      </c>
      <c r="D5" s="9" t="str">
        <f>IFERROR(INDEX(tblEarningsRaw[EPS_Estimate],MATCH($N5,tblEarningsRaw[Key],0)),"")</f>
        <v/>
      </c>
      <c r="E5" s="10" t="str">
        <f t="shared" ref="E5:E36" si="0">IF(AND(C5&lt;&gt;"",D5&lt;&gt;""), (C5-D5)/ABS(D5), "")</f>
        <v/>
      </c>
      <c r="F5" s="8"/>
      <c r="G5" s="10" t="str">
        <f t="shared" ref="G5:G36" si="1">IF(AND($O5&lt;&gt;"",$S5&lt;&gt;""), ($O5-$S5)/$S5, "")</f>
        <v/>
      </c>
      <c r="H5" s="10" t="str">
        <f t="shared" ref="H5:H36" si="2">IF(AND($R5&lt;&gt;"",$S5&lt;&gt;""), ($R5-$S5)/$S5, "")</f>
        <v/>
      </c>
      <c r="I5" s="10" t="str">
        <f t="shared" ref="I5:I36" si="3">IF(AND($P5&lt;&gt;"",$Q5&lt;&gt;"",$S5&lt;&gt;""), ($P5-$Q5)/$S5, "")</f>
        <v/>
      </c>
      <c r="J5" s="11" t="str">
        <f t="shared" ref="J5:J36" si="4">IF(OR(E5="",H5=""),"",IF(AND(E5&gt;0,H5&gt;0),"利好确认",IF(AND(E5&gt;0,H5&lt;=0),"利好不涨",IF(AND(E5&lt;0,H5&lt;0),"利空确认",IF(AND(E5&lt;0,H5&gt;=0),"利空不跌","中性")))))</f>
        <v/>
      </c>
      <c r="K5" s="10" t="str">
        <f t="shared" ref="K5:K36" si="5">IF(A5="", "", IFERROR(COUNTIFS($A$5:$A$204,A5,$H$5:$H$204,"&gt;0")/COUNTIF($A$5:$A$204,A5),""))</f>
        <v/>
      </c>
      <c r="L5" s="12" t="str">
        <f t="shared" ref="L5:L36" si="6">IF(A5="", "", IF(E5&gt;0.05,1,0) + IF(F5=1,1,0) + IF(H5&gt;0.03,1,0) - IF(J5="利好不涨",2,0) + IF(J5="利空不跌",2,0))</f>
        <v/>
      </c>
      <c r="M5" s="3"/>
      <c r="N5" s="11" t="str">
        <f t="shared" ref="N5:N36" si="7">IF(AND(A5&lt;&gt;"",B5&lt;&gt;""),B5&amp;"|"&amp;TEXT(A5,"yyyy-mm-dd"),"")</f>
        <v/>
      </c>
      <c r="O5" s="11" t="str">
        <f>IFERROR(INDEX(tblPricesRaw[Open],MATCH($N5,tblPricesRaw[Key],0)),"")</f>
        <v/>
      </c>
      <c r="P5" s="11" t="str">
        <f>IFERROR(INDEX(tblPricesRaw[High],MATCH($N5,tblPricesRaw[Key],0)),"")</f>
        <v/>
      </c>
      <c r="Q5" s="11" t="str">
        <f>IFERROR(INDEX(tblPricesRaw[Low],MATCH($N5,tblPricesRaw[Key],0)),"")</f>
        <v/>
      </c>
      <c r="R5" s="11" t="str">
        <f>IFERROR(INDEX(tblPricesRaw[Close],MATCH($N5,tblPricesRaw[Key],0)),"")</f>
        <v/>
      </c>
      <c r="S5" s="11" t="str">
        <f>IFERROR(INDEX(tblPricesRaw[PrevClose],MATCH($N5,tblPricesRaw[Key],0)),"")</f>
        <v/>
      </c>
    </row>
    <row r="6" spans="1:19" x14ac:dyDescent="0.3">
      <c r="A6" s="7"/>
      <c r="B6" s="8"/>
      <c r="C6" s="9" t="str">
        <f>IFERROR(INDEX(tblEarningsRaw[EPS_Actual],MATCH($N6,tblEarningsRaw[Key],0)),"")</f>
        <v/>
      </c>
      <c r="D6" s="9" t="str">
        <f>IFERROR(INDEX(tblEarningsRaw[EPS_Estimate],MATCH($N6,tblEarningsRaw[Key],0)),"")</f>
        <v/>
      </c>
      <c r="E6" s="10" t="str">
        <f t="shared" si="0"/>
        <v/>
      </c>
      <c r="F6" s="8"/>
      <c r="G6" s="10" t="str">
        <f t="shared" si="1"/>
        <v/>
      </c>
      <c r="H6" s="10" t="str">
        <f t="shared" si="2"/>
        <v/>
      </c>
      <c r="I6" s="10" t="str">
        <f t="shared" si="3"/>
        <v/>
      </c>
      <c r="J6" s="11" t="str">
        <f t="shared" si="4"/>
        <v/>
      </c>
      <c r="K6" s="10" t="str">
        <f t="shared" si="5"/>
        <v/>
      </c>
      <c r="L6" s="12" t="str">
        <f t="shared" si="6"/>
        <v/>
      </c>
      <c r="M6" s="3"/>
      <c r="N6" s="11" t="str">
        <f t="shared" si="7"/>
        <v/>
      </c>
      <c r="O6" s="11" t="str">
        <f>IFERROR(INDEX(tblPricesRaw[Open],MATCH($N6,tblPricesRaw[Key],0)),"")</f>
        <v/>
      </c>
      <c r="P6" s="11" t="str">
        <f>IFERROR(INDEX(tblPricesRaw[High],MATCH($N6,tblPricesRaw[Key],0)),"")</f>
        <v/>
      </c>
      <c r="Q6" s="11" t="str">
        <f>IFERROR(INDEX(tblPricesRaw[Low],MATCH($N6,tblPricesRaw[Key],0)),"")</f>
        <v/>
      </c>
      <c r="R6" s="11" t="str">
        <f>IFERROR(INDEX(tblPricesRaw[Close],MATCH($N6,tblPricesRaw[Key],0)),"")</f>
        <v/>
      </c>
      <c r="S6" s="11" t="str">
        <f>IFERROR(INDEX(tblPricesRaw[PrevClose],MATCH($N6,tblPricesRaw[Key],0)),"")</f>
        <v/>
      </c>
    </row>
    <row r="7" spans="1:19" x14ac:dyDescent="0.3">
      <c r="A7" s="7"/>
      <c r="B7" s="8"/>
      <c r="C7" s="9" t="str">
        <f>IFERROR(INDEX(tblEarningsRaw[EPS_Actual],MATCH($N7,tblEarningsRaw[Key],0)),"")</f>
        <v/>
      </c>
      <c r="D7" s="9" t="str">
        <f>IFERROR(INDEX(tblEarningsRaw[EPS_Estimate],MATCH($N7,tblEarningsRaw[Key],0)),"")</f>
        <v/>
      </c>
      <c r="E7" s="10" t="str">
        <f t="shared" si="0"/>
        <v/>
      </c>
      <c r="F7" s="8"/>
      <c r="G7" s="10" t="str">
        <f t="shared" si="1"/>
        <v/>
      </c>
      <c r="H7" s="10" t="str">
        <f t="shared" si="2"/>
        <v/>
      </c>
      <c r="I7" s="10" t="str">
        <f t="shared" si="3"/>
        <v/>
      </c>
      <c r="J7" s="11" t="str">
        <f t="shared" si="4"/>
        <v/>
      </c>
      <c r="K7" s="10" t="str">
        <f t="shared" si="5"/>
        <v/>
      </c>
      <c r="L7" s="12" t="str">
        <f t="shared" si="6"/>
        <v/>
      </c>
      <c r="M7" s="3"/>
      <c r="N7" s="11" t="str">
        <f t="shared" si="7"/>
        <v/>
      </c>
      <c r="O7" s="11" t="str">
        <f>IFERROR(INDEX(tblPricesRaw[Open],MATCH($N7,tblPricesRaw[Key],0)),"")</f>
        <v/>
      </c>
      <c r="P7" s="11" t="str">
        <f>IFERROR(INDEX(tblPricesRaw[High],MATCH($N7,tblPricesRaw[Key],0)),"")</f>
        <v/>
      </c>
      <c r="Q7" s="11" t="str">
        <f>IFERROR(INDEX(tblPricesRaw[Low],MATCH($N7,tblPricesRaw[Key],0)),"")</f>
        <v/>
      </c>
      <c r="R7" s="11" t="str">
        <f>IFERROR(INDEX(tblPricesRaw[Close],MATCH($N7,tblPricesRaw[Key],0)),"")</f>
        <v/>
      </c>
      <c r="S7" s="11" t="str">
        <f>IFERROR(INDEX(tblPricesRaw[PrevClose],MATCH($N7,tblPricesRaw[Key],0)),"")</f>
        <v/>
      </c>
    </row>
    <row r="8" spans="1:19" x14ac:dyDescent="0.3">
      <c r="A8" s="7"/>
      <c r="B8" s="8"/>
      <c r="C8" s="9" t="str">
        <f>IFERROR(INDEX(tblEarningsRaw[EPS_Actual],MATCH($N8,tblEarningsRaw[Key],0)),"")</f>
        <v/>
      </c>
      <c r="D8" s="9" t="str">
        <f>IFERROR(INDEX(tblEarningsRaw[EPS_Estimate],MATCH($N8,tblEarningsRaw[Key],0)),"")</f>
        <v/>
      </c>
      <c r="E8" s="10" t="str">
        <f t="shared" si="0"/>
        <v/>
      </c>
      <c r="F8" s="8"/>
      <c r="G8" s="10" t="str">
        <f t="shared" si="1"/>
        <v/>
      </c>
      <c r="H8" s="10" t="str">
        <f t="shared" si="2"/>
        <v/>
      </c>
      <c r="I8" s="10" t="str">
        <f t="shared" si="3"/>
        <v/>
      </c>
      <c r="J8" s="11" t="str">
        <f t="shared" si="4"/>
        <v/>
      </c>
      <c r="K8" s="10" t="str">
        <f t="shared" si="5"/>
        <v/>
      </c>
      <c r="L8" s="12" t="str">
        <f t="shared" si="6"/>
        <v/>
      </c>
      <c r="M8" s="3"/>
      <c r="N8" s="11" t="str">
        <f t="shared" si="7"/>
        <v/>
      </c>
      <c r="O8" s="11" t="str">
        <f>IFERROR(INDEX(tblPricesRaw[Open],MATCH($N8,tblPricesRaw[Key],0)),"")</f>
        <v/>
      </c>
      <c r="P8" s="11" t="str">
        <f>IFERROR(INDEX(tblPricesRaw[High],MATCH($N8,tblPricesRaw[Key],0)),"")</f>
        <v/>
      </c>
      <c r="Q8" s="11" t="str">
        <f>IFERROR(INDEX(tblPricesRaw[Low],MATCH($N8,tblPricesRaw[Key],0)),"")</f>
        <v/>
      </c>
      <c r="R8" s="11" t="str">
        <f>IFERROR(INDEX(tblPricesRaw[Close],MATCH($N8,tblPricesRaw[Key],0)),"")</f>
        <v/>
      </c>
      <c r="S8" s="11" t="str">
        <f>IFERROR(INDEX(tblPricesRaw[PrevClose],MATCH($N8,tblPricesRaw[Key],0)),"")</f>
        <v/>
      </c>
    </row>
    <row r="9" spans="1:19" x14ac:dyDescent="0.3">
      <c r="A9" s="7"/>
      <c r="B9" s="8"/>
      <c r="C9" s="9" t="str">
        <f>IFERROR(INDEX(tblEarningsRaw[EPS_Actual],MATCH($N9,tblEarningsRaw[Key],0)),"")</f>
        <v/>
      </c>
      <c r="D9" s="9" t="str">
        <f>IFERROR(INDEX(tblEarningsRaw[EPS_Estimate],MATCH($N9,tblEarningsRaw[Key],0)),"")</f>
        <v/>
      </c>
      <c r="E9" s="10" t="str">
        <f t="shared" si="0"/>
        <v/>
      </c>
      <c r="F9" s="8"/>
      <c r="G9" s="10" t="str">
        <f t="shared" si="1"/>
        <v/>
      </c>
      <c r="H9" s="10" t="str">
        <f t="shared" si="2"/>
        <v/>
      </c>
      <c r="I9" s="10" t="str">
        <f t="shared" si="3"/>
        <v/>
      </c>
      <c r="J9" s="11" t="str">
        <f t="shared" si="4"/>
        <v/>
      </c>
      <c r="K9" s="10" t="str">
        <f t="shared" si="5"/>
        <v/>
      </c>
      <c r="L9" s="12" t="str">
        <f t="shared" si="6"/>
        <v/>
      </c>
      <c r="M9" s="3"/>
      <c r="N9" s="11" t="str">
        <f t="shared" si="7"/>
        <v/>
      </c>
      <c r="O9" s="11" t="str">
        <f>IFERROR(INDEX(tblPricesRaw[Open],MATCH($N9,tblPricesRaw[Key],0)),"")</f>
        <v/>
      </c>
      <c r="P9" s="11" t="str">
        <f>IFERROR(INDEX(tblPricesRaw[High],MATCH($N9,tblPricesRaw[Key],0)),"")</f>
        <v/>
      </c>
      <c r="Q9" s="11" t="str">
        <f>IFERROR(INDEX(tblPricesRaw[Low],MATCH($N9,tblPricesRaw[Key],0)),"")</f>
        <v/>
      </c>
      <c r="R9" s="11" t="str">
        <f>IFERROR(INDEX(tblPricesRaw[Close],MATCH($N9,tblPricesRaw[Key],0)),"")</f>
        <v/>
      </c>
      <c r="S9" s="11" t="str">
        <f>IFERROR(INDEX(tblPricesRaw[PrevClose],MATCH($N9,tblPricesRaw[Key],0)),"")</f>
        <v/>
      </c>
    </row>
    <row r="10" spans="1:19" x14ac:dyDescent="0.3">
      <c r="A10" s="7"/>
      <c r="B10" s="8"/>
      <c r="C10" s="9" t="str">
        <f>IFERROR(INDEX(tblEarningsRaw[EPS_Actual],MATCH($N10,tblEarningsRaw[Key],0)),"")</f>
        <v/>
      </c>
      <c r="D10" s="9" t="str">
        <f>IFERROR(INDEX(tblEarningsRaw[EPS_Estimate],MATCH($N10,tblEarningsRaw[Key],0)),"")</f>
        <v/>
      </c>
      <c r="E10" s="10" t="str">
        <f t="shared" si="0"/>
        <v/>
      </c>
      <c r="F10" s="8"/>
      <c r="G10" s="10" t="str">
        <f t="shared" si="1"/>
        <v/>
      </c>
      <c r="H10" s="10" t="str">
        <f t="shared" si="2"/>
        <v/>
      </c>
      <c r="I10" s="10" t="str">
        <f t="shared" si="3"/>
        <v/>
      </c>
      <c r="J10" s="11" t="str">
        <f t="shared" si="4"/>
        <v/>
      </c>
      <c r="K10" s="10" t="str">
        <f t="shared" si="5"/>
        <v/>
      </c>
      <c r="L10" s="12" t="str">
        <f t="shared" si="6"/>
        <v/>
      </c>
      <c r="M10" s="3"/>
      <c r="N10" s="11" t="str">
        <f t="shared" si="7"/>
        <v/>
      </c>
      <c r="O10" s="11" t="str">
        <f>IFERROR(INDEX(tblPricesRaw[Open],MATCH($N10,tblPricesRaw[Key],0)),"")</f>
        <v/>
      </c>
      <c r="P10" s="11" t="str">
        <f>IFERROR(INDEX(tblPricesRaw[High],MATCH($N10,tblPricesRaw[Key],0)),"")</f>
        <v/>
      </c>
      <c r="Q10" s="11" t="str">
        <f>IFERROR(INDEX(tblPricesRaw[Low],MATCH($N10,tblPricesRaw[Key],0)),"")</f>
        <v/>
      </c>
      <c r="R10" s="11" t="str">
        <f>IFERROR(INDEX(tblPricesRaw[Close],MATCH($N10,tblPricesRaw[Key],0)),"")</f>
        <v/>
      </c>
      <c r="S10" s="11" t="str">
        <f>IFERROR(INDEX(tblPricesRaw[PrevClose],MATCH($N10,tblPricesRaw[Key],0)),"")</f>
        <v/>
      </c>
    </row>
    <row r="11" spans="1:19" x14ac:dyDescent="0.3">
      <c r="A11" s="7"/>
      <c r="B11" s="8"/>
      <c r="C11" s="9" t="str">
        <f>IFERROR(INDEX(tblEarningsRaw[EPS_Actual],MATCH($N11,tblEarningsRaw[Key],0)),"")</f>
        <v/>
      </c>
      <c r="D11" s="9" t="str">
        <f>IFERROR(INDEX(tblEarningsRaw[EPS_Estimate],MATCH($N11,tblEarningsRaw[Key],0)),"")</f>
        <v/>
      </c>
      <c r="E11" s="10" t="str">
        <f t="shared" si="0"/>
        <v/>
      </c>
      <c r="F11" s="8"/>
      <c r="G11" s="10" t="str">
        <f t="shared" si="1"/>
        <v/>
      </c>
      <c r="H11" s="10" t="str">
        <f t="shared" si="2"/>
        <v/>
      </c>
      <c r="I11" s="10" t="str">
        <f t="shared" si="3"/>
        <v/>
      </c>
      <c r="J11" s="11" t="str">
        <f t="shared" si="4"/>
        <v/>
      </c>
      <c r="K11" s="10" t="str">
        <f t="shared" si="5"/>
        <v/>
      </c>
      <c r="L11" s="12" t="str">
        <f t="shared" si="6"/>
        <v/>
      </c>
      <c r="M11" s="3"/>
      <c r="N11" s="11" t="str">
        <f t="shared" si="7"/>
        <v/>
      </c>
      <c r="O11" s="11" t="str">
        <f>IFERROR(INDEX(tblPricesRaw[Open],MATCH($N11,tblPricesRaw[Key],0)),"")</f>
        <v/>
      </c>
      <c r="P11" s="11" t="str">
        <f>IFERROR(INDEX(tblPricesRaw[High],MATCH($N11,tblPricesRaw[Key],0)),"")</f>
        <v/>
      </c>
      <c r="Q11" s="11" t="str">
        <f>IFERROR(INDEX(tblPricesRaw[Low],MATCH($N11,tblPricesRaw[Key],0)),"")</f>
        <v/>
      </c>
      <c r="R11" s="11" t="str">
        <f>IFERROR(INDEX(tblPricesRaw[Close],MATCH($N11,tblPricesRaw[Key],0)),"")</f>
        <v/>
      </c>
      <c r="S11" s="11" t="str">
        <f>IFERROR(INDEX(tblPricesRaw[PrevClose],MATCH($N11,tblPricesRaw[Key],0)),"")</f>
        <v/>
      </c>
    </row>
    <row r="12" spans="1:19" x14ac:dyDescent="0.3">
      <c r="A12" s="7"/>
      <c r="B12" s="8"/>
      <c r="C12" s="9" t="str">
        <f>IFERROR(INDEX(tblEarningsRaw[EPS_Actual],MATCH($N12,tblEarningsRaw[Key],0)),"")</f>
        <v/>
      </c>
      <c r="D12" s="9" t="str">
        <f>IFERROR(INDEX(tblEarningsRaw[EPS_Estimate],MATCH($N12,tblEarningsRaw[Key],0)),"")</f>
        <v/>
      </c>
      <c r="E12" s="10" t="str">
        <f t="shared" si="0"/>
        <v/>
      </c>
      <c r="F12" s="8"/>
      <c r="G12" s="10" t="str">
        <f t="shared" si="1"/>
        <v/>
      </c>
      <c r="H12" s="10" t="str">
        <f t="shared" si="2"/>
        <v/>
      </c>
      <c r="I12" s="10" t="str">
        <f t="shared" si="3"/>
        <v/>
      </c>
      <c r="J12" s="11" t="str">
        <f t="shared" si="4"/>
        <v/>
      </c>
      <c r="K12" s="10" t="str">
        <f t="shared" si="5"/>
        <v/>
      </c>
      <c r="L12" s="12" t="str">
        <f t="shared" si="6"/>
        <v/>
      </c>
      <c r="M12" s="3"/>
      <c r="N12" s="11" t="str">
        <f t="shared" si="7"/>
        <v/>
      </c>
      <c r="O12" s="11" t="str">
        <f>IFERROR(INDEX(tblPricesRaw[Open],MATCH($N12,tblPricesRaw[Key],0)),"")</f>
        <v/>
      </c>
      <c r="P12" s="11" t="str">
        <f>IFERROR(INDEX(tblPricesRaw[High],MATCH($N12,tblPricesRaw[Key],0)),"")</f>
        <v/>
      </c>
      <c r="Q12" s="11" t="str">
        <f>IFERROR(INDEX(tblPricesRaw[Low],MATCH($N12,tblPricesRaw[Key],0)),"")</f>
        <v/>
      </c>
      <c r="R12" s="11" t="str">
        <f>IFERROR(INDEX(tblPricesRaw[Close],MATCH($N12,tblPricesRaw[Key],0)),"")</f>
        <v/>
      </c>
      <c r="S12" s="11" t="str">
        <f>IFERROR(INDEX(tblPricesRaw[PrevClose],MATCH($N12,tblPricesRaw[Key],0)),"")</f>
        <v/>
      </c>
    </row>
    <row r="13" spans="1:19" x14ac:dyDescent="0.3">
      <c r="A13" s="7"/>
      <c r="B13" s="8"/>
      <c r="C13" s="9" t="str">
        <f>IFERROR(INDEX(tblEarningsRaw[EPS_Actual],MATCH($N13,tblEarningsRaw[Key],0)),"")</f>
        <v/>
      </c>
      <c r="D13" s="9" t="str">
        <f>IFERROR(INDEX(tblEarningsRaw[EPS_Estimate],MATCH($N13,tblEarningsRaw[Key],0)),"")</f>
        <v/>
      </c>
      <c r="E13" s="10" t="str">
        <f t="shared" si="0"/>
        <v/>
      </c>
      <c r="F13" s="8"/>
      <c r="G13" s="10" t="str">
        <f t="shared" si="1"/>
        <v/>
      </c>
      <c r="H13" s="10" t="str">
        <f t="shared" si="2"/>
        <v/>
      </c>
      <c r="I13" s="10" t="str">
        <f t="shared" si="3"/>
        <v/>
      </c>
      <c r="J13" s="11" t="str">
        <f t="shared" si="4"/>
        <v/>
      </c>
      <c r="K13" s="10" t="str">
        <f t="shared" si="5"/>
        <v/>
      </c>
      <c r="L13" s="12" t="str">
        <f t="shared" si="6"/>
        <v/>
      </c>
      <c r="M13" s="3"/>
      <c r="N13" s="11" t="str">
        <f t="shared" si="7"/>
        <v/>
      </c>
      <c r="O13" s="11" t="str">
        <f>IFERROR(INDEX(tblPricesRaw[Open],MATCH($N13,tblPricesRaw[Key],0)),"")</f>
        <v/>
      </c>
      <c r="P13" s="11" t="str">
        <f>IFERROR(INDEX(tblPricesRaw[High],MATCH($N13,tblPricesRaw[Key],0)),"")</f>
        <v/>
      </c>
      <c r="Q13" s="11" t="str">
        <f>IFERROR(INDEX(tblPricesRaw[Low],MATCH($N13,tblPricesRaw[Key],0)),"")</f>
        <v/>
      </c>
      <c r="R13" s="11" t="str">
        <f>IFERROR(INDEX(tblPricesRaw[Close],MATCH($N13,tblPricesRaw[Key],0)),"")</f>
        <v/>
      </c>
      <c r="S13" s="11" t="str">
        <f>IFERROR(INDEX(tblPricesRaw[PrevClose],MATCH($N13,tblPricesRaw[Key],0)),"")</f>
        <v/>
      </c>
    </row>
    <row r="14" spans="1:19" x14ac:dyDescent="0.3">
      <c r="A14" s="7"/>
      <c r="B14" s="8"/>
      <c r="C14" s="9" t="str">
        <f>IFERROR(INDEX(tblEarningsRaw[EPS_Actual],MATCH($N14,tblEarningsRaw[Key],0)),"")</f>
        <v/>
      </c>
      <c r="D14" s="9" t="str">
        <f>IFERROR(INDEX(tblEarningsRaw[EPS_Estimate],MATCH($N14,tblEarningsRaw[Key],0)),"")</f>
        <v/>
      </c>
      <c r="E14" s="10" t="str">
        <f t="shared" si="0"/>
        <v/>
      </c>
      <c r="F14" s="8"/>
      <c r="G14" s="10" t="str">
        <f t="shared" si="1"/>
        <v/>
      </c>
      <c r="H14" s="10" t="str">
        <f t="shared" si="2"/>
        <v/>
      </c>
      <c r="I14" s="10" t="str">
        <f t="shared" si="3"/>
        <v/>
      </c>
      <c r="J14" s="11" t="str">
        <f t="shared" si="4"/>
        <v/>
      </c>
      <c r="K14" s="10" t="str">
        <f t="shared" si="5"/>
        <v/>
      </c>
      <c r="L14" s="12" t="str">
        <f t="shared" si="6"/>
        <v/>
      </c>
      <c r="M14" s="3"/>
      <c r="N14" s="11" t="str">
        <f t="shared" si="7"/>
        <v/>
      </c>
      <c r="O14" s="11" t="str">
        <f>IFERROR(INDEX(tblPricesRaw[Open],MATCH($N14,tblPricesRaw[Key],0)),"")</f>
        <v/>
      </c>
      <c r="P14" s="11" t="str">
        <f>IFERROR(INDEX(tblPricesRaw[High],MATCH($N14,tblPricesRaw[Key],0)),"")</f>
        <v/>
      </c>
      <c r="Q14" s="11" t="str">
        <f>IFERROR(INDEX(tblPricesRaw[Low],MATCH($N14,tblPricesRaw[Key],0)),"")</f>
        <v/>
      </c>
      <c r="R14" s="11" t="str">
        <f>IFERROR(INDEX(tblPricesRaw[Close],MATCH($N14,tblPricesRaw[Key],0)),"")</f>
        <v/>
      </c>
      <c r="S14" s="11" t="str">
        <f>IFERROR(INDEX(tblPricesRaw[PrevClose],MATCH($N14,tblPricesRaw[Key],0)),"")</f>
        <v/>
      </c>
    </row>
    <row r="15" spans="1:19" x14ac:dyDescent="0.3">
      <c r="A15" s="7"/>
      <c r="B15" s="8"/>
      <c r="C15" s="9" t="str">
        <f>IFERROR(INDEX(tblEarningsRaw[EPS_Actual],MATCH($N15,tblEarningsRaw[Key],0)),"")</f>
        <v/>
      </c>
      <c r="D15" s="9" t="str">
        <f>IFERROR(INDEX(tblEarningsRaw[EPS_Estimate],MATCH($N15,tblEarningsRaw[Key],0)),"")</f>
        <v/>
      </c>
      <c r="E15" s="10" t="str">
        <f t="shared" si="0"/>
        <v/>
      </c>
      <c r="F15" s="8"/>
      <c r="G15" s="10" t="str">
        <f t="shared" si="1"/>
        <v/>
      </c>
      <c r="H15" s="10" t="str">
        <f t="shared" si="2"/>
        <v/>
      </c>
      <c r="I15" s="10" t="str">
        <f t="shared" si="3"/>
        <v/>
      </c>
      <c r="J15" s="11" t="str">
        <f t="shared" si="4"/>
        <v/>
      </c>
      <c r="K15" s="10" t="str">
        <f t="shared" si="5"/>
        <v/>
      </c>
      <c r="L15" s="12" t="str">
        <f t="shared" si="6"/>
        <v/>
      </c>
      <c r="M15" s="3"/>
      <c r="N15" s="11" t="str">
        <f t="shared" si="7"/>
        <v/>
      </c>
      <c r="O15" s="11" t="str">
        <f>IFERROR(INDEX(tblPricesRaw[Open],MATCH($N15,tblPricesRaw[Key],0)),"")</f>
        <v/>
      </c>
      <c r="P15" s="11" t="str">
        <f>IFERROR(INDEX(tblPricesRaw[High],MATCH($N15,tblPricesRaw[Key],0)),"")</f>
        <v/>
      </c>
      <c r="Q15" s="11" t="str">
        <f>IFERROR(INDEX(tblPricesRaw[Low],MATCH($N15,tblPricesRaw[Key],0)),"")</f>
        <v/>
      </c>
      <c r="R15" s="11" t="str">
        <f>IFERROR(INDEX(tblPricesRaw[Close],MATCH($N15,tblPricesRaw[Key],0)),"")</f>
        <v/>
      </c>
      <c r="S15" s="11" t="str">
        <f>IFERROR(INDEX(tblPricesRaw[PrevClose],MATCH($N15,tblPricesRaw[Key],0)),"")</f>
        <v/>
      </c>
    </row>
    <row r="16" spans="1:19" x14ac:dyDescent="0.3">
      <c r="A16" s="7"/>
      <c r="B16" s="8"/>
      <c r="C16" s="9" t="str">
        <f>IFERROR(INDEX(tblEarningsRaw[EPS_Actual],MATCH($N16,tblEarningsRaw[Key],0)),"")</f>
        <v/>
      </c>
      <c r="D16" s="9" t="str">
        <f>IFERROR(INDEX(tblEarningsRaw[EPS_Estimate],MATCH($N16,tblEarningsRaw[Key],0)),"")</f>
        <v/>
      </c>
      <c r="E16" s="10" t="str">
        <f t="shared" si="0"/>
        <v/>
      </c>
      <c r="F16" s="8"/>
      <c r="G16" s="10" t="str">
        <f t="shared" si="1"/>
        <v/>
      </c>
      <c r="H16" s="10" t="str">
        <f t="shared" si="2"/>
        <v/>
      </c>
      <c r="I16" s="10" t="str">
        <f t="shared" si="3"/>
        <v/>
      </c>
      <c r="J16" s="11" t="str">
        <f t="shared" si="4"/>
        <v/>
      </c>
      <c r="K16" s="10" t="str">
        <f t="shared" si="5"/>
        <v/>
      </c>
      <c r="L16" s="12" t="str">
        <f t="shared" si="6"/>
        <v/>
      </c>
      <c r="M16" s="3"/>
      <c r="N16" s="11" t="str">
        <f t="shared" si="7"/>
        <v/>
      </c>
      <c r="O16" s="11" t="str">
        <f>IFERROR(INDEX(tblPricesRaw[Open],MATCH($N16,tblPricesRaw[Key],0)),"")</f>
        <v/>
      </c>
      <c r="P16" s="11" t="str">
        <f>IFERROR(INDEX(tblPricesRaw[High],MATCH($N16,tblPricesRaw[Key],0)),"")</f>
        <v/>
      </c>
      <c r="Q16" s="11" t="str">
        <f>IFERROR(INDEX(tblPricesRaw[Low],MATCH($N16,tblPricesRaw[Key],0)),"")</f>
        <v/>
      </c>
      <c r="R16" s="11" t="str">
        <f>IFERROR(INDEX(tblPricesRaw[Close],MATCH($N16,tblPricesRaw[Key],0)),"")</f>
        <v/>
      </c>
      <c r="S16" s="11" t="str">
        <f>IFERROR(INDEX(tblPricesRaw[PrevClose],MATCH($N16,tblPricesRaw[Key],0)),"")</f>
        <v/>
      </c>
    </row>
    <row r="17" spans="1:19" x14ac:dyDescent="0.3">
      <c r="A17" s="7"/>
      <c r="B17" s="8"/>
      <c r="C17" s="9" t="str">
        <f>IFERROR(INDEX(tblEarningsRaw[EPS_Actual],MATCH($N17,tblEarningsRaw[Key],0)),"")</f>
        <v/>
      </c>
      <c r="D17" s="9" t="str">
        <f>IFERROR(INDEX(tblEarningsRaw[EPS_Estimate],MATCH($N17,tblEarningsRaw[Key],0)),"")</f>
        <v/>
      </c>
      <c r="E17" s="10" t="str">
        <f t="shared" si="0"/>
        <v/>
      </c>
      <c r="F17" s="8"/>
      <c r="G17" s="10" t="str">
        <f t="shared" si="1"/>
        <v/>
      </c>
      <c r="H17" s="10" t="str">
        <f t="shared" si="2"/>
        <v/>
      </c>
      <c r="I17" s="10" t="str">
        <f t="shared" si="3"/>
        <v/>
      </c>
      <c r="J17" s="11" t="str">
        <f t="shared" si="4"/>
        <v/>
      </c>
      <c r="K17" s="10" t="str">
        <f t="shared" si="5"/>
        <v/>
      </c>
      <c r="L17" s="12" t="str">
        <f t="shared" si="6"/>
        <v/>
      </c>
      <c r="M17" s="3"/>
      <c r="N17" s="11" t="str">
        <f t="shared" si="7"/>
        <v/>
      </c>
      <c r="O17" s="11" t="str">
        <f>IFERROR(INDEX(tblPricesRaw[Open],MATCH($N17,tblPricesRaw[Key],0)),"")</f>
        <v/>
      </c>
      <c r="P17" s="11" t="str">
        <f>IFERROR(INDEX(tblPricesRaw[High],MATCH($N17,tblPricesRaw[Key],0)),"")</f>
        <v/>
      </c>
      <c r="Q17" s="11" t="str">
        <f>IFERROR(INDEX(tblPricesRaw[Low],MATCH($N17,tblPricesRaw[Key],0)),"")</f>
        <v/>
      </c>
      <c r="R17" s="11" t="str">
        <f>IFERROR(INDEX(tblPricesRaw[Close],MATCH($N17,tblPricesRaw[Key],0)),"")</f>
        <v/>
      </c>
      <c r="S17" s="11" t="str">
        <f>IFERROR(INDEX(tblPricesRaw[PrevClose],MATCH($N17,tblPricesRaw[Key],0)),"")</f>
        <v/>
      </c>
    </row>
    <row r="18" spans="1:19" x14ac:dyDescent="0.3">
      <c r="A18" s="7"/>
      <c r="B18" s="8"/>
      <c r="C18" s="9" t="str">
        <f>IFERROR(INDEX(tblEarningsRaw[EPS_Actual],MATCH($N18,tblEarningsRaw[Key],0)),"")</f>
        <v/>
      </c>
      <c r="D18" s="9" t="str">
        <f>IFERROR(INDEX(tblEarningsRaw[EPS_Estimate],MATCH($N18,tblEarningsRaw[Key],0)),"")</f>
        <v/>
      </c>
      <c r="E18" s="10" t="str">
        <f t="shared" si="0"/>
        <v/>
      </c>
      <c r="F18" s="8"/>
      <c r="G18" s="10" t="str">
        <f t="shared" si="1"/>
        <v/>
      </c>
      <c r="H18" s="10" t="str">
        <f t="shared" si="2"/>
        <v/>
      </c>
      <c r="I18" s="10" t="str">
        <f t="shared" si="3"/>
        <v/>
      </c>
      <c r="J18" s="11" t="str">
        <f t="shared" si="4"/>
        <v/>
      </c>
      <c r="K18" s="10" t="str">
        <f t="shared" si="5"/>
        <v/>
      </c>
      <c r="L18" s="12" t="str">
        <f t="shared" si="6"/>
        <v/>
      </c>
      <c r="M18" s="3"/>
      <c r="N18" s="11" t="str">
        <f t="shared" si="7"/>
        <v/>
      </c>
      <c r="O18" s="11" t="str">
        <f>IFERROR(INDEX(tblPricesRaw[Open],MATCH($N18,tblPricesRaw[Key],0)),"")</f>
        <v/>
      </c>
      <c r="P18" s="11" t="str">
        <f>IFERROR(INDEX(tblPricesRaw[High],MATCH($N18,tblPricesRaw[Key],0)),"")</f>
        <v/>
      </c>
      <c r="Q18" s="11" t="str">
        <f>IFERROR(INDEX(tblPricesRaw[Low],MATCH($N18,tblPricesRaw[Key],0)),"")</f>
        <v/>
      </c>
      <c r="R18" s="11" t="str">
        <f>IFERROR(INDEX(tblPricesRaw[Close],MATCH($N18,tblPricesRaw[Key],0)),"")</f>
        <v/>
      </c>
      <c r="S18" s="11" t="str">
        <f>IFERROR(INDEX(tblPricesRaw[PrevClose],MATCH($N18,tblPricesRaw[Key],0)),"")</f>
        <v/>
      </c>
    </row>
    <row r="19" spans="1:19" x14ac:dyDescent="0.3">
      <c r="A19" s="7"/>
      <c r="B19" s="8"/>
      <c r="C19" s="9" t="str">
        <f>IFERROR(INDEX(tblEarningsRaw[EPS_Actual],MATCH($N19,tblEarningsRaw[Key],0)),"")</f>
        <v/>
      </c>
      <c r="D19" s="9" t="str">
        <f>IFERROR(INDEX(tblEarningsRaw[EPS_Estimate],MATCH($N19,tblEarningsRaw[Key],0)),"")</f>
        <v/>
      </c>
      <c r="E19" s="10" t="str">
        <f t="shared" si="0"/>
        <v/>
      </c>
      <c r="F19" s="8"/>
      <c r="G19" s="10" t="str">
        <f t="shared" si="1"/>
        <v/>
      </c>
      <c r="H19" s="10" t="str">
        <f t="shared" si="2"/>
        <v/>
      </c>
      <c r="I19" s="10" t="str">
        <f t="shared" si="3"/>
        <v/>
      </c>
      <c r="J19" s="11" t="str">
        <f t="shared" si="4"/>
        <v/>
      </c>
      <c r="K19" s="10" t="str">
        <f t="shared" si="5"/>
        <v/>
      </c>
      <c r="L19" s="12" t="str">
        <f t="shared" si="6"/>
        <v/>
      </c>
      <c r="M19" s="3"/>
      <c r="N19" s="11" t="str">
        <f t="shared" si="7"/>
        <v/>
      </c>
      <c r="O19" s="11" t="str">
        <f>IFERROR(INDEX(tblPricesRaw[Open],MATCH($N19,tblPricesRaw[Key],0)),"")</f>
        <v/>
      </c>
      <c r="P19" s="11" t="str">
        <f>IFERROR(INDEX(tblPricesRaw[High],MATCH($N19,tblPricesRaw[Key],0)),"")</f>
        <v/>
      </c>
      <c r="Q19" s="11" t="str">
        <f>IFERROR(INDEX(tblPricesRaw[Low],MATCH($N19,tblPricesRaw[Key],0)),"")</f>
        <v/>
      </c>
      <c r="R19" s="11" t="str">
        <f>IFERROR(INDEX(tblPricesRaw[Close],MATCH($N19,tblPricesRaw[Key],0)),"")</f>
        <v/>
      </c>
      <c r="S19" s="11" t="str">
        <f>IFERROR(INDEX(tblPricesRaw[PrevClose],MATCH($N19,tblPricesRaw[Key],0)),"")</f>
        <v/>
      </c>
    </row>
    <row r="20" spans="1:19" x14ac:dyDescent="0.3">
      <c r="A20" s="7"/>
      <c r="B20" s="8"/>
      <c r="C20" s="9" t="str">
        <f>IFERROR(INDEX(tblEarningsRaw[EPS_Actual],MATCH($N20,tblEarningsRaw[Key],0)),"")</f>
        <v/>
      </c>
      <c r="D20" s="9" t="str">
        <f>IFERROR(INDEX(tblEarningsRaw[EPS_Estimate],MATCH($N20,tblEarningsRaw[Key],0)),"")</f>
        <v/>
      </c>
      <c r="E20" s="10" t="str">
        <f t="shared" si="0"/>
        <v/>
      </c>
      <c r="F20" s="8"/>
      <c r="G20" s="10" t="str">
        <f t="shared" si="1"/>
        <v/>
      </c>
      <c r="H20" s="10" t="str">
        <f t="shared" si="2"/>
        <v/>
      </c>
      <c r="I20" s="10" t="str">
        <f t="shared" si="3"/>
        <v/>
      </c>
      <c r="J20" s="11" t="str">
        <f t="shared" si="4"/>
        <v/>
      </c>
      <c r="K20" s="10" t="str">
        <f t="shared" si="5"/>
        <v/>
      </c>
      <c r="L20" s="12" t="str">
        <f t="shared" si="6"/>
        <v/>
      </c>
      <c r="M20" s="3"/>
      <c r="N20" s="11" t="str">
        <f t="shared" si="7"/>
        <v/>
      </c>
      <c r="O20" s="11" t="str">
        <f>IFERROR(INDEX(tblPricesRaw[Open],MATCH($N20,tblPricesRaw[Key],0)),"")</f>
        <v/>
      </c>
      <c r="P20" s="11" t="str">
        <f>IFERROR(INDEX(tblPricesRaw[High],MATCH($N20,tblPricesRaw[Key],0)),"")</f>
        <v/>
      </c>
      <c r="Q20" s="11" t="str">
        <f>IFERROR(INDEX(tblPricesRaw[Low],MATCH($N20,tblPricesRaw[Key],0)),"")</f>
        <v/>
      </c>
      <c r="R20" s="11" t="str">
        <f>IFERROR(INDEX(tblPricesRaw[Close],MATCH($N20,tblPricesRaw[Key],0)),"")</f>
        <v/>
      </c>
      <c r="S20" s="11" t="str">
        <f>IFERROR(INDEX(tblPricesRaw[PrevClose],MATCH($N20,tblPricesRaw[Key],0)),"")</f>
        <v/>
      </c>
    </row>
    <row r="21" spans="1:19" x14ac:dyDescent="0.3">
      <c r="A21" s="7"/>
      <c r="B21" s="8"/>
      <c r="C21" s="9" t="str">
        <f>IFERROR(INDEX(tblEarningsRaw[EPS_Actual],MATCH($N21,tblEarningsRaw[Key],0)),"")</f>
        <v/>
      </c>
      <c r="D21" s="9" t="str">
        <f>IFERROR(INDEX(tblEarningsRaw[EPS_Estimate],MATCH($N21,tblEarningsRaw[Key],0)),"")</f>
        <v/>
      </c>
      <c r="E21" s="10" t="str">
        <f t="shared" si="0"/>
        <v/>
      </c>
      <c r="F21" s="8"/>
      <c r="G21" s="10" t="str">
        <f t="shared" si="1"/>
        <v/>
      </c>
      <c r="H21" s="10" t="str">
        <f t="shared" si="2"/>
        <v/>
      </c>
      <c r="I21" s="10" t="str">
        <f t="shared" si="3"/>
        <v/>
      </c>
      <c r="J21" s="11" t="str">
        <f t="shared" si="4"/>
        <v/>
      </c>
      <c r="K21" s="10" t="str">
        <f t="shared" si="5"/>
        <v/>
      </c>
      <c r="L21" s="12" t="str">
        <f t="shared" si="6"/>
        <v/>
      </c>
      <c r="M21" s="3"/>
      <c r="N21" s="11" t="str">
        <f t="shared" si="7"/>
        <v/>
      </c>
      <c r="O21" s="11" t="str">
        <f>IFERROR(INDEX(tblPricesRaw[Open],MATCH($N21,tblPricesRaw[Key],0)),"")</f>
        <v/>
      </c>
      <c r="P21" s="11" t="str">
        <f>IFERROR(INDEX(tblPricesRaw[High],MATCH($N21,tblPricesRaw[Key],0)),"")</f>
        <v/>
      </c>
      <c r="Q21" s="11" t="str">
        <f>IFERROR(INDEX(tblPricesRaw[Low],MATCH($N21,tblPricesRaw[Key],0)),"")</f>
        <v/>
      </c>
      <c r="R21" s="11" t="str">
        <f>IFERROR(INDEX(tblPricesRaw[Close],MATCH($N21,tblPricesRaw[Key],0)),"")</f>
        <v/>
      </c>
      <c r="S21" s="11" t="str">
        <f>IFERROR(INDEX(tblPricesRaw[PrevClose],MATCH($N21,tblPricesRaw[Key],0)),"")</f>
        <v/>
      </c>
    </row>
    <row r="22" spans="1:19" x14ac:dyDescent="0.3">
      <c r="A22" s="7"/>
      <c r="B22" s="8"/>
      <c r="C22" s="9" t="str">
        <f>IFERROR(INDEX(tblEarningsRaw[EPS_Actual],MATCH($N22,tblEarningsRaw[Key],0)),"")</f>
        <v/>
      </c>
      <c r="D22" s="9" t="str">
        <f>IFERROR(INDEX(tblEarningsRaw[EPS_Estimate],MATCH($N22,tblEarningsRaw[Key],0)),"")</f>
        <v/>
      </c>
      <c r="E22" s="10" t="str">
        <f t="shared" si="0"/>
        <v/>
      </c>
      <c r="F22" s="8"/>
      <c r="G22" s="10" t="str">
        <f t="shared" si="1"/>
        <v/>
      </c>
      <c r="H22" s="10" t="str">
        <f t="shared" si="2"/>
        <v/>
      </c>
      <c r="I22" s="10" t="str">
        <f t="shared" si="3"/>
        <v/>
      </c>
      <c r="J22" s="11" t="str">
        <f t="shared" si="4"/>
        <v/>
      </c>
      <c r="K22" s="10" t="str">
        <f t="shared" si="5"/>
        <v/>
      </c>
      <c r="L22" s="12" t="str">
        <f t="shared" si="6"/>
        <v/>
      </c>
      <c r="M22" s="3"/>
      <c r="N22" s="11" t="str">
        <f t="shared" si="7"/>
        <v/>
      </c>
      <c r="O22" s="11" t="str">
        <f>IFERROR(INDEX(tblPricesRaw[Open],MATCH($N22,tblPricesRaw[Key],0)),"")</f>
        <v/>
      </c>
      <c r="P22" s="11" t="str">
        <f>IFERROR(INDEX(tblPricesRaw[High],MATCH($N22,tblPricesRaw[Key],0)),"")</f>
        <v/>
      </c>
      <c r="Q22" s="11" t="str">
        <f>IFERROR(INDEX(tblPricesRaw[Low],MATCH($N22,tblPricesRaw[Key],0)),"")</f>
        <v/>
      </c>
      <c r="R22" s="11" t="str">
        <f>IFERROR(INDEX(tblPricesRaw[Close],MATCH($N22,tblPricesRaw[Key],0)),"")</f>
        <v/>
      </c>
      <c r="S22" s="11" t="str">
        <f>IFERROR(INDEX(tblPricesRaw[PrevClose],MATCH($N22,tblPricesRaw[Key],0)),"")</f>
        <v/>
      </c>
    </row>
    <row r="23" spans="1:19" x14ac:dyDescent="0.3">
      <c r="A23" s="7"/>
      <c r="B23" s="8"/>
      <c r="C23" s="9" t="str">
        <f>IFERROR(INDEX(tblEarningsRaw[EPS_Actual],MATCH($N23,tblEarningsRaw[Key],0)),"")</f>
        <v/>
      </c>
      <c r="D23" s="9" t="str">
        <f>IFERROR(INDEX(tblEarningsRaw[EPS_Estimate],MATCH($N23,tblEarningsRaw[Key],0)),"")</f>
        <v/>
      </c>
      <c r="E23" s="10" t="str">
        <f t="shared" si="0"/>
        <v/>
      </c>
      <c r="F23" s="8"/>
      <c r="G23" s="10" t="str">
        <f t="shared" si="1"/>
        <v/>
      </c>
      <c r="H23" s="10" t="str">
        <f t="shared" si="2"/>
        <v/>
      </c>
      <c r="I23" s="10" t="str">
        <f t="shared" si="3"/>
        <v/>
      </c>
      <c r="J23" s="11" t="str">
        <f t="shared" si="4"/>
        <v/>
      </c>
      <c r="K23" s="10" t="str">
        <f t="shared" si="5"/>
        <v/>
      </c>
      <c r="L23" s="12" t="str">
        <f t="shared" si="6"/>
        <v/>
      </c>
      <c r="M23" s="3"/>
      <c r="N23" s="11" t="str">
        <f t="shared" si="7"/>
        <v/>
      </c>
      <c r="O23" s="11" t="str">
        <f>IFERROR(INDEX(tblPricesRaw[Open],MATCH($N23,tblPricesRaw[Key],0)),"")</f>
        <v/>
      </c>
      <c r="P23" s="11" t="str">
        <f>IFERROR(INDEX(tblPricesRaw[High],MATCH($N23,tblPricesRaw[Key],0)),"")</f>
        <v/>
      </c>
      <c r="Q23" s="11" t="str">
        <f>IFERROR(INDEX(tblPricesRaw[Low],MATCH($N23,tblPricesRaw[Key],0)),"")</f>
        <v/>
      </c>
      <c r="R23" s="11" t="str">
        <f>IFERROR(INDEX(tblPricesRaw[Close],MATCH($N23,tblPricesRaw[Key],0)),"")</f>
        <v/>
      </c>
      <c r="S23" s="11" t="str">
        <f>IFERROR(INDEX(tblPricesRaw[PrevClose],MATCH($N23,tblPricesRaw[Key],0)),"")</f>
        <v/>
      </c>
    </row>
    <row r="24" spans="1:19" x14ac:dyDescent="0.3">
      <c r="A24" s="7"/>
      <c r="B24" s="8"/>
      <c r="C24" s="9" t="str">
        <f>IFERROR(INDEX(tblEarningsRaw[EPS_Actual],MATCH($N24,tblEarningsRaw[Key],0)),"")</f>
        <v/>
      </c>
      <c r="D24" s="9" t="str">
        <f>IFERROR(INDEX(tblEarningsRaw[EPS_Estimate],MATCH($N24,tblEarningsRaw[Key],0)),"")</f>
        <v/>
      </c>
      <c r="E24" s="10" t="str">
        <f t="shared" si="0"/>
        <v/>
      </c>
      <c r="F24" s="8"/>
      <c r="G24" s="10" t="str">
        <f t="shared" si="1"/>
        <v/>
      </c>
      <c r="H24" s="10" t="str">
        <f t="shared" si="2"/>
        <v/>
      </c>
      <c r="I24" s="10" t="str">
        <f t="shared" si="3"/>
        <v/>
      </c>
      <c r="J24" s="11" t="str">
        <f t="shared" si="4"/>
        <v/>
      </c>
      <c r="K24" s="10" t="str">
        <f t="shared" si="5"/>
        <v/>
      </c>
      <c r="L24" s="12" t="str">
        <f t="shared" si="6"/>
        <v/>
      </c>
      <c r="M24" s="3"/>
      <c r="N24" s="11" t="str">
        <f t="shared" si="7"/>
        <v/>
      </c>
      <c r="O24" s="11" t="str">
        <f>IFERROR(INDEX(tblPricesRaw[Open],MATCH($N24,tblPricesRaw[Key],0)),"")</f>
        <v/>
      </c>
      <c r="P24" s="11" t="str">
        <f>IFERROR(INDEX(tblPricesRaw[High],MATCH($N24,tblPricesRaw[Key],0)),"")</f>
        <v/>
      </c>
      <c r="Q24" s="11" t="str">
        <f>IFERROR(INDEX(tblPricesRaw[Low],MATCH($N24,tblPricesRaw[Key],0)),"")</f>
        <v/>
      </c>
      <c r="R24" s="11" t="str">
        <f>IFERROR(INDEX(tblPricesRaw[Close],MATCH($N24,tblPricesRaw[Key],0)),"")</f>
        <v/>
      </c>
      <c r="S24" s="11" t="str">
        <f>IFERROR(INDEX(tblPricesRaw[PrevClose],MATCH($N24,tblPricesRaw[Key],0)),"")</f>
        <v/>
      </c>
    </row>
    <row r="25" spans="1:19" x14ac:dyDescent="0.3">
      <c r="A25" s="7"/>
      <c r="B25" s="8"/>
      <c r="C25" s="9" t="str">
        <f>IFERROR(INDEX(tblEarningsRaw[EPS_Actual],MATCH($N25,tblEarningsRaw[Key],0)),"")</f>
        <v/>
      </c>
      <c r="D25" s="9" t="str">
        <f>IFERROR(INDEX(tblEarningsRaw[EPS_Estimate],MATCH($N25,tblEarningsRaw[Key],0)),"")</f>
        <v/>
      </c>
      <c r="E25" s="10" t="str">
        <f t="shared" si="0"/>
        <v/>
      </c>
      <c r="F25" s="8"/>
      <c r="G25" s="10" t="str">
        <f t="shared" si="1"/>
        <v/>
      </c>
      <c r="H25" s="10" t="str">
        <f t="shared" si="2"/>
        <v/>
      </c>
      <c r="I25" s="10" t="str">
        <f t="shared" si="3"/>
        <v/>
      </c>
      <c r="J25" s="11" t="str">
        <f t="shared" si="4"/>
        <v/>
      </c>
      <c r="K25" s="10" t="str">
        <f t="shared" si="5"/>
        <v/>
      </c>
      <c r="L25" s="12" t="str">
        <f t="shared" si="6"/>
        <v/>
      </c>
      <c r="M25" s="3"/>
      <c r="N25" s="11" t="str">
        <f t="shared" si="7"/>
        <v/>
      </c>
      <c r="O25" s="11" t="str">
        <f>IFERROR(INDEX(tblPricesRaw[Open],MATCH($N25,tblPricesRaw[Key],0)),"")</f>
        <v/>
      </c>
      <c r="P25" s="11" t="str">
        <f>IFERROR(INDEX(tblPricesRaw[High],MATCH($N25,tblPricesRaw[Key],0)),"")</f>
        <v/>
      </c>
      <c r="Q25" s="11" t="str">
        <f>IFERROR(INDEX(tblPricesRaw[Low],MATCH($N25,tblPricesRaw[Key],0)),"")</f>
        <v/>
      </c>
      <c r="R25" s="11" t="str">
        <f>IFERROR(INDEX(tblPricesRaw[Close],MATCH($N25,tblPricesRaw[Key],0)),"")</f>
        <v/>
      </c>
      <c r="S25" s="11" t="str">
        <f>IFERROR(INDEX(tblPricesRaw[PrevClose],MATCH($N25,tblPricesRaw[Key],0)),"")</f>
        <v/>
      </c>
    </row>
    <row r="26" spans="1:19" x14ac:dyDescent="0.3">
      <c r="A26" s="7"/>
      <c r="B26" s="8"/>
      <c r="C26" s="9" t="str">
        <f>IFERROR(INDEX(tblEarningsRaw[EPS_Actual],MATCH($N26,tblEarningsRaw[Key],0)),"")</f>
        <v/>
      </c>
      <c r="D26" s="9" t="str">
        <f>IFERROR(INDEX(tblEarningsRaw[EPS_Estimate],MATCH($N26,tblEarningsRaw[Key],0)),"")</f>
        <v/>
      </c>
      <c r="E26" s="10" t="str">
        <f t="shared" si="0"/>
        <v/>
      </c>
      <c r="F26" s="8"/>
      <c r="G26" s="10" t="str">
        <f t="shared" si="1"/>
        <v/>
      </c>
      <c r="H26" s="10" t="str">
        <f t="shared" si="2"/>
        <v/>
      </c>
      <c r="I26" s="10" t="str">
        <f t="shared" si="3"/>
        <v/>
      </c>
      <c r="J26" s="11" t="str">
        <f t="shared" si="4"/>
        <v/>
      </c>
      <c r="K26" s="10" t="str">
        <f t="shared" si="5"/>
        <v/>
      </c>
      <c r="L26" s="12" t="str">
        <f t="shared" si="6"/>
        <v/>
      </c>
      <c r="M26" s="3"/>
      <c r="N26" s="11" t="str">
        <f t="shared" si="7"/>
        <v/>
      </c>
      <c r="O26" s="11" t="str">
        <f>IFERROR(INDEX(tblPricesRaw[Open],MATCH($N26,tblPricesRaw[Key],0)),"")</f>
        <v/>
      </c>
      <c r="P26" s="11" t="str">
        <f>IFERROR(INDEX(tblPricesRaw[High],MATCH($N26,tblPricesRaw[Key],0)),"")</f>
        <v/>
      </c>
      <c r="Q26" s="11" t="str">
        <f>IFERROR(INDEX(tblPricesRaw[Low],MATCH($N26,tblPricesRaw[Key],0)),"")</f>
        <v/>
      </c>
      <c r="R26" s="11" t="str">
        <f>IFERROR(INDEX(tblPricesRaw[Close],MATCH($N26,tblPricesRaw[Key],0)),"")</f>
        <v/>
      </c>
      <c r="S26" s="11" t="str">
        <f>IFERROR(INDEX(tblPricesRaw[PrevClose],MATCH($N26,tblPricesRaw[Key],0)),"")</f>
        <v/>
      </c>
    </row>
    <row r="27" spans="1:19" x14ac:dyDescent="0.3">
      <c r="A27" s="7"/>
      <c r="B27" s="8"/>
      <c r="C27" s="9" t="str">
        <f>IFERROR(INDEX(tblEarningsRaw[EPS_Actual],MATCH($N27,tblEarningsRaw[Key],0)),"")</f>
        <v/>
      </c>
      <c r="D27" s="9" t="str">
        <f>IFERROR(INDEX(tblEarningsRaw[EPS_Estimate],MATCH($N27,tblEarningsRaw[Key],0)),"")</f>
        <v/>
      </c>
      <c r="E27" s="10" t="str">
        <f t="shared" si="0"/>
        <v/>
      </c>
      <c r="F27" s="8"/>
      <c r="G27" s="10" t="str">
        <f t="shared" si="1"/>
        <v/>
      </c>
      <c r="H27" s="10" t="str">
        <f t="shared" si="2"/>
        <v/>
      </c>
      <c r="I27" s="10" t="str">
        <f t="shared" si="3"/>
        <v/>
      </c>
      <c r="J27" s="11" t="str">
        <f t="shared" si="4"/>
        <v/>
      </c>
      <c r="K27" s="10" t="str">
        <f t="shared" si="5"/>
        <v/>
      </c>
      <c r="L27" s="12" t="str">
        <f t="shared" si="6"/>
        <v/>
      </c>
      <c r="M27" s="3"/>
      <c r="N27" s="11" t="str">
        <f t="shared" si="7"/>
        <v/>
      </c>
      <c r="O27" s="11" t="str">
        <f>IFERROR(INDEX(tblPricesRaw[Open],MATCH($N27,tblPricesRaw[Key],0)),"")</f>
        <v/>
      </c>
      <c r="P27" s="11" t="str">
        <f>IFERROR(INDEX(tblPricesRaw[High],MATCH($N27,tblPricesRaw[Key],0)),"")</f>
        <v/>
      </c>
      <c r="Q27" s="11" t="str">
        <f>IFERROR(INDEX(tblPricesRaw[Low],MATCH($N27,tblPricesRaw[Key],0)),"")</f>
        <v/>
      </c>
      <c r="R27" s="11" t="str">
        <f>IFERROR(INDEX(tblPricesRaw[Close],MATCH($N27,tblPricesRaw[Key],0)),"")</f>
        <v/>
      </c>
      <c r="S27" s="11" t="str">
        <f>IFERROR(INDEX(tblPricesRaw[PrevClose],MATCH($N27,tblPricesRaw[Key],0)),"")</f>
        <v/>
      </c>
    </row>
    <row r="28" spans="1:19" x14ac:dyDescent="0.3">
      <c r="A28" s="7"/>
      <c r="B28" s="8"/>
      <c r="C28" s="9" t="str">
        <f>IFERROR(INDEX(tblEarningsRaw[EPS_Actual],MATCH($N28,tblEarningsRaw[Key],0)),"")</f>
        <v/>
      </c>
      <c r="D28" s="9" t="str">
        <f>IFERROR(INDEX(tblEarningsRaw[EPS_Estimate],MATCH($N28,tblEarningsRaw[Key],0)),"")</f>
        <v/>
      </c>
      <c r="E28" s="10" t="str">
        <f t="shared" si="0"/>
        <v/>
      </c>
      <c r="F28" s="8"/>
      <c r="G28" s="10" t="str">
        <f t="shared" si="1"/>
        <v/>
      </c>
      <c r="H28" s="10" t="str">
        <f t="shared" si="2"/>
        <v/>
      </c>
      <c r="I28" s="10" t="str">
        <f t="shared" si="3"/>
        <v/>
      </c>
      <c r="J28" s="11" t="str">
        <f t="shared" si="4"/>
        <v/>
      </c>
      <c r="K28" s="10" t="str">
        <f t="shared" si="5"/>
        <v/>
      </c>
      <c r="L28" s="12" t="str">
        <f t="shared" si="6"/>
        <v/>
      </c>
      <c r="M28" s="3"/>
      <c r="N28" s="11" t="str">
        <f t="shared" si="7"/>
        <v/>
      </c>
      <c r="O28" s="11" t="str">
        <f>IFERROR(INDEX(tblPricesRaw[Open],MATCH($N28,tblPricesRaw[Key],0)),"")</f>
        <v/>
      </c>
      <c r="P28" s="11" t="str">
        <f>IFERROR(INDEX(tblPricesRaw[High],MATCH($N28,tblPricesRaw[Key],0)),"")</f>
        <v/>
      </c>
      <c r="Q28" s="11" t="str">
        <f>IFERROR(INDEX(tblPricesRaw[Low],MATCH($N28,tblPricesRaw[Key],0)),"")</f>
        <v/>
      </c>
      <c r="R28" s="11" t="str">
        <f>IFERROR(INDEX(tblPricesRaw[Close],MATCH($N28,tblPricesRaw[Key],0)),"")</f>
        <v/>
      </c>
      <c r="S28" s="11" t="str">
        <f>IFERROR(INDEX(tblPricesRaw[PrevClose],MATCH($N28,tblPricesRaw[Key],0)),"")</f>
        <v/>
      </c>
    </row>
    <row r="29" spans="1:19" x14ac:dyDescent="0.3">
      <c r="A29" s="7"/>
      <c r="B29" s="8"/>
      <c r="C29" s="9" t="str">
        <f>IFERROR(INDEX(tblEarningsRaw[EPS_Actual],MATCH($N29,tblEarningsRaw[Key],0)),"")</f>
        <v/>
      </c>
      <c r="D29" s="9" t="str">
        <f>IFERROR(INDEX(tblEarningsRaw[EPS_Estimate],MATCH($N29,tblEarningsRaw[Key],0)),"")</f>
        <v/>
      </c>
      <c r="E29" s="10" t="str">
        <f t="shared" si="0"/>
        <v/>
      </c>
      <c r="F29" s="8"/>
      <c r="G29" s="10" t="str">
        <f t="shared" si="1"/>
        <v/>
      </c>
      <c r="H29" s="10" t="str">
        <f t="shared" si="2"/>
        <v/>
      </c>
      <c r="I29" s="10" t="str">
        <f t="shared" si="3"/>
        <v/>
      </c>
      <c r="J29" s="11" t="str">
        <f t="shared" si="4"/>
        <v/>
      </c>
      <c r="K29" s="10" t="str">
        <f t="shared" si="5"/>
        <v/>
      </c>
      <c r="L29" s="12" t="str">
        <f t="shared" si="6"/>
        <v/>
      </c>
      <c r="M29" s="3"/>
      <c r="N29" s="11" t="str">
        <f t="shared" si="7"/>
        <v/>
      </c>
      <c r="O29" s="11" t="str">
        <f>IFERROR(INDEX(tblPricesRaw[Open],MATCH($N29,tblPricesRaw[Key],0)),"")</f>
        <v/>
      </c>
      <c r="P29" s="11" t="str">
        <f>IFERROR(INDEX(tblPricesRaw[High],MATCH($N29,tblPricesRaw[Key],0)),"")</f>
        <v/>
      </c>
      <c r="Q29" s="11" t="str">
        <f>IFERROR(INDEX(tblPricesRaw[Low],MATCH($N29,tblPricesRaw[Key],0)),"")</f>
        <v/>
      </c>
      <c r="R29" s="11" t="str">
        <f>IFERROR(INDEX(tblPricesRaw[Close],MATCH($N29,tblPricesRaw[Key],0)),"")</f>
        <v/>
      </c>
      <c r="S29" s="11" t="str">
        <f>IFERROR(INDEX(tblPricesRaw[PrevClose],MATCH($N29,tblPricesRaw[Key],0)),"")</f>
        <v/>
      </c>
    </row>
    <row r="30" spans="1:19" x14ac:dyDescent="0.3">
      <c r="A30" s="7"/>
      <c r="B30" s="8"/>
      <c r="C30" s="9" t="str">
        <f>IFERROR(INDEX(tblEarningsRaw[EPS_Actual],MATCH($N30,tblEarningsRaw[Key],0)),"")</f>
        <v/>
      </c>
      <c r="D30" s="9" t="str">
        <f>IFERROR(INDEX(tblEarningsRaw[EPS_Estimate],MATCH($N30,tblEarningsRaw[Key],0)),"")</f>
        <v/>
      </c>
      <c r="E30" s="10" t="str">
        <f t="shared" si="0"/>
        <v/>
      </c>
      <c r="F30" s="8"/>
      <c r="G30" s="10" t="str">
        <f t="shared" si="1"/>
        <v/>
      </c>
      <c r="H30" s="10" t="str">
        <f t="shared" si="2"/>
        <v/>
      </c>
      <c r="I30" s="10" t="str">
        <f t="shared" si="3"/>
        <v/>
      </c>
      <c r="J30" s="11" t="str">
        <f t="shared" si="4"/>
        <v/>
      </c>
      <c r="K30" s="10" t="str">
        <f t="shared" si="5"/>
        <v/>
      </c>
      <c r="L30" s="12" t="str">
        <f t="shared" si="6"/>
        <v/>
      </c>
      <c r="M30" s="3"/>
      <c r="N30" s="11" t="str">
        <f t="shared" si="7"/>
        <v/>
      </c>
      <c r="O30" s="11" t="str">
        <f>IFERROR(INDEX(tblPricesRaw[Open],MATCH($N30,tblPricesRaw[Key],0)),"")</f>
        <v/>
      </c>
      <c r="P30" s="11" t="str">
        <f>IFERROR(INDEX(tblPricesRaw[High],MATCH($N30,tblPricesRaw[Key],0)),"")</f>
        <v/>
      </c>
      <c r="Q30" s="11" t="str">
        <f>IFERROR(INDEX(tblPricesRaw[Low],MATCH($N30,tblPricesRaw[Key],0)),"")</f>
        <v/>
      </c>
      <c r="R30" s="11" t="str">
        <f>IFERROR(INDEX(tblPricesRaw[Close],MATCH($N30,tblPricesRaw[Key],0)),"")</f>
        <v/>
      </c>
      <c r="S30" s="11" t="str">
        <f>IFERROR(INDEX(tblPricesRaw[PrevClose],MATCH($N30,tblPricesRaw[Key],0)),"")</f>
        <v/>
      </c>
    </row>
    <row r="31" spans="1:19" x14ac:dyDescent="0.3">
      <c r="A31" s="7"/>
      <c r="B31" s="8"/>
      <c r="C31" s="9" t="str">
        <f>IFERROR(INDEX(tblEarningsRaw[EPS_Actual],MATCH($N31,tblEarningsRaw[Key],0)),"")</f>
        <v/>
      </c>
      <c r="D31" s="9" t="str">
        <f>IFERROR(INDEX(tblEarningsRaw[EPS_Estimate],MATCH($N31,tblEarningsRaw[Key],0)),"")</f>
        <v/>
      </c>
      <c r="E31" s="10" t="str">
        <f t="shared" si="0"/>
        <v/>
      </c>
      <c r="F31" s="8"/>
      <c r="G31" s="10" t="str">
        <f t="shared" si="1"/>
        <v/>
      </c>
      <c r="H31" s="10" t="str">
        <f t="shared" si="2"/>
        <v/>
      </c>
      <c r="I31" s="10" t="str">
        <f t="shared" si="3"/>
        <v/>
      </c>
      <c r="J31" s="11" t="str">
        <f t="shared" si="4"/>
        <v/>
      </c>
      <c r="K31" s="10" t="str">
        <f t="shared" si="5"/>
        <v/>
      </c>
      <c r="L31" s="12" t="str">
        <f t="shared" si="6"/>
        <v/>
      </c>
      <c r="M31" s="3"/>
      <c r="N31" s="11" t="str">
        <f t="shared" si="7"/>
        <v/>
      </c>
      <c r="O31" s="11" t="str">
        <f>IFERROR(INDEX(tblPricesRaw[Open],MATCH($N31,tblPricesRaw[Key],0)),"")</f>
        <v/>
      </c>
      <c r="P31" s="11" t="str">
        <f>IFERROR(INDEX(tblPricesRaw[High],MATCH($N31,tblPricesRaw[Key],0)),"")</f>
        <v/>
      </c>
      <c r="Q31" s="11" t="str">
        <f>IFERROR(INDEX(tblPricesRaw[Low],MATCH($N31,tblPricesRaw[Key],0)),"")</f>
        <v/>
      </c>
      <c r="R31" s="11" t="str">
        <f>IFERROR(INDEX(tblPricesRaw[Close],MATCH($N31,tblPricesRaw[Key],0)),"")</f>
        <v/>
      </c>
      <c r="S31" s="11" t="str">
        <f>IFERROR(INDEX(tblPricesRaw[PrevClose],MATCH($N31,tblPricesRaw[Key],0)),"")</f>
        <v/>
      </c>
    </row>
    <row r="32" spans="1:19" x14ac:dyDescent="0.3">
      <c r="A32" s="7"/>
      <c r="B32" s="8"/>
      <c r="C32" s="9" t="str">
        <f>IFERROR(INDEX(tblEarningsRaw[EPS_Actual],MATCH($N32,tblEarningsRaw[Key],0)),"")</f>
        <v/>
      </c>
      <c r="D32" s="9" t="str">
        <f>IFERROR(INDEX(tblEarningsRaw[EPS_Estimate],MATCH($N32,tblEarningsRaw[Key],0)),"")</f>
        <v/>
      </c>
      <c r="E32" s="10" t="str">
        <f t="shared" si="0"/>
        <v/>
      </c>
      <c r="F32" s="8"/>
      <c r="G32" s="10" t="str">
        <f t="shared" si="1"/>
        <v/>
      </c>
      <c r="H32" s="10" t="str">
        <f t="shared" si="2"/>
        <v/>
      </c>
      <c r="I32" s="10" t="str">
        <f t="shared" si="3"/>
        <v/>
      </c>
      <c r="J32" s="11" t="str">
        <f t="shared" si="4"/>
        <v/>
      </c>
      <c r="K32" s="10" t="str">
        <f t="shared" si="5"/>
        <v/>
      </c>
      <c r="L32" s="12" t="str">
        <f t="shared" si="6"/>
        <v/>
      </c>
      <c r="M32" s="3"/>
      <c r="N32" s="11" t="str">
        <f t="shared" si="7"/>
        <v/>
      </c>
      <c r="O32" s="11" t="str">
        <f>IFERROR(INDEX(tblPricesRaw[Open],MATCH($N32,tblPricesRaw[Key],0)),"")</f>
        <v/>
      </c>
      <c r="P32" s="11" t="str">
        <f>IFERROR(INDEX(tblPricesRaw[High],MATCH($N32,tblPricesRaw[Key],0)),"")</f>
        <v/>
      </c>
      <c r="Q32" s="11" t="str">
        <f>IFERROR(INDEX(tblPricesRaw[Low],MATCH($N32,tblPricesRaw[Key],0)),"")</f>
        <v/>
      </c>
      <c r="R32" s="11" t="str">
        <f>IFERROR(INDEX(tblPricesRaw[Close],MATCH($N32,tblPricesRaw[Key],0)),"")</f>
        <v/>
      </c>
      <c r="S32" s="11" t="str">
        <f>IFERROR(INDEX(tblPricesRaw[PrevClose],MATCH($N32,tblPricesRaw[Key],0)),"")</f>
        <v/>
      </c>
    </row>
    <row r="33" spans="1:19" x14ac:dyDescent="0.3">
      <c r="A33" s="7"/>
      <c r="B33" s="8"/>
      <c r="C33" s="9" t="str">
        <f>IFERROR(INDEX(tblEarningsRaw[EPS_Actual],MATCH($N33,tblEarningsRaw[Key],0)),"")</f>
        <v/>
      </c>
      <c r="D33" s="9" t="str">
        <f>IFERROR(INDEX(tblEarningsRaw[EPS_Estimate],MATCH($N33,tblEarningsRaw[Key],0)),"")</f>
        <v/>
      </c>
      <c r="E33" s="10" t="str">
        <f t="shared" si="0"/>
        <v/>
      </c>
      <c r="F33" s="8"/>
      <c r="G33" s="10" t="str">
        <f t="shared" si="1"/>
        <v/>
      </c>
      <c r="H33" s="10" t="str">
        <f t="shared" si="2"/>
        <v/>
      </c>
      <c r="I33" s="10" t="str">
        <f t="shared" si="3"/>
        <v/>
      </c>
      <c r="J33" s="11" t="str">
        <f t="shared" si="4"/>
        <v/>
      </c>
      <c r="K33" s="10" t="str">
        <f t="shared" si="5"/>
        <v/>
      </c>
      <c r="L33" s="12" t="str">
        <f t="shared" si="6"/>
        <v/>
      </c>
      <c r="M33" s="3"/>
      <c r="N33" s="11" t="str">
        <f t="shared" si="7"/>
        <v/>
      </c>
      <c r="O33" s="11" t="str">
        <f>IFERROR(INDEX(tblPricesRaw[Open],MATCH($N33,tblPricesRaw[Key],0)),"")</f>
        <v/>
      </c>
      <c r="P33" s="11" t="str">
        <f>IFERROR(INDEX(tblPricesRaw[High],MATCH($N33,tblPricesRaw[Key],0)),"")</f>
        <v/>
      </c>
      <c r="Q33" s="11" t="str">
        <f>IFERROR(INDEX(tblPricesRaw[Low],MATCH($N33,tblPricesRaw[Key],0)),"")</f>
        <v/>
      </c>
      <c r="R33" s="11" t="str">
        <f>IFERROR(INDEX(tblPricesRaw[Close],MATCH($N33,tblPricesRaw[Key],0)),"")</f>
        <v/>
      </c>
      <c r="S33" s="11" t="str">
        <f>IFERROR(INDEX(tblPricesRaw[PrevClose],MATCH($N33,tblPricesRaw[Key],0)),"")</f>
        <v/>
      </c>
    </row>
    <row r="34" spans="1:19" x14ac:dyDescent="0.3">
      <c r="A34" s="7"/>
      <c r="B34" s="8"/>
      <c r="C34" s="9" t="str">
        <f>IFERROR(INDEX(tblEarningsRaw[EPS_Actual],MATCH($N34,tblEarningsRaw[Key],0)),"")</f>
        <v/>
      </c>
      <c r="D34" s="9" t="str">
        <f>IFERROR(INDEX(tblEarningsRaw[EPS_Estimate],MATCH($N34,tblEarningsRaw[Key],0)),"")</f>
        <v/>
      </c>
      <c r="E34" s="10" t="str">
        <f t="shared" si="0"/>
        <v/>
      </c>
      <c r="F34" s="8"/>
      <c r="G34" s="10" t="str">
        <f t="shared" si="1"/>
        <v/>
      </c>
      <c r="H34" s="10" t="str">
        <f t="shared" si="2"/>
        <v/>
      </c>
      <c r="I34" s="10" t="str">
        <f t="shared" si="3"/>
        <v/>
      </c>
      <c r="J34" s="11" t="str">
        <f t="shared" si="4"/>
        <v/>
      </c>
      <c r="K34" s="10" t="str">
        <f t="shared" si="5"/>
        <v/>
      </c>
      <c r="L34" s="12" t="str">
        <f t="shared" si="6"/>
        <v/>
      </c>
      <c r="M34" s="3"/>
      <c r="N34" s="11" t="str">
        <f t="shared" si="7"/>
        <v/>
      </c>
      <c r="O34" s="11" t="str">
        <f>IFERROR(INDEX(tblPricesRaw[Open],MATCH($N34,tblPricesRaw[Key],0)),"")</f>
        <v/>
      </c>
      <c r="P34" s="11" t="str">
        <f>IFERROR(INDEX(tblPricesRaw[High],MATCH($N34,tblPricesRaw[Key],0)),"")</f>
        <v/>
      </c>
      <c r="Q34" s="11" t="str">
        <f>IFERROR(INDEX(tblPricesRaw[Low],MATCH($N34,tblPricesRaw[Key],0)),"")</f>
        <v/>
      </c>
      <c r="R34" s="11" t="str">
        <f>IFERROR(INDEX(tblPricesRaw[Close],MATCH($N34,tblPricesRaw[Key],0)),"")</f>
        <v/>
      </c>
      <c r="S34" s="11" t="str">
        <f>IFERROR(INDEX(tblPricesRaw[PrevClose],MATCH($N34,tblPricesRaw[Key],0)),"")</f>
        <v/>
      </c>
    </row>
    <row r="35" spans="1:19" x14ac:dyDescent="0.3">
      <c r="A35" s="7"/>
      <c r="B35" s="8"/>
      <c r="C35" s="9" t="str">
        <f>IFERROR(INDEX(tblEarningsRaw[EPS_Actual],MATCH($N35,tblEarningsRaw[Key],0)),"")</f>
        <v/>
      </c>
      <c r="D35" s="9" t="str">
        <f>IFERROR(INDEX(tblEarningsRaw[EPS_Estimate],MATCH($N35,tblEarningsRaw[Key],0)),"")</f>
        <v/>
      </c>
      <c r="E35" s="10" t="str">
        <f t="shared" si="0"/>
        <v/>
      </c>
      <c r="F35" s="8"/>
      <c r="G35" s="10" t="str">
        <f t="shared" si="1"/>
        <v/>
      </c>
      <c r="H35" s="10" t="str">
        <f t="shared" si="2"/>
        <v/>
      </c>
      <c r="I35" s="10" t="str">
        <f t="shared" si="3"/>
        <v/>
      </c>
      <c r="J35" s="11" t="str">
        <f t="shared" si="4"/>
        <v/>
      </c>
      <c r="K35" s="10" t="str">
        <f t="shared" si="5"/>
        <v/>
      </c>
      <c r="L35" s="12" t="str">
        <f t="shared" si="6"/>
        <v/>
      </c>
      <c r="M35" s="3"/>
      <c r="N35" s="11" t="str">
        <f t="shared" si="7"/>
        <v/>
      </c>
      <c r="O35" s="11" t="str">
        <f>IFERROR(INDEX(tblPricesRaw[Open],MATCH($N35,tblPricesRaw[Key],0)),"")</f>
        <v/>
      </c>
      <c r="P35" s="11" t="str">
        <f>IFERROR(INDEX(tblPricesRaw[High],MATCH($N35,tblPricesRaw[Key],0)),"")</f>
        <v/>
      </c>
      <c r="Q35" s="11" t="str">
        <f>IFERROR(INDEX(tblPricesRaw[Low],MATCH($N35,tblPricesRaw[Key],0)),"")</f>
        <v/>
      </c>
      <c r="R35" s="11" t="str">
        <f>IFERROR(INDEX(tblPricesRaw[Close],MATCH($N35,tblPricesRaw[Key],0)),"")</f>
        <v/>
      </c>
      <c r="S35" s="11" t="str">
        <f>IFERROR(INDEX(tblPricesRaw[PrevClose],MATCH($N35,tblPricesRaw[Key],0)),"")</f>
        <v/>
      </c>
    </row>
    <row r="36" spans="1:19" x14ac:dyDescent="0.3">
      <c r="A36" s="7"/>
      <c r="B36" s="8"/>
      <c r="C36" s="9" t="str">
        <f>IFERROR(INDEX(tblEarningsRaw[EPS_Actual],MATCH($N36,tblEarningsRaw[Key],0)),"")</f>
        <v/>
      </c>
      <c r="D36" s="9" t="str">
        <f>IFERROR(INDEX(tblEarningsRaw[EPS_Estimate],MATCH($N36,tblEarningsRaw[Key],0)),"")</f>
        <v/>
      </c>
      <c r="E36" s="10" t="str">
        <f t="shared" si="0"/>
        <v/>
      </c>
      <c r="F36" s="8"/>
      <c r="G36" s="10" t="str">
        <f t="shared" si="1"/>
        <v/>
      </c>
      <c r="H36" s="10" t="str">
        <f t="shared" si="2"/>
        <v/>
      </c>
      <c r="I36" s="10" t="str">
        <f t="shared" si="3"/>
        <v/>
      </c>
      <c r="J36" s="11" t="str">
        <f t="shared" si="4"/>
        <v/>
      </c>
      <c r="K36" s="10" t="str">
        <f t="shared" si="5"/>
        <v/>
      </c>
      <c r="L36" s="12" t="str">
        <f t="shared" si="6"/>
        <v/>
      </c>
      <c r="M36" s="3"/>
      <c r="N36" s="11" t="str">
        <f t="shared" si="7"/>
        <v/>
      </c>
      <c r="O36" s="11" t="str">
        <f>IFERROR(INDEX(tblPricesRaw[Open],MATCH($N36,tblPricesRaw[Key],0)),"")</f>
        <v/>
      </c>
      <c r="P36" s="11" t="str">
        <f>IFERROR(INDEX(tblPricesRaw[High],MATCH($N36,tblPricesRaw[Key],0)),"")</f>
        <v/>
      </c>
      <c r="Q36" s="11" t="str">
        <f>IFERROR(INDEX(tblPricesRaw[Low],MATCH($N36,tblPricesRaw[Key],0)),"")</f>
        <v/>
      </c>
      <c r="R36" s="11" t="str">
        <f>IFERROR(INDEX(tblPricesRaw[Close],MATCH($N36,tblPricesRaw[Key],0)),"")</f>
        <v/>
      </c>
      <c r="S36" s="11" t="str">
        <f>IFERROR(INDEX(tblPricesRaw[PrevClose],MATCH($N36,tblPricesRaw[Key],0)),"")</f>
        <v/>
      </c>
    </row>
    <row r="37" spans="1:19" x14ac:dyDescent="0.3">
      <c r="A37" s="7"/>
      <c r="B37" s="8"/>
      <c r="C37" s="9" t="str">
        <f>IFERROR(INDEX(tblEarningsRaw[EPS_Actual],MATCH($N37,tblEarningsRaw[Key],0)),"")</f>
        <v/>
      </c>
      <c r="D37" s="9" t="str">
        <f>IFERROR(INDEX(tblEarningsRaw[EPS_Estimate],MATCH($N37,tblEarningsRaw[Key],0)),"")</f>
        <v/>
      </c>
      <c r="E37" s="10" t="str">
        <f t="shared" ref="E37:E68" si="8">IF(AND(C37&lt;&gt;"",D37&lt;&gt;""), (C37-D37)/ABS(D37), "")</f>
        <v/>
      </c>
      <c r="F37" s="8"/>
      <c r="G37" s="10" t="str">
        <f t="shared" ref="G37:G68" si="9">IF(AND($O37&lt;&gt;"",$S37&lt;&gt;""), ($O37-$S37)/$S37, "")</f>
        <v/>
      </c>
      <c r="H37" s="10" t="str">
        <f t="shared" ref="H37:H68" si="10">IF(AND($R37&lt;&gt;"",$S37&lt;&gt;""), ($R37-$S37)/$S37, "")</f>
        <v/>
      </c>
      <c r="I37" s="10" t="str">
        <f t="shared" ref="I37:I68" si="11">IF(AND($P37&lt;&gt;"",$Q37&lt;&gt;"",$S37&lt;&gt;""), ($P37-$Q37)/$S37, "")</f>
        <v/>
      </c>
      <c r="J37" s="11" t="str">
        <f t="shared" ref="J37:J68" si="12">IF(OR(E37="",H37=""),"",IF(AND(E37&gt;0,H37&gt;0),"利好确认",IF(AND(E37&gt;0,H37&lt;=0),"利好不涨",IF(AND(E37&lt;0,H37&lt;0),"利空确认",IF(AND(E37&lt;0,H37&gt;=0),"利空不跌","中性")))))</f>
        <v/>
      </c>
      <c r="K37" s="10" t="str">
        <f t="shared" ref="K37:K68" si="13">IF(A37="", "", IFERROR(COUNTIFS($A$5:$A$204,A37,$H$5:$H$204,"&gt;0")/COUNTIF($A$5:$A$204,A37),""))</f>
        <v/>
      </c>
      <c r="L37" s="12" t="str">
        <f t="shared" ref="L37:L68" si="14">IF(A37="", "", IF(E37&gt;0.05,1,0) + IF(F37=1,1,0) + IF(H37&gt;0.03,1,0) - IF(J37="利好不涨",2,0) + IF(J37="利空不跌",2,0))</f>
        <v/>
      </c>
      <c r="M37" s="3"/>
      <c r="N37" s="11" t="str">
        <f t="shared" ref="N37:N68" si="15">IF(AND(A37&lt;&gt;"",B37&lt;&gt;""),B37&amp;"|"&amp;TEXT(A37,"yyyy-mm-dd"),"")</f>
        <v/>
      </c>
      <c r="O37" s="11" t="str">
        <f>IFERROR(INDEX(tblPricesRaw[Open],MATCH($N37,tblPricesRaw[Key],0)),"")</f>
        <v/>
      </c>
      <c r="P37" s="11" t="str">
        <f>IFERROR(INDEX(tblPricesRaw[High],MATCH($N37,tblPricesRaw[Key],0)),"")</f>
        <v/>
      </c>
      <c r="Q37" s="11" t="str">
        <f>IFERROR(INDEX(tblPricesRaw[Low],MATCH($N37,tblPricesRaw[Key],0)),"")</f>
        <v/>
      </c>
      <c r="R37" s="11" t="str">
        <f>IFERROR(INDEX(tblPricesRaw[Close],MATCH($N37,tblPricesRaw[Key],0)),"")</f>
        <v/>
      </c>
      <c r="S37" s="11" t="str">
        <f>IFERROR(INDEX(tblPricesRaw[PrevClose],MATCH($N37,tblPricesRaw[Key],0)),"")</f>
        <v/>
      </c>
    </row>
    <row r="38" spans="1:19" x14ac:dyDescent="0.3">
      <c r="A38" s="7"/>
      <c r="B38" s="8"/>
      <c r="C38" s="9" t="str">
        <f>IFERROR(INDEX(tblEarningsRaw[EPS_Actual],MATCH($N38,tblEarningsRaw[Key],0)),"")</f>
        <v/>
      </c>
      <c r="D38" s="9" t="str">
        <f>IFERROR(INDEX(tblEarningsRaw[EPS_Estimate],MATCH($N38,tblEarningsRaw[Key],0)),"")</f>
        <v/>
      </c>
      <c r="E38" s="10" t="str">
        <f t="shared" si="8"/>
        <v/>
      </c>
      <c r="F38" s="8"/>
      <c r="G38" s="10" t="str">
        <f t="shared" si="9"/>
        <v/>
      </c>
      <c r="H38" s="10" t="str">
        <f t="shared" si="10"/>
        <v/>
      </c>
      <c r="I38" s="10" t="str">
        <f t="shared" si="11"/>
        <v/>
      </c>
      <c r="J38" s="11" t="str">
        <f t="shared" si="12"/>
        <v/>
      </c>
      <c r="K38" s="10" t="str">
        <f t="shared" si="13"/>
        <v/>
      </c>
      <c r="L38" s="12" t="str">
        <f t="shared" si="14"/>
        <v/>
      </c>
      <c r="M38" s="3"/>
      <c r="N38" s="11" t="str">
        <f t="shared" si="15"/>
        <v/>
      </c>
      <c r="O38" s="11" t="str">
        <f>IFERROR(INDEX(tblPricesRaw[Open],MATCH($N38,tblPricesRaw[Key],0)),"")</f>
        <v/>
      </c>
      <c r="P38" s="11" t="str">
        <f>IFERROR(INDEX(tblPricesRaw[High],MATCH($N38,tblPricesRaw[Key],0)),"")</f>
        <v/>
      </c>
      <c r="Q38" s="11" t="str">
        <f>IFERROR(INDEX(tblPricesRaw[Low],MATCH($N38,tblPricesRaw[Key],0)),"")</f>
        <v/>
      </c>
      <c r="R38" s="11" t="str">
        <f>IFERROR(INDEX(tblPricesRaw[Close],MATCH($N38,tblPricesRaw[Key],0)),"")</f>
        <v/>
      </c>
      <c r="S38" s="11" t="str">
        <f>IFERROR(INDEX(tblPricesRaw[PrevClose],MATCH($N38,tblPricesRaw[Key],0)),"")</f>
        <v/>
      </c>
    </row>
    <row r="39" spans="1:19" x14ac:dyDescent="0.3">
      <c r="A39" s="7"/>
      <c r="B39" s="8"/>
      <c r="C39" s="9" t="str">
        <f>IFERROR(INDEX(tblEarningsRaw[EPS_Actual],MATCH($N39,tblEarningsRaw[Key],0)),"")</f>
        <v/>
      </c>
      <c r="D39" s="9" t="str">
        <f>IFERROR(INDEX(tblEarningsRaw[EPS_Estimate],MATCH($N39,tblEarningsRaw[Key],0)),"")</f>
        <v/>
      </c>
      <c r="E39" s="10" t="str">
        <f t="shared" si="8"/>
        <v/>
      </c>
      <c r="F39" s="8"/>
      <c r="G39" s="10" t="str">
        <f t="shared" si="9"/>
        <v/>
      </c>
      <c r="H39" s="10" t="str">
        <f t="shared" si="10"/>
        <v/>
      </c>
      <c r="I39" s="10" t="str">
        <f t="shared" si="11"/>
        <v/>
      </c>
      <c r="J39" s="11" t="str">
        <f t="shared" si="12"/>
        <v/>
      </c>
      <c r="K39" s="10" t="str">
        <f t="shared" si="13"/>
        <v/>
      </c>
      <c r="L39" s="12" t="str">
        <f t="shared" si="14"/>
        <v/>
      </c>
      <c r="M39" s="3"/>
      <c r="N39" s="11" t="str">
        <f t="shared" si="15"/>
        <v/>
      </c>
      <c r="O39" s="11" t="str">
        <f>IFERROR(INDEX(tblPricesRaw[Open],MATCH($N39,tblPricesRaw[Key],0)),"")</f>
        <v/>
      </c>
      <c r="P39" s="11" t="str">
        <f>IFERROR(INDEX(tblPricesRaw[High],MATCH($N39,tblPricesRaw[Key],0)),"")</f>
        <v/>
      </c>
      <c r="Q39" s="11" t="str">
        <f>IFERROR(INDEX(tblPricesRaw[Low],MATCH($N39,tblPricesRaw[Key],0)),"")</f>
        <v/>
      </c>
      <c r="R39" s="11" t="str">
        <f>IFERROR(INDEX(tblPricesRaw[Close],MATCH($N39,tblPricesRaw[Key],0)),"")</f>
        <v/>
      </c>
      <c r="S39" s="11" t="str">
        <f>IFERROR(INDEX(tblPricesRaw[PrevClose],MATCH($N39,tblPricesRaw[Key],0)),"")</f>
        <v/>
      </c>
    </row>
    <row r="40" spans="1:19" x14ac:dyDescent="0.3">
      <c r="A40" s="7"/>
      <c r="B40" s="8"/>
      <c r="C40" s="9" t="str">
        <f>IFERROR(INDEX(tblEarningsRaw[EPS_Actual],MATCH($N40,tblEarningsRaw[Key],0)),"")</f>
        <v/>
      </c>
      <c r="D40" s="9" t="str">
        <f>IFERROR(INDEX(tblEarningsRaw[EPS_Estimate],MATCH($N40,tblEarningsRaw[Key],0)),"")</f>
        <v/>
      </c>
      <c r="E40" s="10" t="str">
        <f t="shared" si="8"/>
        <v/>
      </c>
      <c r="F40" s="8"/>
      <c r="G40" s="10" t="str">
        <f t="shared" si="9"/>
        <v/>
      </c>
      <c r="H40" s="10" t="str">
        <f t="shared" si="10"/>
        <v/>
      </c>
      <c r="I40" s="10" t="str">
        <f t="shared" si="11"/>
        <v/>
      </c>
      <c r="J40" s="11" t="str">
        <f t="shared" si="12"/>
        <v/>
      </c>
      <c r="K40" s="10" t="str">
        <f t="shared" si="13"/>
        <v/>
      </c>
      <c r="L40" s="12" t="str">
        <f t="shared" si="14"/>
        <v/>
      </c>
      <c r="M40" s="3"/>
      <c r="N40" s="11" t="str">
        <f t="shared" si="15"/>
        <v/>
      </c>
      <c r="O40" s="11" t="str">
        <f>IFERROR(INDEX(tblPricesRaw[Open],MATCH($N40,tblPricesRaw[Key],0)),"")</f>
        <v/>
      </c>
      <c r="P40" s="11" t="str">
        <f>IFERROR(INDEX(tblPricesRaw[High],MATCH($N40,tblPricesRaw[Key],0)),"")</f>
        <v/>
      </c>
      <c r="Q40" s="11" t="str">
        <f>IFERROR(INDEX(tblPricesRaw[Low],MATCH($N40,tblPricesRaw[Key],0)),"")</f>
        <v/>
      </c>
      <c r="R40" s="11" t="str">
        <f>IFERROR(INDEX(tblPricesRaw[Close],MATCH($N40,tblPricesRaw[Key],0)),"")</f>
        <v/>
      </c>
      <c r="S40" s="11" t="str">
        <f>IFERROR(INDEX(tblPricesRaw[PrevClose],MATCH($N40,tblPricesRaw[Key],0)),"")</f>
        <v/>
      </c>
    </row>
    <row r="41" spans="1:19" x14ac:dyDescent="0.3">
      <c r="A41" s="7"/>
      <c r="B41" s="8"/>
      <c r="C41" s="9" t="str">
        <f>IFERROR(INDEX(tblEarningsRaw[EPS_Actual],MATCH($N41,tblEarningsRaw[Key],0)),"")</f>
        <v/>
      </c>
      <c r="D41" s="9" t="str">
        <f>IFERROR(INDEX(tblEarningsRaw[EPS_Estimate],MATCH($N41,tblEarningsRaw[Key],0)),"")</f>
        <v/>
      </c>
      <c r="E41" s="10" t="str">
        <f t="shared" si="8"/>
        <v/>
      </c>
      <c r="F41" s="8"/>
      <c r="G41" s="10" t="str">
        <f t="shared" si="9"/>
        <v/>
      </c>
      <c r="H41" s="10" t="str">
        <f t="shared" si="10"/>
        <v/>
      </c>
      <c r="I41" s="10" t="str">
        <f t="shared" si="11"/>
        <v/>
      </c>
      <c r="J41" s="11" t="str">
        <f t="shared" si="12"/>
        <v/>
      </c>
      <c r="K41" s="10" t="str">
        <f t="shared" si="13"/>
        <v/>
      </c>
      <c r="L41" s="12" t="str">
        <f t="shared" si="14"/>
        <v/>
      </c>
      <c r="M41" s="3"/>
      <c r="N41" s="11" t="str">
        <f t="shared" si="15"/>
        <v/>
      </c>
      <c r="O41" s="11" t="str">
        <f>IFERROR(INDEX(tblPricesRaw[Open],MATCH($N41,tblPricesRaw[Key],0)),"")</f>
        <v/>
      </c>
      <c r="P41" s="11" t="str">
        <f>IFERROR(INDEX(tblPricesRaw[High],MATCH($N41,tblPricesRaw[Key],0)),"")</f>
        <v/>
      </c>
      <c r="Q41" s="11" t="str">
        <f>IFERROR(INDEX(tblPricesRaw[Low],MATCH($N41,tblPricesRaw[Key],0)),"")</f>
        <v/>
      </c>
      <c r="R41" s="11" t="str">
        <f>IFERROR(INDEX(tblPricesRaw[Close],MATCH($N41,tblPricesRaw[Key],0)),"")</f>
        <v/>
      </c>
      <c r="S41" s="11" t="str">
        <f>IFERROR(INDEX(tblPricesRaw[PrevClose],MATCH($N41,tblPricesRaw[Key],0)),"")</f>
        <v/>
      </c>
    </row>
    <row r="42" spans="1:19" x14ac:dyDescent="0.3">
      <c r="A42" s="7"/>
      <c r="B42" s="8"/>
      <c r="C42" s="9" t="str">
        <f>IFERROR(INDEX(tblEarningsRaw[EPS_Actual],MATCH($N42,tblEarningsRaw[Key],0)),"")</f>
        <v/>
      </c>
      <c r="D42" s="9" t="str">
        <f>IFERROR(INDEX(tblEarningsRaw[EPS_Estimate],MATCH($N42,tblEarningsRaw[Key],0)),"")</f>
        <v/>
      </c>
      <c r="E42" s="10" t="str">
        <f t="shared" si="8"/>
        <v/>
      </c>
      <c r="F42" s="8"/>
      <c r="G42" s="10" t="str">
        <f t="shared" si="9"/>
        <v/>
      </c>
      <c r="H42" s="10" t="str">
        <f t="shared" si="10"/>
        <v/>
      </c>
      <c r="I42" s="10" t="str">
        <f t="shared" si="11"/>
        <v/>
      </c>
      <c r="J42" s="11" t="str">
        <f t="shared" si="12"/>
        <v/>
      </c>
      <c r="K42" s="10" t="str">
        <f t="shared" si="13"/>
        <v/>
      </c>
      <c r="L42" s="12" t="str">
        <f t="shared" si="14"/>
        <v/>
      </c>
      <c r="M42" s="3"/>
      <c r="N42" s="11" t="str">
        <f t="shared" si="15"/>
        <v/>
      </c>
      <c r="O42" s="11" t="str">
        <f>IFERROR(INDEX(tblPricesRaw[Open],MATCH($N42,tblPricesRaw[Key],0)),"")</f>
        <v/>
      </c>
      <c r="P42" s="11" t="str">
        <f>IFERROR(INDEX(tblPricesRaw[High],MATCH($N42,tblPricesRaw[Key],0)),"")</f>
        <v/>
      </c>
      <c r="Q42" s="11" t="str">
        <f>IFERROR(INDEX(tblPricesRaw[Low],MATCH($N42,tblPricesRaw[Key],0)),"")</f>
        <v/>
      </c>
      <c r="R42" s="11" t="str">
        <f>IFERROR(INDEX(tblPricesRaw[Close],MATCH($N42,tblPricesRaw[Key],0)),"")</f>
        <v/>
      </c>
      <c r="S42" s="11" t="str">
        <f>IFERROR(INDEX(tblPricesRaw[PrevClose],MATCH($N42,tblPricesRaw[Key],0)),"")</f>
        <v/>
      </c>
    </row>
    <row r="43" spans="1:19" x14ac:dyDescent="0.3">
      <c r="A43" s="7"/>
      <c r="B43" s="8"/>
      <c r="C43" s="9" t="str">
        <f>IFERROR(INDEX(tblEarningsRaw[EPS_Actual],MATCH($N43,tblEarningsRaw[Key],0)),"")</f>
        <v/>
      </c>
      <c r="D43" s="9" t="str">
        <f>IFERROR(INDEX(tblEarningsRaw[EPS_Estimate],MATCH($N43,tblEarningsRaw[Key],0)),"")</f>
        <v/>
      </c>
      <c r="E43" s="10" t="str">
        <f t="shared" si="8"/>
        <v/>
      </c>
      <c r="F43" s="8"/>
      <c r="G43" s="10" t="str">
        <f t="shared" si="9"/>
        <v/>
      </c>
      <c r="H43" s="10" t="str">
        <f t="shared" si="10"/>
        <v/>
      </c>
      <c r="I43" s="10" t="str">
        <f t="shared" si="11"/>
        <v/>
      </c>
      <c r="J43" s="11" t="str">
        <f t="shared" si="12"/>
        <v/>
      </c>
      <c r="K43" s="10" t="str">
        <f t="shared" si="13"/>
        <v/>
      </c>
      <c r="L43" s="12" t="str">
        <f t="shared" si="14"/>
        <v/>
      </c>
      <c r="M43" s="3"/>
      <c r="N43" s="11" t="str">
        <f t="shared" si="15"/>
        <v/>
      </c>
      <c r="O43" s="11" t="str">
        <f>IFERROR(INDEX(tblPricesRaw[Open],MATCH($N43,tblPricesRaw[Key],0)),"")</f>
        <v/>
      </c>
      <c r="P43" s="11" t="str">
        <f>IFERROR(INDEX(tblPricesRaw[High],MATCH($N43,tblPricesRaw[Key],0)),"")</f>
        <v/>
      </c>
      <c r="Q43" s="11" t="str">
        <f>IFERROR(INDEX(tblPricesRaw[Low],MATCH($N43,tblPricesRaw[Key],0)),"")</f>
        <v/>
      </c>
      <c r="R43" s="11" t="str">
        <f>IFERROR(INDEX(tblPricesRaw[Close],MATCH($N43,tblPricesRaw[Key],0)),"")</f>
        <v/>
      </c>
      <c r="S43" s="11" t="str">
        <f>IFERROR(INDEX(tblPricesRaw[PrevClose],MATCH($N43,tblPricesRaw[Key],0)),"")</f>
        <v/>
      </c>
    </row>
    <row r="44" spans="1:19" x14ac:dyDescent="0.3">
      <c r="A44" s="7"/>
      <c r="B44" s="8"/>
      <c r="C44" s="9" t="str">
        <f>IFERROR(INDEX(tblEarningsRaw[EPS_Actual],MATCH($N44,tblEarningsRaw[Key],0)),"")</f>
        <v/>
      </c>
      <c r="D44" s="9" t="str">
        <f>IFERROR(INDEX(tblEarningsRaw[EPS_Estimate],MATCH($N44,tblEarningsRaw[Key],0)),"")</f>
        <v/>
      </c>
      <c r="E44" s="10" t="str">
        <f t="shared" si="8"/>
        <v/>
      </c>
      <c r="F44" s="8"/>
      <c r="G44" s="10" t="str">
        <f t="shared" si="9"/>
        <v/>
      </c>
      <c r="H44" s="10" t="str">
        <f t="shared" si="10"/>
        <v/>
      </c>
      <c r="I44" s="10" t="str">
        <f t="shared" si="11"/>
        <v/>
      </c>
      <c r="J44" s="11" t="str">
        <f t="shared" si="12"/>
        <v/>
      </c>
      <c r="K44" s="10" t="str">
        <f t="shared" si="13"/>
        <v/>
      </c>
      <c r="L44" s="12" t="str">
        <f t="shared" si="14"/>
        <v/>
      </c>
      <c r="M44" s="3"/>
      <c r="N44" s="11" t="str">
        <f t="shared" si="15"/>
        <v/>
      </c>
      <c r="O44" s="11" t="str">
        <f>IFERROR(INDEX(tblPricesRaw[Open],MATCH($N44,tblPricesRaw[Key],0)),"")</f>
        <v/>
      </c>
      <c r="P44" s="11" t="str">
        <f>IFERROR(INDEX(tblPricesRaw[High],MATCH($N44,tblPricesRaw[Key],0)),"")</f>
        <v/>
      </c>
      <c r="Q44" s="11" t="str">
        <f>IFERROR(INDEX(tblPricesRaw[Low],MATCH($N44,tblPricesRaw[Key],0)),"")</f>
        <v/>
      </c>
      <c r="R44" s="11" t="str">
        <f>IFERROR(INDEX(tblPricesRaw[Close],MATCH($N44,tblPricesRaw[Key],0)),"")</f>
        <v/>
      </c>
      <c r="S44" s="11" t="str">
        <f>IFERROR(INDEX(tblPricesRaw[PrevClose],MATCH($N44,tblPricesRaw[Key],0)),"")</f>
        <v/>
      </c>
    </row>
    <row r="45" spans="1:19" x14ac:dyDescent="0.3">
      <c r="A45" s="7"/>
      <c r="B45" s="8"/>
      <c r="C45" s="9" t="str">
        <f>IFERROR(INDEX(tblEarningsRaw[EPS_Actual],MATCH($N45,tblEarningsRaw[Key],0)),"")</f>
        <v/>
      </c>
      <c r="D45" s="9" t="str">
        <f>IFERROR(INDEX(tblEarningsRaw[EPS_Estimate],MATCH($N45,tblEarningsRaw[Key],0)),"")</f>
        <v/>
      </c>
      <c r="E45" s="10" t="str">
        <f t="shared" si="8"/>
        <v/>
      </c>
      <c r="F45" s="8"/>
      <c r="G45" s="10" t="str">
        <f t="shared" si="9"/>
        <v/>
      </c>
      <c r="H45" s="10" t="str">
        <f t="shared" si="10"/>
        <v/>
      </c>
      <c r="I45" s="10" t="str">
        <f t="shared" si="11"/>
        <v/>
      </c>
      <c r="J45" s="11" t="str">
        <f t="shared" si="12"/>
        <v/>
      </c>
      <c r="K45" s="10" t="str">
        <f t="shared" si="13"/>
        <v/>
      </c>
      <c r="L45" s="12" t="str">
        <f t="shared" si="14"/>
        <v/>
      </c>
      <c r="M45" s="3"/>
      <c r="N45" s="11" t="str">
        <f t="shared" si="15"/>
        <v/>
      </c>
      <c r="O45" s="11" t="str">
        <f>IFERROR(INDEX(tblPricesRaw[Open],MATCH($N45,tblPricesRaw[Key],0)),"")</f>
        <v/>
      </c>
      <c r="P45" s="11" t="str">
        <f>IFERROR(INDEX(tblPricesRaw[High],MATCH($N45,tblPricesRaw[Key],0)),"")</f>
        <v/>
      </c>
      <c r="Q45" s="11" t="str">
        <f>IFERROR(INDEX(tblPricesRaw[Low],MATCH($N45,tblPricesRaw[Key],0)),"")</f>
        <v/>
      </c>
      <c r="R45" s="11" t="str">
        <f>IFERROR(INDEX(tblPricesRaw[Close],MATCH($N45,tblPricesRaw[Key],0)),"")</f>
        <v/>
      </c>
      <c r="S45" s="11" t="str">
        <f>IFERROR(INDEX(tblPricesRaw[PrevClose],MATCH($N45,tblPricesRaw[Key],0)),"")</f>
        <v/>
      </c>
    </row>
    <row r="46" spans="1:19" x14ac:dyDescent="0.3">
      <c r="A46" s="7"/>
      <c r="B46" s="8"/>
      <c r="C46" s="9" t="str">
        <f>IFERROR(INDEX(tblEarningsRaw[EPS_Actual],MATCH($N46,tblEarningsRaw[Key],0)),"")</f>
        <v/>
      </c>
      <c r="D46" s="9" t="str">
        <f>IFERROR(INDEX(tblEarningsRaw[EPS_Estimate],MATCH($N46,tblEarningsRaw[Key],0)),"")</f>
        <v/>
      </c>
      <c r="E46" s="10" t="str">
        <f t="shared" si="8"/>
        <v/>
      </c>
      <c r="F46" s="8"/>
      <c r="G46" s="10" t="str">
        <f t="shared" si="9"/>
        <v/>
      </c>
      <c r="H46" s="10" t="str">
        <f t="shared" si="10"/>
        <v/>
      </c>
      <c r="I46" s="10" t="str">
        <f t="shared" si="11"/>
        <v/>
      </c>
      <c r="J46" s="11" t="str">
        <f t="shared" si="12"/>
        <v/>
      </c>
      <c r="K46" s="10" t="str">
        <f t="shared" si="13"/>
        <v/>
      </c>
      <c r="L46" s="12" t="str">
        <f t="shared" si="14"/>
        <v/>
      </c>
      <c r="M46" s="3"/>
      <c r="N46" s="11" t="str">
        <f t="shared" si="15"/>
        <v/>
      </c>
      <c r="O46" s="11" t="str">
        <f>IFERROR(INDEX(tblPricesRaw[Open],MATCH($N46,tblPricesRaw[Key],0)),"")</f>
        <v/>
      </c>
      <c r="P46" s="11" t="str">
        <f>IFERROR(INDEX(tblPricesRaw[High],MATCH($N46,tblPricesRaw[Key],0)),"")</f>
        <v/>
      </c>
      <c r="Q46" s="11" t="str">
        <f>IFERROR(INDEX(tblPricesRaw[Low],MATCH($N46,tblPricesRaw[Key],0)),"")</f>
        <v/>
      </c>
      <c r="R46" s="11" t="str">
        <f>IFERROR(INDEX(tblPricesRaw[Close],MATCH($N46,tblPricesRaw[Key],0)),"")</f>
        <v/>
      </c>
      <c r="S46" s="11" t="str">
        <f>IFERROR(INDEX(tblPricesRaw[PrevClose],MATCH($N46,tblPricesRaw[Key],0)),"")</f>
        <v/>
      </c>
    </row>
    <row r="47" spans="1:19" x14ac:dyDescent="0.3">
      <c r="A47" s="7"/>
      <c r="B47" s="8"/>
      <c r="C47" s="9" t="str">
        <f>IFERROR(INDEX(tblEarningsRaw[EPS_Actual],MATCH($N47,tblEarningsRaw[Key],0)),"")</f>
        <v/>
      </c>
      <c r="D47" s="9" t="str">
        <f>IFERROR(INDEX(tblEarningsRaw[EPS_Estimate],MATCH($N47,tblEarningsRaw[Key],0)),"")</f>
        <v/>
      </c>
      <c r="E47" s="10" t="str">
        <f t="shared" si="8"/>
        <v/>
      </c>
      <c r="F47" s="8"/>
      <c r="G47" s="10" t="str">
        <f t="shared" si="9"/>
        <v/>
      </c>
      <c r="H47" s="10" t="str">
        <f t="shared" si="10"/>
        <v/>
      </c>
      <c r="I47" s="10" t="str">
        <f t="shared" si="11"/>
        <v/>
      </c>
      <c r="J47" s="11" t="str">
        <f t="shared" si="12"/>
        <v/>
      </c>
      <c r="K47" s="10" t="str">
        <f t="shared" si="13"/>
        <v/>
      </c>
      <c r="L47" s="12" t="str">
        <f t="shared" si="14"/>
        <v/>
      </c>
      <c r="M47" s="3"/>
      <c r="N47" s="11" t="str">
        <f t="shared" si="15"/>
        <v/>
      </c>
      <c r="O47" s="11" t="str">
        <f>IFERROR(INDEX(tblPricesRaw[Open],MATCH($N47,tblPricesRaw[Key],0)),"")</f>
        <v/>
      </c>
      <c r="P47" s="11" t="str">
        <f>IFERROR(INDEX(tblPricesRaw[High],MATCH($N47,tblPricesRaw[Key],0)),"")</f>
        <v/>
      </c>
      <c r="Q47" s="11" t="str">
        <f>IFERROR(INDEX(tblPricesRaw[Low],MATCH($N47,tblPricesRaw[Key],0)),"")</f>
        <v/>
      </c>
      <c r="R47" s="11" t="str">
        <f>IFERROR(INDEX(tblPricesRaw[Close],MATCH($N47,tblPricesRaw[Key],0)),"")</f>
        <v/>
      </c>
      <c r="S47" s="11" t="str">
        <f>IFERROR(INDEX(tblPricesRaw[PrevClose],MATCH($N47,tblPricesRaw[Key],0)),"")</f>
        <v/>
      </c>
    </row>
    <row r="48" spans="1:19" x14ac:dyDescent="0.3">
      <c r="A48" s="7"/>
      <c r="B48" s="8"/>
      <c r="C48" s="9" t="str">
        <f>IFERROR(INDEX(tblEarningsRaw[EPS_Actual],MATCH($N48,tblEarningsRaw[Key],0)),"")</f>
        <v/>
      </c>
      <c r="D48" s="9" t="str">
        <f>IFERROR(INDEX(tblEarningsRaw[EPS_Estimate],MATCH($N48,tblEarningsRaw[Key],0)),"")</f>
        <v/>
      </c>
      <c r="E48" s="10" t="str">
        <f t="shared" si="8"/>
        <v/>
      </c>
      <c r="F48" s="8"/>
      <c r="G48" s="10" t="str">
        <f t="shared" si="9"/>
        <v/>
      </c>
      <c r="H48" s="10" t="str">
        <f t="shared" si="10"/>
        <v/>
      </c>
      <c r="I48" s="10" t="str">
        <f t="shared" si="11"/>
        <v/>
      </c>
      <c r="J48" s="11" t="str">
        <f t="shared" si="12"/>
        <v/>
      </c>
      <c r="K48" s="10" t="str">
        <f t="shared" si="13"/>
        <v/>
      </c>
      <c r="L48" s="12" t="str">
        <f t="shared" si="14"/>
        <v/>
      </c>
      <c r="M48" s="3"/>
      <c r="N48" s="11" t="str">
        <f t="shared" si="15"/>
        <v/>
      </c>
      <c r="O48" s="11" t="str">
        <f>IFERROR(INDEX(tblPricesRaw[Open],MATCH($N48,tblPricesRaw[Key],0)),"")</f>
        <v/>
      </c>
      <c r="P48" s="11" t="str">
        <f>IFERROR(INDEX(tblPricesRaw[High],MATCH($N48,tblPricesRaw[Key],0)),"")</f>
        <v/>
      </c>
      <c r="Q48" s="11" t="str">
        <f>IFERROR(INDEX(tblPricesRaw[Low],MATCH($N48,tblPricesRaw[Key],0)),"")</f>
        <v/>
      </c>
      <c r="R48" s="11" t="str">
        <f>IFERROR(INDEX(tblPricesRaw[Close],MATCH($N48,tblPricesRaw[Key],0)),"")</f>
        <v/>
      </c>
      <c r="S48" s="11" t="str">
        <f>IFERROR(INDEX(tblPricesRaw[PrevClose],MATCH($N48,tblPricesRaw[Key],0)),"")</f>
        <v/>
      </c>
    </row>
    <row r="49" spans="1:19" x14ac:dyDescent="0.3">
      <c r="A49" s="7"/>
      <c r="B49" s="8"/>
      <c r="C49" s="9" t="str">
        <f>IFERROR(INDEX(tblEarningsRaw[EPS_Actual],MATCH($N49,tblEarningsRaw[Key],0)),"")</f>
        <v/>
      </c>
      <c r="D49" s="9" t="str">
        <f>IFERROR(INDEX(tblEarningsRaw[EPS_Estimate],MATCH($N49,tblEarningsRaw[Key],0)),"")</f>
        <v/>
      </c>
      <c r="E49" s="10" t="str">
        <f t="shared" si="8"/>
        <v/>
      </c>
      <c r="F49" s="8"/>
      <c r="G49" s="10" t="str">
        <f t="shared" si="9"/>
        <v/>
      </c>
      <c r="H49" s="10" t="str">
        <f t="shared" si="10"/>
        <v/>
      </c>
      <c r="I49" s="10" t="str">
        <f t="shared" si="11"/>
        <v/>
      </c>
      <c r="J49" s="11" t="str">
        <f t="shared" si="12"/>
        <v/>
      </c>
      <c r="K49" s="10" t="str">
        <f t="shared" si="13"/>
        <v/>
      </c>
      <c r="L49" s="12" t="str">
        <f t="shared" si="14"/>
        <v/>
      </c>
      <c r="M49" s="3"/>
      <c r="N49" s="11" t="str">
        <f t="shared" si="15"/>
        <v/>
      </c>
      <c r="O49" s="11" t="str">
        <f>IFERROR(INDEX(tblPricesRaw[Open],MATCH($N49,tblPricesRaw[Key],0)),"")</f>
        <v/>
      </c>
      <c r="P49" s="11" t="str">
        <f>IFERROR(INDEX(tblPricesRaw[High],MATCH($N49,tblPricesRaw[Key],0)),"")</f>
        <v/>
      </c>
      <c r="Q49" s="11" t="str">
        <f>IFERROR(INDEX(tblPricesRaw[Low],MATCH($N49,tblPricesRaw[Key],0)),"")</f>
        <v/>
      </c>
      <c r="R49" s="11" t="str">
        <f>IFERROR(INDEX(tblPricesRaw[Close],MATCH($N49,tblPricesRaw[Key],0)),"")</f>
        <v/>
      </c>
      <c r="S49" s="11" t="str">
        <f>IFERROR(INDEX(tblPricesRaw[PrevClose],MATCH($N49,tblPricesRaw[Key],0)),"")</f>
        <v/>
      </c>
    </row>
    <row r="50" spans="1:19" x14ac:dyDescent="0.3">
      <c r="A50" s="7"/>
      <c r="B50" s="8"/>
      <c r="C50" s="9" t="str">
        <f>IFERROR(INDEX(tblEarningsRaw[EPS_Actual],MATCH($N50,tblEarningsRaw[Key],0)),"")</f>
        <v/>
      </c>
      <c r="D50" s="9" t="str">
        <f>IFERROR(INDEX(tblEarningsRaw[EPS_Estimate],MATCH($N50,tblEarningsRaw[Key],0)),"")</f>
        <v/>
      </c>
      <c r="E50" s="10" t="str">
        <f t="shared" si="8"/>
        <v/>
      </c>
      <c r="F50" s="8"/>
      <c r="G50" s="10" t="str">
        <f t="shared" si="9"/>
        <v/>
      </c>
      <c r="H50" s="10" t="str">
        <f t="shared" si="10"/>
        <v/>
      </c>
      <c r="I50" s="10" t="str">
        <f t="shared" si="11"/>
        <v/>
      </c>
      <c r="J50" s="11" t="str">
        <f t="shared" si="12"/>
        <v/>
      </c>
      <c r="K50" s="10" t="str">
        <f t="shared" si="13"/>
        <v/>
      </c>
      <c r="L50" s="12" t="str">
        <f t="shared" si="14"/>
        <v/>
      </c>
      <c r="M50" s="3"/>
      <c r="N50" s="11" t="str">
        <f t="shared" si="15"/>
        <v/>
      </c>
      <c r="O50" s="11" t="str">
        <f>IFERROR(INDEX(tblPricesRaw[Open],MATCH($N50,tblPricesRaw[Key],0)),"")</f>
        <v/>
      </c>
      <c r="P50" s="11" t="str">
        <f>IFERROR(INDEX(tblPricesRaw[High],MATCH($N50,tblPricesRaw[Key],0)),"")</f>
        <v/>
      </c>
      <c r="Q50" s="11" t="str">
        <f>IFERROR(INDEX(tblPricesRaw[Low],MATCH($N50,tblPricesRaw[Key],0)),"")</f>
        <v/>
      </c>
      <c r="R50" s="11" t="str">
        <f>IFERROR(INDEX(tblPricesRaw[Close],MATCH($N50,tblPricesRaw[Key],0)),"")</f>
        <v/>
      </c>
      <c r="S50" s="11" t="str">
        <f>IFERROR(INDEX(tblPricesRaw[PrevClose],MATCH($N50,tblPricesRaw[Key],0)),"")</f>
        <v/>
      </c>
    </row>
    <row r="51" spans="1:19" x14ac:dyDescent="0.3">
      <c r="A51" s="7"/>
      <c r="B51" s="8"/>
      <c r="C51" s="9" t="str">
        <f>IFERROR(INDEX(tblEarningsRaw[EPS_Actual],MATCH($N51,tblEarningsRaw[Key],0)),"")</f>
        <v/>
      </c>
      <c r="D51" s="9" t="str">
        <f>IFERROR(INDEX(tblEarningsRaw[EPS_Estimate],MATCH($N51,tblEarningsRaw[Key],0)),"")</f>
        <v/>
      </c>
      <c r="E51" s="10" t="str">
        <f t="shared" si="8"/>
        <v/>
      </c>
      <c r="F51" s="8"/>
      <c r="G51" s="10" t="str">
        <f t="shared" si="9"/>
        <v/>
      </c>
      <c r="H51" s="10" t="str">
        <f t="shared" si="10"/>
        <v/>
      </c>
      <c r="I51" s="10" t="str">
        <f t="shared" si="11"/>
        <v/>
      </c>
      <c r="J51" s="11" t="str">
        <f t="shared" si="12"/>
        <v/>
      </c>
      <c r="K51" s="10" t="str">
        <f t="shared" si="13"/>
        <v/>
      </c>
      <c r="L51" s="12" t="str">
        <f t="shared" si="14"/>
        <v/>
      </c>
      <c r="M51" s="3"/>
      <c r="N51" s="11" t="str">
        <f t="shared" si="15"/>
        <v/>
      </c>
      <c r="O51" s="11" t="str">
        <f>IFERROR(INDEX(tblPricesRaw[Open],MATCH($N51,tblPricesRaw[Key],0)),"")</f>
        <v/>
      </c>
      <c r="P51" s="11" t="str">
        <f>IFERROR(INDEX(tblPricesRaw[High],MATCH($N51,tblPricesRaw[Key],0)),"")</f>
        <v/>
      </c>
      <c r="Q51" s="11" t="str">
        <f>IFERROR(INDEX(tblPricesRaw[Low],MATCH($N51,tblPricesRaw[Key],0)),"")</f>
        <v/>
      </c>
      <c r="R51" s="11" t="str">
        <f>IFERROR(INDEX(tblPricesRaw[Close],MATCH($N51,tblPricesRaw[Key],0)),"")</f>
        <v/>
      </c>
      <c r="S51" s="11" t="str">
        <f>IFERROR(INDEX(tblPricesRaw[PrevClose],MATCH($N51,tblPricesRaw[Key],0)),"")</f>
        <v/>
      </c>
    </row>
    <row r="52" spans="1:19" x14ac:dyDescent="0.3">
      <c r="A52" s="7"/>
      <c r="B52" s="8"/>
      <c r="C52" s="9" t="str">
        <f>IFERROR(INDEX(tblEarningsRaw[EPS_Actual],MATCH($N52,tblEarningsRaw[Key],0)),"")</f>
        <v/>
      </c>
      <c r="D52" s="9" t="str">
        <f>IFERROR(INDEX(tblEarningsRaw[EPS_Estimate],MATCH($N52,tblEarningsRaw[Key],0)),"")</f>
        <v/>
      </c>
      <c r="E52" s="10" t="str">
        <f t="shared" si="8"/>
        <v/>
      </c>
      <c r="F52" s="8"/>
      <c r="G52" s="10" t="str">
        <f t="shared" si="9"/>
        <v/>
      </c>
      <c r="H52" s="10" t="str">
        <f t="shared" si="10"/>
        <v/>
      </c>
      <c r="I52" s="10" t="str">
        <f t="shared" si="11"/>
        <v/>
      </c>
      <c r="J52" s="11" t="str">
        <f t="shared" si="12"/>
        <v/>
      </c>
      <c r="K52" s="10" t="str">
        <f t="shared" si="13"/>
        <v/>
      </c>
      <c r="L52" s="12" t="str">
        <f t="shared" si="14"/>
        <v/>
      </c>
      <c r="M52" s="3"/>
      <c r="N52" s="11" t="str">
        <f t="shared" si="15"/>
        <v/>
      </c>
      <c r="O52" s="11" t="str">
        <f>IFERROR(INDEX(tblPricesRaw[Open],MATCH($N52,tblPricesRaw[Key],0)),"")</f>
        <v/>
      </c>
      <c r="P52" s="11" t="str">
        <f>IFERROR(INDEX(tblPricesRaw[High],MATCH($N52,tblPricesRaw[Key],0)),"")</f>
        <v/>
      </c>
      <c r="Q52" s="11" t="str">
        <f>IFERROR(INDEX(tblPricesRaw[Low],MATCH($N52,tblPricesRaw[Key],0)),"")</f>
        <v/>
      </c>
      <c r="R52" s="11" t="str">
        <f>IFERROR(INDEX(tblPricesRaw[Close],MATCH($N52,tblPricesRaw[Key],0)),"")</f>
        <v/>
      </c>
      <c r="S52" s="11" t="str">
        <f>IFERROR(INDEX(tblPricesRaw[PrevClose],MATCH($N52,tblPricesRaw[Key],0)),"")</f>
        <v/>
      </c>
    </row>
    <row r="53" spans="1:19" x14ac:dyDescent="0.3">
      <c r="A53" s="7"/>
      <c r="B53" s="8"/>
      <c r="C53" s="9" t="str">
        <f>IFERROR(INDEX(tblEarningsRaw[EPS_Actual],MATCH($N53,tblEarningsRaw[Key],0)),"")</f>
        <v/>
      </c>
      <c r="D53" s="9" t="str">
        <f>IFERROR(INDEX(tblEarningsRaw[EPS_Estimate],MATCH($N53,tblEarningsRaw[Key],0)),"")</f>
        <v/>
      </c>
      <c r="E53" s="10" t="str">
        <f t="shared" si="8"/>
        <v/>
      </c>
      <c r="F53" s="8"/>
      <c r="G53" s="10" t="str">
        <f t="shared" si="9"/>
        <v/>
      </c>
      <c r="H53" s="10" t="str">
        <f t="shared" si="10"/>
        <v/>
      </c>
      <c r="I53" s="10" t="str">
        <f t="shared" si="11"/>
        <v/>
      </c>
      <c r="J53" s="11" t="str">
        <f t="shared" si="12"/>
        <v/>
      </c>
      <c r="K53" s="10" t="str">
        <f t="shared" si="13"/>
        <v/>
      </c>
      <c r="L53" s="12" t="str">
        <f t="shared" si="14"/>
        <v/>
      </c>
      <c r="M53" s="3"/>
      <c r="N53" s="11" t="str">
        <f t="shared" si="15"/>
        <v/>
      </c>
      <c r="O53" s="11" t="str">
        <f>IFERROR(INDEX(tblPricesRaw[Open],MATCH($N53,tblPricesRaw[Key],0)),"")</f>
        <v/>
      </c>
      <c r="P53" s="11" t="str">
        <f>IFERROR(INDEX(tblPricesRaw[High],MATCH($N53,tblPricesRaw[Key],0)),"")</f>
        <v/>
      </c>
      <c r="Q53" s="11" t="str">
        <f>IFERROR(INDEX(tblPricesRaw[Low],MATCH($N53,tblPricesRaw[Key],0)),"")</f>
        <v/>
      </c>
      <c r="R53" s="11" t="str">
        <f>IFERROR(INDEX(tblPricesRaw[Close],MATCH($N53,tblPricesRaw[Key],0)),"")</f>
        <v/>
      </c>
      <c r="S53" s="11" t="str">
        <f>IFERROR(INDEX(tblPricesRaw[PrevClose],MATCH($N53,tblPricesRaw[Key],0)),"")</f>
        <v/>
      </c>
    </row>
    <row r="54" spans="1:19" x14ac:dyDescent="0.3">
      <c r="A54" s="7"/>
      <c r="B54" s="8"/>
      <c r="C54" s="9" t="str">
        <f>IFERROR(INDEX(tblEarningsRaw[EPS_Actual],MATCH($N54,tblEarningsRaw[Key],0)),"")</f>
        <v/>
      </c>
      <c r="D54" s="9" t="str">
        <f>IFERROR(INDEX(tblEarningsRaw[EPS_Estimate],MATCH($N54,tblEarningsRaw[Key],0)),"")</f>
        <v/>
      </c>
      <c r="E54" s="10" t="str">
        <f t="shared" si="8"/>
        <v/>
      </c>
      <c r="F54" s="8"/>
      <c r="G54" s="10" t="str">
        <f t="shared" si="9"/>
        <v/>
      </c>
      <c r="H54" s="10" t="str">
        <f t="shared" si="10"/>
        <v/>
      </c>
      <c r="I54" s="10" t="str">
        <f t="shared" si="11"/>
        <v/>
      </c>
      <c r="J54" s="11" t="str">
        <f t="shared" si="12"/>
        <v/>
      </c>
      <c r="K54" s="10" t="str">
        <f t="shared" si="13"/>
        <v/>
      </c>
      <c r="L54" s="12" t="str">
        <f t="shared" si="14"/>
        <v/>
      </c>
      <c r="M54" s="3"/>
      <c r="N54" s="11" t="str">
        <f t="shared" si="15"/>
        <v/>
      </c>
      <c r="O54" s="11" t="str">
        <f>IFERROR(INDEX(tblPricesRaw[Open],MATCH($N54,tblPricesRaw[Key],0)),"")</f>
        <v/>
      </c>
      <c r="P54" s="11" t="str">
        <f>IFERROR(INDEX(tblPricesRaw[High],MATCH($N54,tblPricesRaw[Key],0)),"")</f>
        <v/>
      </c>
      <c r="Q54" s="11" t="str">
        <f>IFERROR(INDEX(tblPricesRaw[Low],MATCH($N54,tblPricesRaw[Key],0)),"")</f>
        <v/>
      </c>
      <c r="R54" s="11" t="str">
        <f>IFERROR(INDEX(tblPricesRaw[Close],MATCH($N54,tblPricesRaw[Key],0)),"")</f>
        <v/>
      </c>
      <c r="S54" s="11" t="str">
        <f>IFERROR(INDEX(tblPricesRaw[PrevClose],MATCH($N54,tblPricesRaw[Key],0)),"")</f>
        <v/>
      </c>
    </row>
    <row r="55" spans="1:19" x14ac:dyDescent="0.3">
      <c r="A55" s="7"/>
      <c r="B55" s="8"/>
      <c r="C55" s="9" t="str">
        <f>IFERROR(INDEX(tblEarningsRaw[EPS_Actual],MATCH($N55,tblEarningsRaw[Key],0)),"")</f>
        <v/>
      </c>
      <c r="D55" s="9" t="str">
        <f>IFERROR(INDEX(tblEarningsRaw[EPS_Estimate],MATCH($N55,tblEarningsRaw[Key],0)),"")</f>
        <v/>
      </c>
      <c r="E55" s="10" t="str">
        <f t="shared" si="8"/>
        <v/>
      </c>
      <c r="F55" s="8"/>
      <c r="G55" s="10" t="str">
        <f t="shared" si="9"/>
        <v/>
      </c>
      <c r="H55" s="10" t="str">
        <f t="shared" si="10"/>
        <v/>
      </c>
      <c r="I55" s="10" t="str">
        <f t="shared" si="11"/>
        <v/>
      </c>
      <c r="J55" s="11" t="str">
        <f t="shared" si="12"/>
        <v/>
      </c>
      <c r="K55" s="10" t="str">
        <f t="shared" si="13"/>
        <v/>
      </c>
      <c r="L55" s="12" t="str">
        <f t="shared" si="14"/>
        <v/>
      </c>
      <c r="M55" s="3"/>
      <c r="N55" s="11" t="str">
        <f t="shared" si="15"/>
        <v/>
      </c>
      <c r="O55" s="11" t="str">
        <f>IFERROR(INDEX(tblPricesRaw[Open],MATCH($N55,tblPricesRaw[Key],0)),"")</f>
        <v/>
      </c>
      <c r="P55" s="11" t="str">
        <f>IFERROR(INDEX(tblPricesRaw[High],MATCH($N55,tblPricesRaw[Key],0)),"")</f>
        <v/>
      </c>
      <c r="Q55" s="11" t="str">
        <f>IFERROR(INDEX(tblPricesRaw[Low],MATCH($N55,tblPricesRaw[Key],0)),"")</f>
        <v/>
      </c>
      <c r="R55" s="11" t="str">
        <f>IFERROR(INDEX(tblPricesRaw[Close],MATCH($N55,tblPricesRaw[Key],0)),"")</f>
        <v/>
      </c>
      <c r="S55" s="11" t="str">
        <f>IFERROR(INDEX(tblPricesRaw[PrevClose],MATCH($N55,tblPricesRaw[Key],0)),"")</f>
        <v/>
      </c>
    </row>
    <row r="56" spans="1:19" x14ac:dyDescent="0.3">
      <c r="A56" s="7"/>
      <c r="B56" s="8"/>
      <c r="C56" s="9" t="str">
        <f>IFERROR(INDEX(tblEarningsRaw[EPS_Actual],MATCH($N56,tblEarningsRaw[Key],0)),"")</f>
        <v/>
      </c>
      <c r="D56" s="9" t="str">
        <f>IFERROR(INDEX(tblEarningsRaw[EPS_Estimate],MATCH($N56,tblEarningsRaw[Key],0)),"")</f>
        <v/>
      </c>
      <c r="E56" s="10" t="str">
        <f t="shared" si="8"/>
        <v/>
      </c>
      <c r="F56" s="8"/>
      <c r="G56" s="10" t="str">
        <f t="shared" si="9"/>
        <v/>
      </c>
      <c r="H56" s="10" t="str">
        <f t="shared" si="10"/>
        <v/>
      </c>
      <c r="I56" s="10" t="str">
        <f t="shared" si="11"/>
        <v/>
      </c>
      <c r="J56" s="11" t="str">
        <f t="shared" si="12"/>
        <v/>
      </c>
      <c r="K56" s="10" t="str">
        <f t="shared" si="13"/>
        <v/>
      </c>
      <c r="L56" s="12" t="str">
        <f t="shared" si="14"/>
        <v/>
      </c>
      <c r="M56" s="3"/>
      <c r="N56" s="11" t="str">
        <f t="shared" si="15"/>
        <v/>
      </c>
      <c r="O56" s="11" t="str">
        <f>IFERROR(INDEX(tblPricesRaw[Open],MATCH($N56,tblPricesRaw[Key],0)),"")</f>
        <v/>
      </c>
      <c r="P56" s="11" t="str">
        <f>IFERROR(INDEX(tblPricesRaw[High],MATCH($N56,tblPricesRaw[Key],0)),"")</f>
        <v/>
      </c>
      <c r="Q56" s="11" t="str">
        <f>IFERROR(INDEX(tblPricesRaw[Low],MATCH($N56,tblPricesRaw[Key],0)),"")</f>
        <v/>
      </c>
      <c r="R56" s="11" t="str">
        <f>IFERROR(INDEX(tblPricesRaw[Close],MATCH($N56,tblPricesRaw[Key],0)),"")</f>
        <v/>
      </c>
      <c r="S56" s="11" t="str">
        <f>IFERROR(INDEX(tblPricesRaw[PrevClose],MATCH($N56,tblPricesRaw[Key],0)),"")</f>
        <v/>
      </c>
    </row>
    <row r="57" spans="1:19" x14ac:dyDescent="0.3">
      <c r="A57" s="7"/>
      <c r="B57" s="8"/>
      <c r="C57" s="9" t="str">
        <f>IFERROR(INDEX(tblEarningsRaw[EPS_Actual],MATCH($N57,tblEarningsRaw[Key],0)),"")</f>
        <v/>
      </c>
      <c r="D57" s="9" t="str">
        <f>IFERROR(INDEX(tblEarningsRaw[EPS_Estimate],MATCH($N57,tblEarningsRaw[Key],0)),"")</f>
        <v/>
      </c>
      <c r="E57" s="10" t="str">
        <f t="shared" si="8"/>
        <v/>
      </c>
      <c r="F57" s="8"/>
      <c r="G57" s="10" t="str">
        <f t="shared" si="9"/>
        <v/>
      </c>
      <c r="H57" s="10" t="str">
        <f t="shared" si="10"/>
        <v/>
      </c>
      <c r="I57" s="10" t="str">
        <f t="shared" si="11"/>
        <v/>
      </c>
      <c r="J57" s="11" t="str">
        <f t="shared" si="12"/>
        <v/>
      </c>
      <c r="K57" s="10" t="str">
        <f t="shared" si="13"/>
        <v/>
      </c>
      <c r="L57" s="12" t="str">
        <f t="shared" si="14"/>
        <v/>
      </c>
      <c r="M57" s="3"/>
      <c r="N57" s="11" t="str">
        <f t="shared" si="15"/>
        <v/>
      </c>
      <c r="O57" s="11" t="str">
        <f>IFERROR(INDEX(tblPricesRaw[Open],MATCH($N57,tblPricesRaw[Key],0)),"")</f>
        <v/>
      </c>
      <c r="P57" s="11" t="str">
        <f>IFERROR(INDEX(tblPricesRaw[High],MATCH($N57,tblPricesRaw[Key],0)),"")</f>
        <v/>
      </c>
      <c r="Q57" s="11" t="str">
        <f>IFERROR(INDEX(tblPricesRaw[Low],MATCH($N57,tblPricesRaw[Key],0)),"")</f>
        <v/>
      </c>
      <c r="R57" s="11" t="str">
        <f>IFERROR(INDEX(tblPricesRaw[Close],MATCH($N57,tblPricesRaw[Key],0)),"")</f>
        <v/>
      </c>
      <c r="S57" s="11" t="str">
        <f>IFERROR(INDEX(tblPricesRaw[PrevClose],MATCH($N57,tblPricesRaw[Key],0)),"")</f>
        <v/>
      </c>
    </row>
    <row r="58" spans="1:19" x14ac:dyDescent="0.3">
      <c r="A58" s="7"/>
      <c r="B58" s="8"/>
      <c r="C58" s="9" t="str">
        <f>IFERROR(INDEX(tblEarningsRaw[EPS_Actual],MATCH($N58,tblEarningsRaw[Key],0)),"")</f>
        <v/>
      </c>
      <c r="D58" s="9" t="str">
        <f>IFERROR(INDEX(tblEarningsRaw[EPS_Estimate],MATCH($N58,tblEarningsRaw[Key],0)),"")</f>
        <v/>
      </c>
      <c r="E58" s="10" t="str">
        <f t="shared" si="8"/>
        <v/>
      </c>
      <c r="F58" s="8"/>
      <c r="G58" s="10" t="str">
        <f t="shared" si="9"/>
        <v/>
      </c>
      <c r="H58" s="10" t="str">
        <f t="shared" si="10"/>
        <v/>
      </c>
      <c r="I58" s="10" t="str">
        <f t="shared" si="11"/>
        <v/>
      </c>
      <c r="J58" s="11" t="str">
        <f t="shared" si="12"/>
        <v/>
      </c>
      <c r="K58" s="10" t="str">
        <f t="shared" si="13"/>
        <v/>
      </c>
      <c r="L58" s="12" t="str">
        <f t="shared" si="14"/>
        <v/>
      </c>
      <c r="M58" s="3"/>
      <c r="N58" s="11" t="str">
        <f t="shared" si="15"/>
        <v/>
      </c>
      <c r="O58" s="11" t="str">
        <f>IFERROR(INDEX(tblPricesRaw[Open],MATCH($N58,tblPricesRaw[Key],0)),"")</f>
        <v/>
      </c>
      <c r="P58" s="11" t="str">
        <f>IFERROR(INDEX(tblPricesRaw[High],MATCH($N58,tblPricesRaw[Key],0)),"")</f>
        <v/>
      </c>
      <c r="Q58" s="11" t="str">
        <f>IFERROR(INDEX(tblPricesRaw[Low],MATCH($N58,tblPricesRaw[Key],0)),"")</f>
        <v/>
      </c>
      <c r="R58" s="11" t="str">
        <f>IFERROR(INDEX(tblPricesRaw[Close],MATCH($N58,tblPricesRaw[Key],0)),"")</f>
        <v/>
      </c>
      <c r="S58" s="11" t="str">
        <f>IFERROR(INDEX(tblPricesRaw[PrevClose],MATCH($N58,tblPricesRaw[Key],0)),"")</f>
        <v/>
      </c>
    </row>
    <row r="59" spans="1:19" x14ac:dyDescent="0.3">
      <c r="A59" s="7"/>
      <c r="B59" s="8"/>
      <c r="C59" s="9" t="str">
        <f>IFERROR(INDEX(tblEarningsRaw[EPS_Actual],MATCH($N59,tblEarningsRaw[Key],0)),"")</f>
        <v/>
      </c>
      <c r="D59" s="9" t="str">
        <f>IFERROR(INDEX(tblEarningsRaw[EPS_Estimate],MATCH($N59,tblEarningsRaw[Key],0)),"")</f>
        <v/>
      </c>
      <c r="E59" s="10" t="str">
        <f t="shared" si="8"/>
        <v/>
      </c>
      <c r="F59" s="8"/>
      <c r="G59" s="10" t="str">
        <f t="shared" si="9"/>
        <v/>
      </c>
      <c r="H59" s="10" t="str">
        <f t="shared" si="10"/>
        <v/>
      </c>
      <c r="I59" s="10" t="str">
        <f t="shared" si="11"/>
        <v/>
      </c>
      <c r="J59" s="11" t="str">
        <f t="shared" si="12"/>
        <v/>
      </c>
      <c r="K59" s="10" t="str">
        <f t="shared" si="13"/>
        <v/>
      </c>
      <c r="L59" s="12" t="str">
        <f t="shared" si="14"/>
        <v/>
      </c>
      <c r="M59" s="3"/>
      <c r="N59" s="11" t="str">
        <f t="shared" si="15"/>
        <v/>
      </c>
      <c r="O59" s="11" t="str">
        <f>IFERROR(INDEX(tblPricesRaw[Open],MATCH($N59,tblPricesRaw[Key],0)),"")</f>
        <v/>
      </c>
      <c r="P59" s="11" t="str">
        <f>IFERROR(INDEX(tblPricesRaw[High],MATCH($N59,tblPricesRaw[Key],0)),"")</f>
        <v/>
      </c>
      <c r="Q59" s="11" t="str">
        <f>IFERROR(INDEX(tblPricesRaw[Low],MATCH($N59,tblPricesRaw[Key],0)),"")</f>
        <v/>
      </c>
      <c r="R59" s="11" t="str">
        <f>IFERROR(INDEX(tblPricesRaw[Close],MATCH($N59,tblPricesRaw[Key],0)),"")</f>
        <v/>
      </c>
      <c r="S59" s="11" t="str">
        <f>IFERROR(INDEX(tblPricesRaw[PrevClose],MATCH($N59,tblPricesRaw[Key],0)),"")</f>
        <v/>
      </c>
    </row>
    <row r="60" spans="1:19" x14ac:dyDescent="0.3">
      <c r="A60" s="7"/>
      <c r="B60" s="8"/>
      <c r="C60" s="9" t="str">
        <f>IFERROR(INDEX(tblEarningsRaw[EPS_Actual],MATCH($N60,tblEarningsRaw[Key],0)),"")</f>
        <v/>
      </c>
      <c r="D60" s="9" t="str">
        <f>IFERROR(INDEX(tblEarningsRaw[EPS_Estimate],MATCH($N60,tblEarningsRaw[Key],0)),"")</f>
        <v/>
      </c>
      <c r="E60" s="10" t="str">
        <f t="shared" si="8"/>
        <v/>
      </c>
      <c r="F60" s="8"/>
      <c r="G60" s="10" t="str">
        <f t="shared" si="9"/>
        <v/>
      </c>
      <c r="H60" s="10" t="str">
        <f t="shared" si="10"/>
        <v/>
      </c>
      <c r="I60" s="10" t="str">
        <f t="shared" si="11"/>
        <v/>
      </c>
      <c r="J60" s="11" t="str">
        <f t="shared" si="12"/>
        <v/>
      </c>
      <c r="K60" s="10" t="str">
        <f t="shared" si="13"/>
        <v/>
      </c>
      <c r="L60" s="12" t="str">
        <f t="shared" si="14"/>
        <v/>
      </c>
      <c r="M60" s="3"/>
      <c r="N60" s="11" t="str">
        <f t="shared" si="15"/>
        <v/>
      </c>
      <c r="O60" s="11" t="str">
        <f>IFERROR(INDEX(tblPricesRaw[Open],MATCH($N60,tblPricesRaw[Key],0)),"")</f>
        <v/>
      </c>
      <c r="P60" s="11" t="str">
        <f>IFERROR(INDEX(tblPricesRaw[High],MATCH($N60,tblPricesRaw[Key],0)),"")</f>
        <v/>
      </c>
      <c r="Q60" s="11" t="str">
        <f>IFERROR(INDEX(tblPricesRaw[Low],MATCH($N60,tblPricesRaw[Key],0)),"")</f>
        <v/>
      </c>
      <c r="R60" s="11" t="str">
        <f>IFERROR(INDEX(tblPricesRaw[Close],MATCH($N60,tblPricesRaw[Key],0)),"")</f>
        <v/>
      </c>
      <c r="S60" s="11" t="str">
        <f>IFERROR(INDEX(tblPricesRaw[PrevClose],MATCH($N60,tblPricesRaw[Key],0)),"")</f>
        <v/>
      </c>
    </row>
    <row r="61" spans="1:19" x14ac:dyDescent="0.3">
      <c r="A61" s="7"/>
      <c r="B61" s="8"/>
      <c r="C61" s="9" t="str">
        <f>IFERROR(INDEX(tblEarningsRaw[EPS_Actual],MATCH($N61,tblEarningsRaw[Key],0)),"")</f>
        <v/>
      </c>
      <c r="D61" s="9" t="str">
        <f>IFERROR(INDEX(tblEarningsRaw[EPS_Estimate],MATCH($N61,tblEarningsRaw[Key],0)),"")</f>
        <v/>
      </c>
      <c r="E61" s="10" t="str">
        <f t="shared" si="8"/>
        <v/>
      </c>
      <c r="F61" s="8"/>
      <c r="G61" s="10" t="str">
        <f t="shared" si="9"/>
        <v/>
      </c>
      <c r="H61" s="10" t="str">
        <f t="shared" si="10"/>
        <v/>
      </c>
      <c r="I61" s="10" t="str">
        <f t="shared" si="11"/>
        <v/>
      </c>
      <c r="J61" s="11" t="str">
        <f t="shared" si="12"/>
        <v/>
      </c>
      <c r="K61" s="10" t="str">
        <f t="shared" si="13"/>
        <v/>
      </c>
      <c r="L61" s="12" t="str">
        <f t="shared" si="14"/>
        <v/>
      </c>
      <c r="M61" s="3"/>
      <c r="N61" s="11" t="str">
        <f t="shared" si="15"/>
        <v/>
      </c>
      <c r="O61" s="11" t="str">
        <f>IFERROR(INDEX(tblPricesRaw[Open],MATCH($N61,tblPricesRaw[Key],0)),"")</f>
        <v/>
      </c>
      <c r="P61" s="11" t="str">
        <f>IFERROR(INDEX(tblPricesRaw[High],MATCH($N61,tblPricesRaw[Key],0)),"")</f>
        <v/>
      </c>
      <c r="Q61" s="11" t="str">
        <f>IFERROR(INDEX(tblPricesRaw[Low],MATCH($N61,tblPricesRaw[Key],0)),"")</f>
        <v/>
      </c>
      <c r="R61" s="11" t="str">
        <f>IFERROR(INDEX(tblPricesRaw[Close],MATCH($N61,tblPricesRaw[Key],0)),"")</f>
        <v/>
      </c>
      <c r="S61" s="11" t="str">
        <f>IFERROR(INDEX(tblPricesRaw[PrevClose],MATCH($N61,tblPricesRaw[Key],0)),"")</f>
        <v/>
      </c>
    </row>
    <row r="62" spans="1:19" x14ac:dyDescent="0.3">
      <c r="A62" s="7"/>
      <c r="B62" s="8"/>
      <c r="C62" s="9" t="str">
        <f>IFERROR(INDEX(tblEarningsRaw[EPS_Actual],MATCH($N62,tblEarningsRaw[Key],0)),"")</f>
        <v/>
      </c>
      <c r="D62" s="9" t="str">
        <f>IFERROR(INDEX(tblEarningsRaw[EPS_Estimate],MATCH($N62,tblEarningsRaw[Key],0)),"")</f>
        <v/>
      </c>
      <c r="E62" s="10" t="str">
        <f t="shared" si="8"/>
        <v/>
      </c>
      <c r="F62" s="8"/>
      <c r="G62" s="10" t="str">
        <f t="shared" si="9"/>
        <v/>
      </c>
      <c r="H62" s="10" t="str">
        <f t="shared" si="10"/>
        <v/>
      </c>
      <c r="I62" s="10" t="str">
        <f t="shared" si="11"/>
        <v/>
      </c>
      <c r="J62" s="11" t="str">
        <f t="shared" si="12"/>
        <v/>
      </c>
      <c r="K62" s="10" t="str">
        <f t="shared" si="13"/>
        <v/>
      </c>
      <c r="L62" s="12" t="str">
        <f t="shared" si="14"/>
        <v/>
      </c>
      <c r="M62" s="3"/>
      <c r="N62" s="11" t="str">
        <f t="shared" si="15"/>
        <v/>
      </c>
      <c r="O62" s="11" t="str">
        <f>IFERROR(INDEX(tblPricesRaw[Open],MATCH($N62,tblPricesRaw[Key],0)),"")</f>
        <v/>
      </c>
      <c r="P62" s="11" t="str">
        <f>IFERROR(INDEX(tblPricesRaw[High],MATCH($N62,tblPricesRaw[Key],0)),"")</f>
        <v/>
      </c>
      <c r="Q62" s="11" t="str">
        <f>IFERROR(INDEX(tblPricesRaw[Low],MATCH($N62,tblPricesRaw[Key],0)),"")</f>
        <v/>
      </c>
      <c r="R62" s="11" t="str">
        <f>IFERROR(INDEX(tblPricesRaw[Close],MATCH($N62,tblPricesRaw[Key],0)),"")</f>
        <v/>
      </c>
      <c r="S62" s="11" t="str">
        <f>IFERROR(INDEX(tblPricesRaw[PrevClose],MATCH($N62,tblPricesRaw[Key],0)),"")</f>
        <v/>
      </c>
    </row>
    <row r="63" spans="1:19" x14ac:dyDescent="0.3">
      <c r="A63" s="7"/>
      <c r="B63" s="8"/>
      <c r="C63" s="9" t="str">
        <f>IFERROR(INDEX(tblEarningsRaw[EPS_Actual],MATCH($N63,tblEarningsRaw[Key],0)),"")</f>
        <v/>
      </c>
      <c r="D63" s="9" t="str">
        <f>IFERROR(INDEX(tblEarningsRaw[EPS_Estimate],MATCH($N63,tblEarningsRaw[Key],0)),"")</f>
        <v/>
      </c>
      <c r="E63" s="10" t="str">
        <f t="shared" si="8"/>
        <v/>
      </c>
      <c r="F63" s="8"/>
      <c r="G63" s="10" t="str">
        <f t="shared" si="9"/>
        <v/>
      </c>
      <c r="H63" s="10" t="str">
        <f t="shared" si="10"/>
        <v/>
      </c>
      <c r="I63" s="10" t="str">
        <f t="shared" si="11"/>
        <v/>
      </c>
      <c r="J63" s="11" t="str">
        <f t="shared" si="12"/>
        <v/>
      </c>
      <c r="K63" s="10" t="str">
        <f t="shared" si="13"/>
        <v/>
      </c>
      <c r="L63" s="12" t="str">
        <f t="shared" si="14"/>
        <v/>
      </c>
      <c r="M63" s="3"/>
      <c r="N63" s="11" t="str">
        <f t="shared" si="15"/>
        <v/>
      </c>
      <c r="O63" s="11" t="str">
        <f>IFERROR(INDEX(tblPricesRaw[Open],MATCH($N63,tblPricesRaw[Key],0)),"")</f>
        <v/>
      </c>
      <c r="P63" s="11" t="str">
        <f>IFERROR(INDEX(tblPricesRaw[High],MATCH($N63,tblPricesRaw[Key],0)),"")</f>
        <v/>
      </c>
      <c r="Q63" s="11" t="str">
        <f>IFERROR(INDEX(tblPricesRaw[Low],MATCH($N63,tblPricesRaw[Key],0)),"")</f>
        <v/>
      </c>
      <c r="R63" s="11" t="str">
        <f>IFERROR(INDEX(tblPricesRaw[Close],MATCH($N63,tblPricesRaw[Key],0)),"")</f>
        <v/>
      </c>
      <c r="S63" s="11" t="str">
        <f>IFERROR(INDEX(tblPricesRaw[PrevClose],MATCH($N63,tblPricesRaw[Key],0)),"")</f>
        <v/>
      </c>
    </row>
    <row r="64" spans="1:19" x14ac:dyDescent="0.3">
      <c r="A64" s="7"/>
      <c r="B64" s="8"/>
      <c r="C64" s="9" t="str">
        <f>IFERROR(INDEX(tblEarningsRaw[EPS_Actual],MATCH($N64,tblEarningsRaw[Key],0)),"")</f>
        <v/>
      </c>
      <c r="D64" s="9" t="str">
        <f>IFERROR(INDEX(tblEarningsRaw[EPS_Estimate],MATCH($N64,tblEarningsRaw[Key],0)),"")</f>
        <v/>
      </c>
      <c r="E64" s="10" t="str">
        <f t="shared" si="8"/>
        <v/>
      </c>
      <c r="F64" s="8"/>
      <c r="G64" s="10" t="str">
        <f t="shared" si="9"/>
        <v/>
      </c>
      <c r="H64" s="10" t="str">
        <f t="shared" si="10"/>
        <v/>
      </c>
      <c r="I64" s="10" t="str">
        <f t="shared" si="11"/>
        <v/>
      </c>
      <c r="J64" s="11" t="str">
        <f t="shared" si="12"/>
        <v/>
      </c>
      <c r="K64" s="10" t="str">
        <f t="shared" si="13"/>
        <v/>
      </c>
      <c r="L64" s="12" t="str">
        <f t="shared" si="14"/>
        <v/>
      </c>
      <c r="M64" s="3"/>
      <c r="N64" s="11" t="str">
        <f t="shared" si="15"/>
        <v/>
      </c>
      <c r="O64" s="11" t="str">
        <f>IFERROR(INDEX(tblPricesRaw[Open],MATCH($N64,tblPricesRaw[Key],0)),"")</f>
        <v/>
      </c>
      <c r="P64" s="11" t="str">
        <f>IFERROR(INDEX(tblPricesRaw[High],MATCH($N64,tblPricesRaw[Key],0)),"")</f>
        <v/>
      </c>
      <c r="Q64" s="11" t="str">
        <f>IFERROR(INDEX(tblPricesRaw[Low],MATCH($N64,tblPricesRaw[Key],0)),"")</f>
        <v/>
      </c>
      <c r="R64" s="11" t="str">
        <f>IFERROR(INDEX(tblPricesRaw[Close],MATCH($N64,tblPricesRaw[Key],0)),"")</f>
        <v/>
      </c>
      <c r="S64" s="11" t="str">
        <f>IFERROR(INDEX(tblPricesRaw[PrevClose],MATCH($N64,tblPricesRaw[Key],0)),"")</f>
        <v/>
      </c>
    </row>
    <row r="65" spans="1:19" x14ac:dyDescent="0.3">
      <c r="A65" s="7"/>
      <c r="B65" s="8"/>
      <c r="C65" s="9" t="str">
        <f>IFERROR(INDEX(tblEarningsRaw[EPS_Actual],MATCH($N65,tblEarningsRaw[Key],0)),"")</f>
        <v/>
      </c>
      <c r="D65" s="9" t="str">
        <f>IFERROR(INDEX(tblEarningsRaw[EPS_Estimate],MATCH($N65,tblEarningsRaw[Key],0)),"")</f>
        <v/>
      </c>
      <c r="E65" s="10" t="str">
        <f t="shared" si="8"/>
        <v/>
      </c>
      <c r="F65" s="8"/>
      <c r="G65" s="10" t="str">
        <f t="shared" si="9"/>
        <v/>
      </c>
      <c r="H65" s="10" t="str">
        <f t="shared" si="10"/>
        <v/>
      </c>
      <c r="I65" s="10" t="str">
        <f t="shared" si="11"/>
        <v/>
      </c>
      <c r="J65" s="11" t="str">
        <f t="shared" si="12"/>
        <v/>
      </c>
      <c r="K65" s="10" t="str">
        <f t="shared" si="13"/>
        <v/>
      </c>
      <c r="L65" s="12" t="str">
        <f t="shared" si="14"/>
        <v/>
      </c>
      <c r="M65" s="3"/>
      <c r="N65" s="11" t="str">
        <f t="shared" si="15"/>
        <v/>
      </c>
      <c r="O65" s="11" t="str">
        <f>IFERROR(INDEX(tblPricesRaw[Open],MATCH($N65,tblPricesRaw[Key],0)),"")</f>
        <v/>
      </c>
      <c r="P65" s="11" t="str">
        <f>IFERROR(INDEX(tblPricesRaw[High],MATCH($N65,tblPricesRaw[Key],0)),"")</f>
        <v/>
      </c>
      <c r="Q65" s="11" t="str">
        <f>IFERROR(INDEX(tblPricesRaw[Low],MATCH($N65,tblPricesRaw[Key],0)),"")</f>
        <v/>
      </c>
      <c r="R65" s="11" t="str">
        <f>IFERROR(INDEX(tblPricesRaw[Close],MATCH($N65,tblPricesRaw[Key],0)),"")</f>
        <v/>
      </c>
      <c r="S65" s="11" t="str">
        <f>IFERROR(INDEX(tblPricesRaw[PrevClose],MATCH($N65,tblPricesRaw[Key],0)),"")</f>
        <v/>
      </c>
    </row>
    <row r="66" spans="1:19" x14ac:dyDescent="0.3">
      <c r="A66" s="7"/>
      <c r="B66" s="8"/>
      <c r="C66" s="9" t="str">
        <f>IFERROR(INDEX(tblEarningsRaw[EPS_Actual],MATCH($N66,tblEarningsRaw[Key],0)),"")</f>
        <v/>
      </c>
      <c r="D66" s="9" t="str">
        <f>IFERROR(INDEX(tblEarningsRaw[EPS_Estimate],MATCH($N66,tblEarningsRaw[Key],0)),"")</f>
        <v/>
      </c>
      <c r="E66" s="10" t="str">
        <f t="shared" si="8"/>
        <v/>
      </c>
      <c r="F66" s="8"/>
      <c r="G66" s="10" t="str">
        <f t="shared" si="9"/>
        <v/>
      </c>
      <c r="H66" s="10" t="str">
        <f t="shared" si="10"/>
        <v/>
      </c>
      <c r="I66" s="10" t="str">
        <f t="shared" si="11"/>
        <v/>
      </c>
      <c r="J66" s="11" t="str">
        <f t="shared" si="12"/>
        <v/>
      </c>
      <c r="K66" s="10" t="str">
        <f t="shared" si="13"/>
        <v/>
      </c>
      <c r="L66" s="12" t="str">
        <f t="shared" si="14"/>
        <v/>
      </c>
      <c r="M66" s="3"/>
      <c r="N66" s="11" t="str">
        <f t="shared" si="15"/>
        <v/>
      </c>
      <c r="O66" s="11" t="str">
        <f>IFERROR(INDEX(tblPricesRaw[Open],MATCH($N66,tblPricesRaw[Key],0)),"")</f>
        <v/>
      </c>
      <c r="P66" s="11" t="str">
        <f>IFERROR(INDEX(tblPricesRaw[High],MATCH($N66,tblPricesRaw[Key],0)),"")</f>
        <v/>
      </c>
      <c r="Q66" s="11" t="str">
        <f>IFERROR(INDEX(tblPricesRaw[Low],MATCH($N66,tblPricesRaw[Key],0)),"")</f>
        <v/>
      </c>
      <c r="R66" s="11" t="str">
        <f>IFERROR(INDEX(tblPricesRaw[Close],MATCH($N66,tblPricesRaw[Key],0)),"")</f>
        <v/>
      </c>
      <c r="S66" s="11" t="str">
        <f>IFERROR(INDEX(tblPricesRaw[PrevClose],MATCH($N66,tblPricesRaw[Key],0)),"")</f>
        <v/>
      </c>
    </row>
    <row r="67" spans="1:19" x14ac:dyDescent="0.3">
      <c r="A67" s="7"/>
      <c r="B67" s="8"/>
      <c r="C67" s="9" t="str">
        <f>IFERROR(INDEX(tblEarningsRaw[EPS_Actual],MATCH($N67,tblEarningsRaw[Key],0)),"")</f>
        <v/>
      </c>
      <c r="D67" s="9" t="str">
        <f>IFERROR(INDEX(tblEarningsRaw[EPS_Estimate],MATCH($N67,tblEarningsRaw[Key],0)),"")</f>
        <v/>
      </c>
      <c r="E67" s="10" t="str">
        <f t="shared" si="8"/>
        <v/>
      </c>
      <c r="F67" s="8"/>
      <c r="G67" s="10" t="str">
        <f t="shared" si="9"/>
        <v/>
      </c>
      <c r="H67" s="10" t="str">
        <f t="shared" si="10"/>
        <v/>
      </c>
      <c r="I67" s="10" t="str">
        <f t="shared" si="11"/>
        <v/>
      </c>
      <c r="J67" s="11" t="str">
        <f t="shared" si="12"/>
        <v/>
      </c>
      <c r="K67" s="10" t="str">
        <f t="shared" si="13"/>
        <v/>
      </c>
      <c r="L67" s="12" t="str">
        <f t="shared" si="14"/>
        <v/>
      </c>
      <c r="M67" s="3"/>
      <c r="N67" s="11" t="str">
        <f t="shared" si="15"/>
        <v/>
      </c>
      <c r="O67" s="11" t="str">
        <f>IFERROR(INDEX(tblPricesRaw[Open],MATCH($N67,tblPricesRaw[Key],0)),"")</f>
        <v/>
      </c>
      <c r="P67" s="11" t="str">
        <f>IFERROR(INDEX(tblPricesRaw[High],MATCH($N67,tblPricesRaw[Key],0)),"")</f>
        <v/>
      </c>
      <c r="Q67" s="11" t="str">
        <f>IFERROR(INDEX(tblPricesRaw[Low],MATCH($N67,tblPricesRaw[Key],0)),"")</f>
        <v/>
      </c>
      <c r="R67" s="11" t="str">
        <f>IFERROR(INDEX(tblPricesRaw[Close],MATCH($N67,tblPricesRaw[Key],0)),"")</f>
        <v/>
      </c>
      <c r="S67" s="11" t="str">
        <f>IFERROR(INDEX(tblPricesRaw[PrevClose],MATCH($N67,tblPricesRaw[Key],0)),"")</f>
        <v/>
      </c>
    </row>
    <row r="68" spans="1:19" x14ac:dyDescent="0.3">
      <c r="A68" s="7"/>
      <c r="B68" s="8"/>
      <c r="C68" s="9" t="str">
        <f>IFERROR(INDEX(tblEarningsRaw[EPS_Actual],MATCH($N68,tblEarningsRaw[Key],0)),"")</f>
        <v/>
      </c>
      <c r="D68" s="9" t="str">
        <f>IFERROR(INDEX(tblEarningsRaw[EPS_Estimate],MATCH($N68,tblEarningsRaw[Key],0)),"")</f>
        <v/>
      </c>
      <c r="E68" s="10" t="str">
        <f t="shared" si="8"/>
        <v/>
      </c>
      <c r="F68" s="8"/>
      <c r="G68" s="10" t="str">
        <f t="shared" si="9"/>
        <v/>
      </c>
      <c r="H68" s="10" t="str">
        <f t="shared" si="10"/>
        <v/>
      </c>
      <c r="I68" s="10" t="str">
        <f t="shared" si="11"/>
        <v/>
      </c>
      <c r="J68" s="11" t="str">
        <f t="shared" si="12"/>
        <v/>
      </c>
      <c r="K68" s="10" t="str">
        <f t="shared" si="13"/>
        <v/>
      </c>
      <c r="L68" s="12" t="str">
        <f t="shared" si="14"/>
        <v/>
      </c>
      <c r="M68" s="3"/>
      <c r="N68" s="11" t="str">
        <f t="shared" si="15"/>
        <v/>
      </c>
      <c r="O68" s="11" t="str">
        <f>IFERROR(INDEX(tblPricesRaw[Open],MATCH($N68,tblPricesRaw[Key],0)),"")</f>
        <v/>
      </c>
      <c r="P68" s="11" t="str">
        <f>IFERROR(INDEX(tblPricesRaw[High],MATCH($N68,tblPricesRaw[Key],0)),"")</f>
        <v/>
      </c>
      <c r="Q68" s="11" t="str">
        <f>IFERROR(INDEX(tblPricesRaw[Low],MATCH($N68,tblPricesRaw[Key],0)),"")</f>
        <v/>
      </c>
      <c r="R68" s="11" t="str">
        <f>IFERROR(INDEX(tblPricesRaw[Close],MATCH($N68,tblPricesRaw[Key],0)),"")</f>
        <v/>
      </c>
      <c r="S68" s="11" t="str">
        <f>IFERROR(INDEX(tblPricesRaw[PrevClose],MATCH($N68,tblPricesRaw[Key],0)),"")</f>
        <v/>
      </c>
    </row>
    <row r="69" spans="1:19" x14ac:dyDescent="0.3">
      <c r="A69" s="7"/>
      <c r="B69" s="8"/>
      <c r="C69" s="9" t="str">
        <f>IFERROR(INDEX(tblEarningsRaw[EPS_Actual],MATCH($N69,tblEarningsRaw[Key],0)),"")</f>
        <v/>
      </c>
      <c r="D69" s="9" t="str">
        <f>IFERROR(INDEX(tblEarningsRaw[EPS_Estimate],MATCH($N69,tblEarningsRaw[Key],0)),"")</f>
        <v/>
      </c>
      <c r="E69" s="10" t="str">
        <f t="shared" ref="E69:E100" si="16">IF(AND(C69&lt;&gt;"",D69&lt;&gt;""), (C69-D69)/ABS(D69), "")</f>
        <v/>
      </c>
      <c r="F69" s="8"/>
      <c r="G69" s="10" t="str">
        <f t="shared" ref="G69:G100" si="17">IF(AND($O69&lt;&gt;"",$S69&lt;&gt;""), ($O69-$S69)/$S69, "")</f>
        <v/>
      </c>
      <c r="H69" s="10" t="str">
        <f t="shared" ref="H69:H100" si="18">IF(AND($R69&lt;&gt;"",$S69&lt;&gt;""), ($R69-$S69)/$S69, "")</f>
        <v/>
      </c>
      <c r="I69" s="10" t="str">
        <f t="shared" ref="I69:I100" si="19">IF(AND($P69&lt;&gt;"",$Q69&lt;&gt;"",$S69&lt;&gt;""), ($P69-$Q69)/$S69, "")</f>
        <v/>
      </c>
      <c r="J69" s="11" t="str">
        <f t="shared" ref="J69:J100" si="20">IF(OR(E69="",H69=""),"",IF(AND(E69&gt;0,H69&gt;0),"利好确认",IF(AND(E69&gt;0,H69&lt;=0),"利好不涨",IF(AND(E69&lt;0,H69&lt;0),"利空确认",IF(AND(E69&lt;0,H69&gt;=0),"利空不跌","中性")))))</f>
        <v/>
      </c>
      <c r="K69" s="10" t="str">
        <f t="shared" ref="K69:K100" si="21">IF(A69="", "", IFERROR(COUNTIFS($A$5:$A$204,A69,$H$5:$H$204,"&gt;0")/COUNTIF($A$5:$A$204,A69),""))</f>
        <v/>
      </c>
      <c r="L69" s="12" t="str">
        <f t="shared" ref="L69:L100" si="22">IF(A69="", "", IF(E69&gt;0.05,1,0) + IF(F69=1,1,0) + IF(H69&gt;0.03,1,0) - IF(J69="利好不涨",2,0) + IF(J69="利空不跌",2,0))</f>
        <v/>
      </c>
      <c r="M69" s="3"/>
      <c r="N69" s="11" t="str">
        <f t="shared" ref="N69:N100" si="23">IF(AND(A69&lt;&gt;"",B69&lt;&gt;""),B69&amp;"|"&amp;TEXT(A69,"yyyy-mm-dd"),"")</f>
        <v/>
      </c>
      <c r="O69" s="11" t="str">
        <f>IFERROR(INDEX(tblPricesRaw[Open],MATCH($N69,tblPricesRaw[Key],0)),"")</f>
        <v/>
      </c>
      <c r="P69" s="11" t="str">
        <f>IFERROR(INDEX(tblPricesRaw[High],MATCH($N69,tblPricesRaw[Key],0)),"")</f>
        <v/>
      </c>
      <c r="Q69" s="11" t="str">
        <f>IFERROR(INDEX(tblPricesRaw[Low],MATCH($N69,tblPricesRaw[Key],0)),"")</f>
        <v/>
      </c>
      <c r="R69" s="11" t="str">
        <f>IFERROR(INDEX(tblPricesRaw[Close],MATCH($N69,tblPricesRaw[Key],0)),"")</f>
        <v/>
      </c>
      <c r="S69" s="11" t="str">
        <f>IFERROR(INDEX(tblPricesRaw[PrevClose],MATCH($N69,tblPricesRaw[Key],0)),"")</f>
        <v/>
      </c>
    </row>
    <row r="70" spans="1:19" x14ac:dyDescent="0.3">
      <c r="A70" s="7"/>
      <c r="B70" s="8"/>
      <c r="C70" s="9" t="str">
        <f>IFERROR(INDEX(tblEarningsRaw[EPS_Actual],MATCH($N70,tblEarningsRaw[Key],0)),"")</f>
        <v/>
      </c>
      <c r="D70" s="9" t="str">
        <f>IFERROR(INDEX(tblEarningsRaw[EPS_Estimate],MATCH($N70,tblEarningsRaw[Key],0)),"")</f>
        <v/>
      </c>
      <c r="E70" s="10" t="str">
        <f t="shared" si="16"/>
        <v/>
      </c>
      <c r="F70" s="8"/>
      <c r="G70" s="10" t="str">
        <f t="shared" si="17"/>
        <v/>
      </c>
      <c r="H70" s="10" t="str">
        <f t="shared" si="18"/>
        <v/>
      </c>
      <c r="I70" s="10" t="str">
        <f t="shared" si="19"/>
        <v/>
      </c>
      <c r="J70" s="11" t="str">
        <f t="shared" si="20"/>
        <v/>
      </c>
      <c r="K70" s="10" t="str">
        <f t="shared" si="21"/>
        <v/>
      </c>
      <c r="L70" s="12" t="str">
        <f t="shared" si="22"/>
        <v/>
      </c>
      <c r="M70" s="3"/>
      <c r="N70" s="11" t="str">
        <f t="shared" si="23"/>
        <v/>
      </c>
      <c r="O70" s="11" t="str">
        <f>IFERROR(INDEX(tblPricesRaw[Open],MATCH($N70,tblPricesRaw[Key],0)),"")</f>
        <v/>
      </c>
      <c r="P70" s="11" t="str">
        <f>IFERROR(INDEX(tblPricesRaw[High],MATCH($N70,tblPricesRaw[Key],0)),"")</f>
        <v/>
      </c>
      <c r="Q70" s="11" t="str">
        <f>IFERROR(INDEX(tblPricesRaw[Low],MATCH($N70,tblPricesRaw[Key],0)),"")</f>
        <v/>
      </c>
      <c r="R70" s="11" t="str">
        <f>IFERROR(INDEX(tblPricesRaw[Close],MATCH($N70,tblPricesRaw[Key],0)),"")</f>
        <v/>
      </c>
      <c r="S70" s="11" t="str">
        <f>IFERROR(INDEX(tblPricesRaw[PrevClose],MATCH($N70,tblPricesRaw[Key],0)),"")</f>
        <v/>
      </c>
    </row>
    <row r="71" spans="1:19" x14ac:dyDescent="0.3">
      <c r="A71" s="7"/>
      <c r="B71" s="8"/>
      <c r="C71" s="9" t="str">
        <f>IFERROR(INDEX(tblEarningsRaw[EPS_Actual],MATCH($N71,tblEarningsRaw[Key],0)),"")</f>
        <v/>
      </c>
      <c r="D71" s="9" t="str">
        <f>IFERROR(INDEX(tblEarningsRaw[EPS_Estimate],MATCH($N71,tblEarningsRaw[Key],0)),"")</f>
        <v/>
      </c>
      <c r="E71" s="10" t="str">
        <f t="shared" si="16"/>
        <v/>
      </c>
      <c r="F71" s="8"/>
      <c r="G71" s="10" t="str">
        <f t="shared" si="17"/>
        <v/>
      </c>
      <c r="H71" s="10" t="str">
        <f t="shared" si="18"/>
        <v/>
      </c>
      <c r="I71" s="10" t="str">
        <f t="shared" si="19"/>
        <v/>
      </c>
      <c r="J71" s="11" t="str">
        <f t="shared" si="20"/>
        <v/>
      </c>
      <c r="K71" s="10" t="str">
        <f t="shared" si="21"/>
        <v/>
      </c>
      <c r="L71" s="12" t="str">
        <f t="shared" si="22"/>
        <v/>
      </c>
      <c r="M71" s="3"/>
      <c r="N71" s="11" t="str">
        <f t="shared" si="23"/>
        <v/>
      </c>
      <c r="O71" s="11" t="str">
        <f>IFERROR(INDEX(tblPricesRaw[Open],MATCH($N71,tblPricesRaw[Key],0)),"")</f>
        <v/>
      </c>
      <c r="P71" s="11" t="str">
        <f>IFERROR(INDEX(tblPricesRaw[High],MATCH($N71,tblPricesRaw[Key],0)),"")</f>
        <v/>
      </c>
      <c r="Q71" s="11" t="str">
        <f>IFERROR(INDEX(tblPricesRaw[Low],MATCH($N71,tblPricesRaw[Key],0)),"")</f>
        <v/>
      </c>
      <c r="R71" s="11" t="str">
        <f>IFERROR(INDEX(tblPricesRaw[Close],MATCH($N71,tblPricesRaw[Key],0)),"")</f>
        <v/>
      </c>
      <c r="S71" s="11" t="str">
        <f>IFERROR(INDEX(tblPricesRaw[PrevClose],MATCH($N71,tblPricesRaw[Key],0)),"")</f>
        <v/>
      </c>
    </row>
    <row r="72" spans="1:19" x14ac:dyDescent="0.3">
      <c r="A72" s="7"/>
      <c r="B72" s="8"/>
      <c r="C72" s="9" t="str">
        <f>IFERROR(INDEX(tblEarningsRaw[EPS_Actual],MATCH($N72,tblEarningsRaw[Key],0)),"")</f>
        <v/>
      </c>
      <c r="D72" s="9" t="str">
        <f>IFERROR(INDEX(tblEarningsRaw[EPS_Estimate],MATCH($N72,tblEarningsRaw[Key],0)),"")</f>
        <v/>
      </c>
      <c r="E72" s="10" t="str">
        <f t="shared" si="16"/>
        <v/>
      </c>
      <c r="F72" s="8"/>
      <c r="G72" s="10" t="str">
        <f t="shared" si="17"/>
        <v/>
      </c>
      <c r="H72" s="10" t="str">
        <f t="shared" si="18"/>
        <v/>
      </c>
      <c r="I72" s="10" t="str">
        <f t="shared" si="19"/>
        <v/>
      </c>
      <c r="J72" s="11" t="str">
        <f t="shared" si="20"/>
        <v/>
      </c>
      <c r="K72" s="10" t="str">
        <f t="shared" si="21"/>
        <v/>
      </c>
      <c r="L72" s="12" t="str">
        <f t="shared" si="22"/>
        <v/>
      </c>
      <c r="M72" s="3"/>
      <c r="N72" s="11" t="str">
        <f t="shared" si="23"/>
        <v/>
      </c>
      <c r="O72" s="11" t="str">
        <f>IFERROR(INDEX(tblPricesRaw[Open],MATCH($N72,tblPricesRaw[Key],0)),"")</f>
        <v/>
      </c>
      <c r="P72" s="11" t="str">
        <f>IFERROR(INDEX(tblPricesRaw[High],MATCH($N72,tblPricesRaw[Key],0)),"")</f>
        <v/>
      </c>
      <c r="Q72" s="11" t="str">
        <f>IFERROR(INDEX(tblPricesRaw[Low],MATCH($N72,tblPricesRaw[Key],0)),"")</f>
        <v/>
      </c>
      <c r="R72" s="11" t="str">
        <f>IFERROR(INDEX(tblPricesRaw[Close],MATCH($N72,tblPricesRaw[Key],0)),"")</f>
        <v/>
      </c>
      <c r="S72" s="11" t="str">
        <f>IFERROR(INDEX(tblPricesRaw[PrevClose],MATCH($N72,tblPricesRaw[Key],0)),"")</f>
        <v/>
      </c>
    </row>
    <row r="73" spans="1:19" x14ac:dyDescent="0.3">
      <c r="A73" s="7"/>
      <c r="B73" s="8"/>
      <c r="C73" s="9" t="str">
        <f>IFERROR(INDEX(tblEarningsRaw[EPS_Actual],MATCH($N73,tblEarningsRaw[Key],0)),"")</f>
        <v/>
      </c>
      <c r="D73" s="9" t="str">
        <f>IFERROR(INDEX(tblEarningsRaw[EPS_Estimate],MATCH($N73,tblEarningsRaw[Key],0)),"")</f>
        <v/>
      </c>
      <c r="E73" s="10" t="str">
        <f t="shared" si="16"/>
        <v/>
      </c>
      <c r="F73" s="8"/>
      <c r="G73" s="10" t="str">
        <f t="shared" si="17"/>
        <v/>
      </c>
      <c r="H73" s="10" t="str">
        <f t="shared" si="18"/>
        <v/>
      </c>
      <c r="I73" s="10" t="str">
        <f t="shared" si="19"/>
        <v/>
      </c>
      <c r="J73" s="11" t="str">
        <f t="shared" si="20"/>
        <v/>
      </c>
      <c r="K73" s="10" t="str">
        <f t="shared" si="21"/>
        <v/>
      </c>
      <c r="L73" s="12" t="str">
        <f t="shared" si="22"/>
        <v/>
      </c>
      <c r="M73" s="3"/>
      <c r="N73" s="11" t="str">
        <f t="shared" si="23"/>
        <v/>
      </c>
      <c r="O73" s="11" t="str">
        <f>IFERROR(INDEX(tblPricesRaw[Open],MATCH($N73,tblPricesRaw[Key],0)),"")</f>
        <v/>
      </c>
      <c r="P73" s="11" t="str">
        <f>IFERROR(INDEX(tblPricesRaw[High],MATCH($N73,tblPricesRaw[Key],0)),"")</f>
        <v/>
      </c>
      <c r="Q73" s="11" t="str">
        <f>IFERROR(INDEX(tblPricesRaw[Low],MATCH($N73,tblPricesRaw[Key],0)),"")</f>
        <v/>
      </c>
      <c r="R73" s="11" t="str">
        <f>IFERROR(INDEX(tblPricesRaw[Close],MATCH($N73,tblPricesRaw[Key],0)),"")</f>
        <v/>
      </c>
      <c r="S73" s="11" t="str">
        <f>IFERROR(INDEX(tblPricesRaw[PrevClose],MATCH($N73,tblPricesRaw[Key],0)),"")</f>
        <v/>
      </c>
    </row>
    <row r="74" spans="1:19" x14ac:dyDescent="0.3">
      <c r="A74" s="7"/>
      <c r="B74" s="8"/>
      <c r="C74" s="9" t="str">
        <f>IFERROR(INDEX(tblEarningsRaw[EPS_Actual],MATCH($N74,tblEarningsRaw[Key],0)),"")</f>
        <v/>
      </c>
      <c r="D74" s="9" t="str">
        <f>IFERROR(INDEX(tblEarningsRaw[EPS_Estimate],MATCH($N74,tblEarningsRaw[Key],0)),"")</f>
        <v/>
      </c>
      <c r="E74" s="10" t="str">
        <f t="shared" si="16"/>
        <v/>
      </c>
      <c r="F74" s="8"/>
      <c r="G74" s="10" t="str">
        <f t="shared" si="17"/>
        <v/>
      </c>
      <c r="H74" s="10" t="str">
        <f t="shared" si="18"/>
        <v/>
      </c>
      <c r="I74" s="10" t="str">
        <f t="shared" si="19"/>
        <v/>
      </c>
      <c r="J74" s="11" t="str">
        <f t="shared" si="20"/>
        <v/>
      </c>
      <c r="K74" s="10" t="str">
        <f t="shared" si="21"/>
        <v/>
      </c>
      <c r="L74" s="12" t="str">
        <f t="shared" si="22"/>
        <v/>
      </c>
      <c r="M74" s="3"/>
      <c r="N74" s="11" t="str">
        <f t="shared" si="23"/>
        <v/>
      </c>
      <c r="O74" s="11" t="str">
        <f>IFERROR(INDEX(tblPricesRaw[Open],MATCH($N74,tblPricesRaw[Key],0)),"")</f>
        <v/>
      </c>
      <c r="P74" s="11" t="str">
        <f>IFERROR(INDEX(tblPricesRaw[High],MATCH($N74,tblPricesRaw[Key],0)),"")</f>
        <v/>
      </c>
      <c r="Q74" s="11" t="str">
        <f>IFERROR(INDEX(tblPricesRaw[Low],MATCH($N74,tblPricesRaw[Key],0)),"")</f>
        <v/>
      </c>
      <c r="R74" s="11" t="str">
        <f>IFERROR(INDEX(tblPricesRaw[Close],MATCH($N74,tblPricesRaw[Key],0)),"")</f>
        <v/>
      </c>
      <c r="S74" s="11" t="str">
        <f>IFERROR(INDEX(tblPricesRaw[PrevClose],MATCH($N74,tblPricesRaw[Key],0)),"")</f>
        <v/>
      </c>
    </row>
    <row r="75" spans="1:19" x14ac:dyDescent="0.3">
      <c r="A75" s="7"/>
      <c r="B75" s="8"/>
      <c r="C75" s="9" t="str">
        <f>IFERROR(INDEX(tblEarningsRaw[EPS_Actual],MATCH($N75,tblEarningsRaw[Key],0)),"")</f>
        <v/>
      </c>
      <c r="D75" s="9" t="str">
        <f>IFERROR(INDEX(tblEarningsRaw[EPS_Estimate],MATCH($N75,tblEarningsRaw[Key],0)),"")</f>
        <v/>
      </c>
      <c r="E75" s="10" t="str">
        <f t="shared" si="16"/>
        <v/>
      </c>
      <c r="F75" s="8"/>
      <c r="G75" s="10" t="str">
        <f t="shared" si="17"/>
        <v/>
      </c>
      <c r="H75" s="10" t="str">
        <f t="shared" si="18"/>
        <v/>
      </c>
      <c r="I75" s="10" t="str">
        <f t="shared" si="19"/>
        <v/>
      </c>
      <c r="J75" s="11" t="str">
        <f t="shared" si="20"/>
        <v/>
      </c>
      <c r="K75" s="10" t="str">
        <f t="shared" si="21"/>
        <v/>
      </c>
      <c r="L75" s="12" t="str">
        <f t="shared" si="22"/>
        <v/>
      </c>
      <c r="M75" s="3"/>
      <c r="N75" s="11" t="str">
        <f t="shared" si="23"/>
        <v/>
      </c>
      <c r="O75" s="11" t="str">
        <f>IFERROR(INDEX(tblPricesRaw[Open],MATCH($N75,tblPricesRaw[Key],0)),"")</f>
        <v/>
      </c>
      <c r="P75" s="11" t="str">
        <f>IFERROR(INDEX(tblPricesRaw[High],MATCH($N75,tblPricesRaw[Key],0)),"")</f>
        <v/>
      </c>
      <c r="Q75" s="11" t="str">
        <f>IFERROR(INDEX(tblPricesRaw[Low],MATCH($N75,tblPricesRaw[Key],0)),"")</f>
        <v/>
      </c>
      <c r="R75" s="11" t="str">
        <f>IFERROR(INDEX(tblPricesRaw[Close],MATCH($N75,tblPricesRaw[Key],0)),"")</f>
        <v/>
      </c>
      <c r="S75" s="11" t="str">
        <f>IFERROR(INDEX(tblPricesRaw[PrevClose],MATCH($N75,tblPricesRaw[Key],0)),"")</f>
        <v/>
      </c>
    </row>
    <row r="76" spans="1:19" x14ac:dyDescent="0.3">
      <c r="A76" s="7"/>
      <c r="B76" s="8"/>
      <c r="C76" s="9" t="str">
        <f>IFERROR(INDEX(tblEarningsRaw[EPS_Actual],MATCH($N76,tblEarningsRaw[Key],0)),"")</f>
        <v/>
      </c>
      <c r="D76" s="9" t="str">
        <f>IFERROR(INDEX(tblEarningsRaw[EPS_Estimate],MATCH($N76,tblEarningsRaw[Key],0)),"")</f>
        <v/>
      </c>
      <c r="E76" s="10" t="str">
        <f t="shared" si="16"/>
        <v/>
      </c>
      <c r="F76" s="8"/>
      <c r="G76" s="10" t="str">
        <f t="shared" si="17"/>
        <v/>
      </c>
      <c r="H76" s="10" t="str">
        <f t="shared" si="18"/>
        <v/>
      </c>
      <c r="I76" s="10" t="str">
        <f t="shared" si="19"/>
        <v/>
      </c>
      <c r="J76" s="11" t="str">
        <f t="shared" si="20"/>
        <v/>
      </c>
      <c r="K76" s="10" t="str">
        <f t="shared" si="21"/>
        <v/>
      </c>
      <c r="L76" s="12" t="str">
        <f t="shared" si="22"/>
        <v/>
      </c>
      <c r="M76" s="3"/>
      <c r="N76" s="11" t="str">
        <f t="shared" si="23"/>
        <v/>
      </c>
      <c r="O76" s="11" t="str">
        <f>IFERROR(INDEX(tblPricesRaw[Open],MATCH($N76,tblPricesRaw[Key],0)),"")</f>
        <v/>
      </c>
      <c r="P76" s="11" t="str">
        <f>IFERROR(INDEX(tblPricesRaw[High],MATCH($N76,tblPricesRaw[Key],0)),"")</f>
        <v/>
      </c>
      <c r="Q76" s="11" t="str">
        <f>IFERROR(INDEX(tblPricesRaw[Low],MATCH($N76,tblPricesRaw[Key],0)),"")</f>
        <v/>
      </c>
      <c r="R76" s="11" t="str">
        <f>IFERROR(INDEX(tblPricesRaw[Close],MATCH($N76,tblPricesRaw[Key],0)),"")</f>
        <v/>
      </c>
      <c r="S76" s="11" t="str">
        <f>IFERROR(INDEX(tblPricesRaw[PrevClose],MATCH($N76,tblPricesRaw[Key],0)),"")</f>
        <v/>
      </c>
    </row>
    <row r="77" spans="1:19" x14ac:dyDescent="0.3">
      <c r="A77" s="7"/>
      <c r="B77" s="8"/>
      <c r="C77" s="9" t="str">
        <f>IFERROR(INDEX(tblEarningsRaw[EPS_Actual],MATCH($N77,tblEarningsRaw[Key],0)),"")</f>
        <v/>
      </c>
      <c r="D77" s="9" t="str">
        <f>IFERROR(INDEX(tblEarningsRaw[EPS_Estimate],MATCH($N77,tblEarningsRaw[Key],0)),"")</f>
        <v/>
      </c>
      <c r="E77" s="10" t="str">
        <f t="shared" si="16"/>
        <v/>
      </c>
      <c r="F77" s="8"/>
      <c r="G77" s="10" t="str">
        <f t="shared" si="17"/>
        <v/>
      </c>
      <c r="H77" s="10" t="str">
        <f t="shared" si="18"/>
        <v/>
      </c>
      <c r="I77" s="10" t="str">
        <f t="shared" si="19"/>
        <v/>
      </c>
      <c r="J77" s="11" t="str">
        <f t="shared" si="20"/>
        <v/>
      </c>
      <c r="K77" s="10" t="str">
        <f t="shared" si="21"/>
        <v/>
      </c>
      <c r="L77" s="12" t="str">
        <f t="shared" si="22"/>
        <v/>
      </c>
      <c r="M77" s="3"/>
      <c r="N77" s="11" t="str">
        <f t="shared" si="23"/>
        <v/>
      </c>
      <c r="O77" s="11" t="str">
        <f>IFERROR(INDEX(tblPricesRaw[Open],MATCH($N77,tblPricesRaw[Key],0)),"")</f>
        <v/>
      </c>
      <c r="P77" s="11" t="str">
        <f>IFERROR(INDEX(tblPricesRaw[High],MATCH($N77,tblPricesRaw[Key],0)),"")</f>
        <v/>
      </c>
      <c r="Q77" s="11" t="str">
        <f>IFERROR(INDEX(tblPricesRaw[Low],MATCH($N77,tblPricesRaw[Key],0)),"")</f>
        <v/>
      </c>
      <c r="R77" s="11" t="str">
        <f>IFERROR(INDEX(tblPricesRaw[Close],MATCH($N77,tblPricesRaw[Key],0)),"")</f>
        <v/>
      </c>
      <c r="S77" s="11" t="str">
        <f>IFERROR(INDEX(tblPricesRaw[PrevClose],MATCH($N77,tblPricesRaw[Key],0)),"")</f>
        <v/>
      </c>
    </row>
    <row r="78" spans="1:19" x14ac:dyDescent="0.3">
      <c r="A78" s="7"/>
      <c r="B78" s="8"/>
      <c r="C78" s="9" t="str">
        <f>IFERROR(INDEX(tblEarningsRaw[EPS_Actual],MATCH($N78,tblEarningsRaw[Key],0)),"")</f>
        <v/>
      </c>
      <c r="D78" s="9" t="str">
        <f>IFERROR(INDEX(tblEarningsRaw[EPS_Estimate],MATCH($N78,tblEarningsRaw[Key],0)),"")</f>
        <v/>
      </c>
      <c r="E78" s="10" t="str">
        <f t="shared" si="16"/>
        <v/>
      </c>
      <c r="F78" s="8"/>
      <c r="G78" s="10" t="str">
        <f t="shared" si="17"/>
        <v/>
      </c>
      <c r="H78" s="10" t="str">
        <f t="shared" si="18"/>
        <v/>
      </c>
      <c r="I78" s="10" t="str">
        <f t="shared" si="19"/>
        <v/>
      </c>
      <c r="J78" s="11" t="str">
        <f t="shared" si="20"/>
        <v/>
      </c>
      <c r="K78" s="10" t="str">
        <f t="shared" si="21"/>
        <v/>
      </c>
      <c r="L78" s="12" t="str">
        <f t="shared" si="22"/>
        <v/>
      </c>
      <c r="M78" s="3"/>
      <c r="N78" s="11" t="str">
        <f t="shared" si="23"/>
        <v/>
      </c>
      <c r="O78" s="11" t="str">
        <f>IFERROR(INDEX(tblPricesRaw[Open],MATCH($N78,tblPricesRaw[Key],0)),"")</f>
        <v/>
      </c>
      <c r="P78" s="11" t="str">
        <f>IFERROR(INDEX(tblPricesRaw[High],MATCH($N78,tblPricesRaw[Key],0)),"")</f>
        <v/>
      </c>
      <c r="Q78" s="11" t="str">
        <f>IFERROR(INDEX(tblPricesRaw[Low],MATCH($N78,tblPricesRaw[Key],0)),"")</f>
        <v/>
      </c>
      <c r="R78" s="11" t="str">
        <f>IFERROR(INDEX(tblPricesRaw[Close],MATCH($N78,tblPricesRaw[Key],0)),"")</f>
        <v/>
      </c>
      <c r="S78" s="11" t="str">
        <f>IFERROR(INDEX(tblPricesRaw[PrevClose],MATCH($N78,tblPricesRaw[Key],0)),"")</f>
        <v/>
      </c>
    </row>
    <row r="79" spans="1:19" x14ac:dyDescent="0.3">
      <c r="A79" s="7"/>
      <c r="B79" s="8"/>
      <c r="C79" s="9" t="str">
        <f>IFERROR(INDEX(tblEarningsRaw[EPS_Actual],MATCH($N79,tblEarningsRaw[Key],0)),"")</f>
        <v/>
      </c>
      <c r="D79" s="9" t="str">
        <f>IFERROR(INDEX(tblEarningsRaw[EPS_Estimate],MATCH($N79,tblEarningsRaw[Key],0)),"")</f>
        <v/>
      </c>
      <c r="E79" s="10" t="str">
        <f t="shared" si="16"/>
        <v/>
      </c>
      <c r="F79" s="8"/>
      <c r="G79" s="10" t="str">
        <f t="shared" si="17"/>
        <v/>
      </c>
      <c r="H79" s="10" t="str">
        <f t="shared" si="18"/>
        <v/>
      </c>
      <c r="I79" s="10" t="str">
        <f t="shared" si="19"/>
        <v/>
      </c>
      <c r="J79" s="11" t="str">
        <f t="shared" si="20"/>
        <v/>
      </c>
      <c r="K79" s="10" t="str">
        <f t="shared" si="21"/>
        <v/>
      </c>
      <c r="L79" s="12" t="str">
        <f t="shared" si="22"/>
        <v/>
      </c>
      <c r="M79" s="3"/>
      <c r="N79" s="11" t="str">
        <f t="shared" si="23"/>
        <v/>
      </c>
      <c r="O79" s="11" t="str">
        <f>IFERROR(INDEX(tblPricesRaw[Open],MATCH($N79,tblPricesRaw[Key],0)),"")</f>
        <v/>
      </c>
      <c r="P79" s="11" t="str">
        <f>IFERROR(INDEX(tblPricesRaw[High],MATCH($N79,tblPricesRaw[Key],0)),"")</f>
        <v/>
      </c>
      <c r="Q79" s="11" t="str">
        <f>IFERROR(INDEX(tblPricesRaw[Low],MATCH($N79,tblPricesRaw[Key],0)),"")</f>
        <v/>
      </c>
      <c r="R79" s="11" t="str">
        <f>IFERROR(INDEX(tblPricesRaw[Close],MATCH($N79,tblPricesRaw[Key],0)),"")</f>
        <v/>
      </c>
      <c r="S79" s="11" t="str">
        <f>IFERROR(INDEX(tblPricesRaw[PrevClose],MATCH($N79,tblPricesRaw[Key],0)),"")</f>
        <v/>
      </c>
    </row>
    <row r="80" spans="1:19" x14ac:dyDescent="0.3">
      <c r="A80" s="7"/>
      <c r="B80" s="8"/>
      <c r="C80" s="9" t="str">
        <f>IFERROR(INDEX(tblEarningsRaw[EPS_Actual],MATCH($N80,tblEarningsRaw[Key],0)),"")</f>
        <v/>
      </c>
      <c r="D80" s="9" t="str">
        <f>IFERROR(INDEX(tblEarningsRaw[EPS_Estimate],MATCH($N80,tblEarningsRaw[Key],0)),"")</f>
        <v/>
      </c>
      <c r="E80" s="10" t="str">
        <f t="shared" si="16"/>
        <v/>
      </c>
      <c r="F80" s="8"/>
      <c r="G80" s="10" t="str">
        <f t="shared" si="17"/>
        <v/>
      </c>
      <c r="H80" s="10" t="str">
        <f t="shared" si="18"/>
        <v/>
      </c>
      <c r="I80" s="10" t="str">
        <f t="shared" si="19"/>
        <v/>
      </c>
      <c r="J80" s="11" t="str">
        <f t="shared" si="20"/>
        <v/>
      </c>
      <c r="K80" s="10" t="str">
        <f t="shared" si="21"/>
        <v/>
      </c>
      <c r="L80" s="12" t="str">
        <f t="shared" si="22"/>
        <v/>
      </c>
      <c r="M80" s="3"/>
      <c r="N80" s="11" t="str">
        <f t="shared" si="23"/>
        <v/>
      </c>
      <c r="O80" s="11" t="str">
        <f>IFERROR(INDEX(tblPricesRaw[Open],MATCH($N80,tblPricesRaw[Key],0)),"")</f>
        <v/>
      </c>
      <c r="P80" s="11" t="str">
        <f>IFERROR(INDEX(tblPricesRaw[High],MATCH($N80,tblPricesRaw[Key],0)),"")</f>
        <v/>
      </c>
      <c r="Q80" s="11" t="str">
        <f>IFERROR(INDEX(tblPricesRaw[Low],MATCH($N80,tblPricesRaw[Key],0)),"")</f>
        <v/>
      </c>
      <c r="R80" s="11" t="str">
        <f>IFERROR(INDEX(tblPricesRaw[Close],MATCH($N80,tblPricesRaw[Key],0)),"")</f>
        <v/>
      </c>
      <c r="S80" s="11" t="str">
        <f>IFERROR(INDEX(tblPricesRaw[PrevClose],MATCH($N80,tblPricesRaw[Key],0)),"")</f>
        <v/>
      </c>
    </row>
    <row r="81" spans="1:19" x14ac:dyDescent="0.3">
      <c r="A81" s="7"/>
      <c r="B81" s="8"/>
      <c r="C81" s="9" t="str">
        <f>IFERROR(INDEX(tblEarningsRaw[EPS_Actual],MATCH($N81,tblEarningsRaw[Key],0)),"")</f>
        <v/>
      </c>
      <c r="D81" s="9" t="str">
        <f>IFERROR(INDEX(tblEarningsRaw[EPS_Estimate],MATCH($N81,tblEarningsRaw[Key],0)),"")</f>
        <v/>
      </c>
      <c r="E81" s="10" t="str">
        <f t="shared" si="16"/>
        <v/>
      </c>
      <c r="F81" s="8"/>
      <c r="G81" s="10" t="str">
        <f t="shared" si="17"/>
        <v/>
      </c>
      <c r="H81" s="10" t="str">
        <f t="shared" si="18"/>
        <v/>
      </c>
      <c r="I81" s="10" t="str">
        <f t="shared" si="19"/>
        <v/>
      </c>
      <c r="J81" s="11" t="str">
        <f t="shared" si="20"/>
        <v/>
      </c>
      <c r="K81" s="10" t="str">
        <f t="shared" si="21"/>
        <v/>
      </c>
      <c r="L81" s="12" t="str">
        <f t="shared" si="22"/>
        <v/>
      </c>
      <c r="M81" s="3"/>
      <c r="N81" s="11" t="str">
        <f t="shared" si="23"/>
        <v/>
      </c>
      <c r="O81" s="11" t="str">
        <f>IFERROR(INDEX(tblPricesRaw[Open],MATCH($N81,tblPricesRaw[Key],0)),"")</f>
        <v/>
      </c>
      <c r="P81" s="11" t="str">
        <f>IFERROR(INDEX(tblPricesRaw[High],MATCH($N81,tblPricesRaw[Key],0)),"")</f>
        <v/>
      </c>
      <c r="Q81" s="11" t="str">
        <f>IFERROR(INDEX(tblPricesRaw[Low],MATCH($N81,tblPricesRaw[Key],0)),"")</f>
        <v/>
      </c>
      <c r="R81" s="11" t="str">
        <f>IFERROR(INDEX(tblPricesRaw[Close],MATCH($N81,tblPricesRaw[Key],0)),"")</f>
        <v/>
      </c>
      <c r="S81" s="11" t="str">
        <f>IFERROR(INDEX(tblPricesRaw[PrevClose],MATCH($N81,tblPricesRaw[Key],0)),"")</f>
        <v/>
      </c>
    </row>
    <row r="82" spans="1:19" x14ac:dyDescent="0.3">
      <c r="A82" s="7"/>
      <c r="B82" s="8"/>
      <c r="C82" s="9" t="str">
        <f>IFERROR(INDEX(tblEarningsRaw[EPS_Actual],MATCH($N82,tblEarningsRaw[Key],0)),"")</f>
        <v/>
      </c>
      <c r="D82" s="9" t="str">
        <f>IFERROR(INDEX(tblEarningsRaw[EPS_Estimate],MATCH($N82,tblEarningsRaw[Key],0)),"")</f>
        <v/>
      </c>
      <c r="E82" s="10" t="str">
        <f t="shared" si="16"/>
        <v/>
      </c>
      <c r="F82" s="8"/>
      <c r="G82" s="10" t="str">
        <f t="shared" si="17"/>
        <v/>
      </c>
      <c r="H82" s="10" t="str">
        <f t="shared" si="18"/>
        <v/>
      </c>
      <c r="I82" s="10" t="str">
        <f t="shared" si="19"/>
        <v/>
      </c>
      <c r="J82" s="11" t="str">
        <f t="shared" si="20"/>
        <v/>
      </c>
      <c r="K82" s="10" t="str">
        <f t="shared" si="21"/>
        <v/>
      </c>
      <c r="L82" s="12" t="str">
        <f t="shared" si="22"/>
        <v/>
      </c>
      <c r="M82" s="3"/>
      <c r="N82" s="11" t="str">
        <f t="shared" si="23"/>
        <v/>
      </c>
      <c r="O82" s="11" t="str">
        <f>IFERROR(INDEX(tblPricesRaw[Open],MATCH($N82,tblPricesRaw[Key],0)),"")</f>
        <v/>
      </c>
      <c r="P82" s="11" t="str">
        <f>IFERROR(INDEX(tblPricesRaw[High],MATCH($N82,tblPricesRaw[Key],0)),"")</f>
        <v/>
      </c>
      <c r="Q82" s="11" t="str">
        <f>IFERROR(INDEX(tblPricesRaw[Low],MATCH($N82,tblPricesRaw[Key],0)),"")</f>
        <v/>
      </c>
      <c r="R82" s="11" t="str">
        <f>IFERROR(INDEX(tblPricesRaw[Close],MATCH($N82,tblPricesRaw[Key],0)),"")</f>
        <v/>
      </c>
      <c r="S82" s="11" t="str">
        <f>IFERROR(INDEX(tblPricesRaw[PrevClose],MATCH($N82,tblPricesRaw[Key],0)),"")</f>
        <v/>
      </c>
    </row>
    <row r="83" spans="1:19" x14ac:dyDescent="0.3">
      <c r="A83" s="7"/>
      <c r="B83" s="8"/>
      <c r="C83" s="9" t="str">
        <f>IFERROR(INDEX(tblEarningsRaw[EPS_Actual],MATCH($N83,tblEarningsRaw[Key],0)),"")</f>
        <v/>
      </c>
      <c r="D83" s="9" t="str">
        <f>IFERROR(INDEX(tblEarningsRaw[EPS_Estimate],MATCH($N83,tblEarningsRaw[Key],0)),"")</f>
        <v/>
      </c>
      <c r="E83" s="10" t="str">
        <f t="shared" si="16"/>
        <v/>
      </c>
      <c r="F83" s="8"/>
      <c r="G83" s="10" t="str">
        <f t="shared" si="17"/>
        <v/>
      </c>
      <c r="H83" s="10" t="str">
        <f t="shared" si="18"/>
        <v/>
      </c>
      <c r="I83" s="10" t="str">
        <f t="shared" si="19"/>
        <v/>
      </c>
      <c r="J83" s="11" t="str">
        <f t="shared" si="20"/>
        <v/>
      </c>
      <c r="K83" s="10" t="str">
        <f t="shared" si="21"/>
        <v/>
      </c>
      <c r="L83" s="12" t="str">
        <f t="shared" si="22"/>
        <v/>
      </c>
      <c r="M83" s="3"/>
      <c r="N83" s="11" t="str">
        <f t="shared" si="23"/>
        <v/>
      </c>
      <c r="O83" s="11" t="str">
        <f>IFERROR(INDEX(tblPricesRaw[Open],MATCH($N83,tblPricesRaw[Key],0)),"")</f>
        <v/>
      </c>
      <c r="P83" s="11" t="str">
        <f>IFERROR(INDEX(tblPricesRaw[High],MATCH($N83,tblPricesRaw[Key],0)),"")</f>
        <v/>
      </c>
      <c r="Q83" s="11" t="str">
        <f>IFERROR(INDEX(tblPricesRaw[Low],MATCH($N83,tblPricesRaw[Key],0)),"")</f>
        <v/>
      </c>
      <c r="R83" s="11" t="str">
        <f>IFERROR(INDEX(tblPricesRaw[Close],MATCH($N83,tblPricesRaw[Key],0)),"")</f>
        <v/>
      </c>
      <c r="S83" s="11" t="str">
        <f>IFERROR(INDEX(tblPricesRaw[PrevClose],MATCH($N83,tblPricesRaw[Key],0)),"")</f>
        <v/>
      </c>
    </row>
    <row r="84" spans="1:19" x14ac:dyDescent="0.3">
      <c r="A84" s="7"/>
      <c r="B84" s="8"/>
      <c r="C84" s="9" t="str">
        <f>IFERROR(INDEX(tblEarningsRaw[EPS_Actual],MATCH($N84,tblEarningsRaw[Key],0)),"")</f>
        <v/>
      </c>
      <c r="D84" s="9" t="str">
        <f>IFERROR(INDEX(tblEarningsRaw[EPS_Estimate],MATCH($N84,tblEarningsRaw[Key],0)),"")</f>
        <v/>
      </c>
      <c r="E84" s="10" t="str">
        <f t="shared" si="16"/>
        <v/>
      </c>
      <c r="F84" s="8"/>
      <c r="G84" s="10" t="str">
        <f t="shared" si="17"/>
        <v/>
      </c>
      <c r="H84" s="10" t="str">
        <f t="shared" si="18"/>
        <v/>
      </c>
      <c r="I84" s="10" t="str">
        <f t="shared" si="19"/>
        <v/>
      </c>
      <c r="J84" s="11" t="str">
        <f t="shared" si="20"/>
        <v/>
      </c>
      <c r="K84" s="10" t="str">
        <f t="shared" si="21"/>
        <v/>
      </c>
      <c r="L84" s="12" t="str">
        <f t="shared" si="22"/>
        <v/>
      </c>
      <c r="M84" s="3"/>
      <c r="N84" s="11" t="str">
        <f t="shared" si="23"/>
        <v/>
      </c>
      <c r="O84" s="11" t="str">
        <f>IFERROR(INDEX(tblPricesRaw[Open],MATCH($N84,tblPricesRaw[Key],0)),"")</f>
        <v/>
      </c>
      <c r="P84" s="11" t="str">
        <f>IFERROR(INDEX(tblPricesRaw[High],MATCH($N84,tblPricesRaw[Key],0)),"")</f>
        <v/>
      </c>
      <c r="Q84" s="11" t="str">
        <f>IFERROR(INDEX(tblPricesRaw[Low],MATCH($N84,tblPricesRaw[Key],0)),"")</f>
        <v/>
      </c>
      <c r="R84" s="11" t="str">
        <f>IFERROR(INDEX(tblPricesRaw[Close],MATCH($N84,tblPricesRaw[Key],0)),"")</f>
        <v/>
      </c>
      <c r="S84" s="11" t="str">
        <f>IFERROR(INDEX(tblPricesRaw[PrevClose],MATCH($N84,tblPricesRaw[Key],0)),"")</f>
        <v/>
      </c>
    </row>
    <row r="85" spans="1:19" x14ac:dyDescent="0.3">
      <c r="A85" s="7"/>
      <c r="B85" s="8"/>
      <c r="C85" s="9" t="str">
        <f>IFERROR(INDEX(tblEarningsRaw[EPS_Actual],MATCH($N85,tblEarningsRaw[Key],0)),"")</f>
        <v/>
      </c>
      <c r="D85" s="9" t="str">
        <f>IFERROR(INDEX(tblEarningsRaw[EPS_Estimate],MATCH($N85,tblEarningsRaw[Key],0)),"")</f>
        <v/>
      </c>
      <c r="E85" s="10" t="str">
        <f t="shared" si="16"/>
        <v/>
      </c>
      <c r="F85" s="8"/>
      <c r="G85" s="10" t="str">
        <f t="shared" si="17"/>
        <v/>
      </c>
      <c r="H85" s="10" t="str">
        <f t="shared" si="18"/>
        <v/>
      </c>
      <c r="I85" s="10" t="str">
        <f t="shared" si="19"/>
        <v/>
      </c>
      <c r="J85" s="11" t="str">
        <f t="shared" si="20"/>
        <v/>
      </c>
      <c r="K85" s="10" t="str">
        <f t="shared" si="21"/>
        <v/>
      </c>
      <c r="L85" s="12" t="str">
        <f t="shared" si="22"/>
        <v/>
      </c>
      <c r="M85" s="3"/>
      <c r="N85" s="11" t="str">
        <f t="shared" si="23"/>
        <v/>
      </c>
      <c r="O85" s="11" t="str">
        <f>IFERROR(INDEX(tblPricesRaw[Open],MATCH($N85,tblPricesRaw[Key],0)),"")</f>
        <v/>
      </c>
      <c r="P85" s="11" t="str">
        <f>IFERROR(INDEX(tblPricesRaw[High],MATCH($N85,tblPricesRaw[Key],0)),"")</f>
        <v/>
      </c>
      <c r="Q85" s="11" t="str">
        <f>IFERROR(INDEX(tblPricesRaw[Low],MATCH($N85,tblPricesRaw[Key],0)),"")</f>
        <v/>
      </c>
      <c r="R85" s="11" t="str">
        <f>IFERROR(INDEX(tblPricesRaw[Close],MATCH($N85,tblPricesRaw[Key],0)),"")</f>
        <v/>
      </c>
      <c r="S85" s="11" t="str">
        <f>IFERROR(INDEX(tblPricesRaw[PrevClose],MATCH($N85,tblPricesRaw[Key],0)),"")</f>
        <v/>
      </c>
    </row>
    <row r="86" spans="1:19" x14ac:dyDescent="0.3">
      <c r="A86" s="7"/>
      <c r="B86" s="8"/>
      <c r="C86" s="9" t="str">
        <f>IFERROR(INDEX(tblEarningsRaw[EPS_Actual],MATCH($N86,tblEarningsRaw[Key],0)),"")</f>
        <v/>
      </c>
      <c r="D86" s="9" t="str">
        <f>IFERROR(INDEX(tblEarningsRaw[EPS_Estimate],MATCH($N86,tblEarningsRaw[Key],0)),"")</f>
        <v/>
      </c>
      <c r="E86" s="10" t="str">
        <f t="shared" si="16"/>
        <v/>
      </c>
      <c r="F86" s="8"/>
      <c r="G86" s="10" t="str">
        <f t="shared" si="17"/>
        <v/>
      </c>
      <c r="H86" s="10" t="str">
        <f t="shared" si="18"/>
        <v/>
      </c>
      <c r="I86" s="10" t="str">
        <f t="shared" si="19"/>
        <v/>
      </c>
      <c r="J86" s="11" t="str">
        <f t="shared" si="20"/>
        <v/>
      </c>
      <c r="K86" s="10" t="str">
        <f t="shared" si="21"/>
        <v/>
      </c>
      <c r="L86" s="12" t="str">
        <f t="shared" si="22"/>
        <v/>
      </c>
      <c r="M86" s="3"/>
      <c r="N86" s="11" t="str">
        <f t="shared" si="23"/>
        <v/>
      </c>
      <c r="O86" s="11" t="str">
        <f>IFERROR(INDEX(tblPricesRaw[Open],MATCH($N86,tblPricesRaw[Key],0)),"")</f>
        <v/>
      </c>
      <c r="P86" s="11" t="str">
        <f>IFERROR(INDEX(tblPricesRaw[High],MATCH($N86,tblPricesRaw[Key],0)),"")</f>
        <v/>
      </c>
      <c r="Q86" s="11" t="str">
        <f>IFERROR(INDEX(tblPricesRaw[Low],MATCH($N86,tblPricesRaw[Key],0)),"")</f>
        <v/>
      </c>
      <c r="R86" s="11" t="str">
        <f>IFERROR(INDEX(tblPricesRaw[Close],MATCH($N86,tblPricesRaw[Key],0)),"")</f>
        <v/>
      </c>
      <c r="S86" s="11" t="str">
        <f>IFERROR(INDEX(tblPricesRaw[PrevClose],MATCH($N86,tblPricesRaw[Key],0)),"")</f>
        <v/>
      </c>
    </row>
    <row r="87" spans="1:19" x14ac:dyDescent="0.3">
      <c r="A87" s="7"/>
      <c r="B87" s="8"/>
      <c r="C87" s="9" t="str">
        <f>IFERROR(INDEX(tblEarningsRaw[EPS_Actual],MATCH($N87,tblEarningsRaw[Key],0)),"")</f>
        <v/>
      </c>
      <c r="D87" s="9" t="str">
        <f>IFERROR(INDEX(tblEarningsRaw[EPS_Estimate],MATCH($N87,tblEarningsRaw[Key],0)),"")</f>
        <v/>
      </c>
      <c r="E87" s="10" t="str">
        <f t="shared" si="16"/>
        <v/>
      </c>
      <c r="F87" s="8"/>
      <c r="G87" s="10" t="str">
        <f t="shared" si="17"/>
        <v/>
      </c>
      <c r="H87" s="10" t="str">
        <f t="shared" si="18"/>
        <v/>
      </c>
      <c r="I87" s="10" t="str">
        <f t="shared" si="19"/>
        <v/>
      </c>
      <c r="J87" s="11" t="str">
        <f t="shared" si="20"/>
        <v/>
      </c>
      <c r="K87" s="10" t="str">
        <f t="shared" si="21"/>
        <v/>
      </c>
      <c r="L87" s="12" t="str">
        <f t="shared" si="22"/>
        <v/>
      </c>
      <c r="M87" s="3"/>
      <c r="N87" s="11" t="str">
        <f t="shared" si="23"/>
        <v/>
      </c>
      <c r="O87" s="11" t="str">
        <f>IFERROR(INDEX(tblPricesRaw[Open],MATCH($N87,tblPricesRaw[Key],0)),"")</f>
        <v/>
      </c>
      <c r="P87" s="11" t="str">
        <f>IFERROR(INDEX(tblPricesRaw[High],MATCH($N87,tblPricesRaw[Key],0)),"")</f>
        <v/>
      </c>
      <c r="Q87" s="11" t="str">
        <f>IFERROR(INDEX(tblPricesRaw[Low],MATCH($N87,tblPricesRaw[Key],0)),"")</f>
        <v/>
      </c>
      <c r="R87" s="11" t="str">
        <f>IFERROR(INDEX(tblPricesRaw[Close],MATCH($N87,tblPricesRaw[Key],0)),"")</f>
        <v/>
      </c>
      <c r="S87" s="11" t="str">
        <f>IFERROR(INDEX(tblPricesRaw[PrevClose],MATCH($N87,tblPricesRaw[Key],0)),"")</f>
        <v/>
      </c>
    </row>
    <row r="88" spans="1:19" x14ac:dyDescent="0.3">
      <c r="A88" s="7"/>
      <c r="B88" s="8"/>
      <c r="C88" s="9" t="str">
        <f>IFERROR(INDEX(tblEarningsRaw[EPS_Actual],MATCH($N88,tblEarningsRaw[Key],0)),"")</f>
        <v/>
      </c>
      <c r="D88" s="9" t="str">
        <f>IFERROR(INDEX(tblEarningsRaw[EPS_Estimate],MATCH($N88,tblEarningsRaw[Key],0)),"")</f>
        <v/>
      </c>
      <c r="E88" s="10" t="str">
        <f t="shared" si="16"/>
        <v/>
      </c>
      <c r="F88" s="8"/>
      <c r="G88" s="10" t="str">
        <f t="shared" si="17"/>
        <v/>
      </c>
      <c r="H88" s="10" t="str">
        <f t="shared" si="18"/>
        <v/>
      </c>
      <c r="I88" s="10" t="str">
        <f t="shared" si="19"/>
        <v/>
      </c>
      <c r="J88" s="11" t="str">
        <f t="shared" si="20"/>
        <v/>
      </c>
      <c r="K88" s="10" t="str">
        <f t="shared" si="21"/>
        <v/>
      </c>
      <c r="L88" s="12" t="str">
        <f t="shared" si="22"/>
        <v/>
      </c>
      <c r="M88" s="3"/>
      <c r="N88" s="11" t="str">
        <f t="shared" si="23"/>
        <v/>
      </c>
      <c r="O88" s="11" t="str">
        <f>IFERROR(INDEX(tblPricesRaw[Open],MATCH($N88,tblPricesRaw[Key],0)),"")</f>
        <v/>
      </c>
      <c r="P88" s="11" t="str">
        <f>IFERROR(INDEX(tblPricesRaw[High],MATCH($N88,tblPricesRaw[Key],0)),"")</f>
        <v/>
      </c>
      <c r="Q88" s="11" t="str">
        <f>IFERROR(INDEX(tblPricesRaw[Low],MATCH($N88,tblPricesRaw[Key],0)),"")</f>
        <v/>
      </c>
      <c r="R88" s="11" t="str">
        <f>IFERROR(INDEX(tblPricesRaw[Close],MATCH($N88,tblPricesRaw[Key],0)),"")</f>
        <v/>
      </c>
      <c r="S88" s="11" t="str">
        <f>IFERROR(INDEX(tblPricesRaw[PrevClose],MATCH($N88,tblPricesRaw[Key],0)),"")</f>
        <v/>
      </c>
    </row>
    <row r="89" spans="1:19" x14ac:dyDescent="0.3">
      <c r="A89" s="7"/>
      <c r="B89" s="8"/>
      <c r="C89" s="9" t="str">
        <f>IFERROR(INDEX(tblEarningsRaw[EPS_Actual],MATCH($N89,tblEarningsRaw[Key],0)),"")</f>
        <v/>
      </c>
      <c r="D89" s="9" t="str">
        <f>IFERROR(INDEX(tblEarningsRaw[EPS_Estimate],MATCH($N89,tblEarningsRaw[Key],0)),"")</f>
        <v/>
      </c>
      <c r="E89" s="10" t="str">
        <f t="shared" si="16"/>
        <v/>
      </c>
      <c r="F89" s="8"/>
      <c r="G89" s="10" t="str">
        <f t="shared" si="17"/>
        <v/>
      </c>
      <c r="H89" s="10" t="str">
        <f t="shared" si="18"/>
        <v/>
      </c>
      <c r="I89" s="10" t="str">
        <f t="shared" si="19"/>
        <v/>
      </c>
      <c r="J89" s="11" t="str">
        <f t="shared" si="20"/>
        <v/>
      </c>
      <c r="K89" s="10" t="str">
        <f t="shared" si="21"/>
        <v/>
      </c>
      <c r="L89" s="12" t="str">
        <f t="shared" si="22"/>
        <v/>
      </c>
      <c r="M89" s="3"/>
      <c r="N89" s="11" t="str">
        <f t="shared" si="23"/>
        <v/>
      </c>
      <c r="O89" s="11" t="str">
        <f>IFERROR(INDEX(tblPricesRaw[Open],MATCH($N89,tblPricesRaw[Key],0)),"")</f>
        <v/>
      </c>
      <c r="P89" s="11" t="str">
        <f>IFERROR(INDEX(tblPricesRaw[High],MATCH($N89,tblPricesRaw[Key],0)),"")</f>
        <v/>
      </c>
      <c r="Q89" s="11" t="str">
        <f>IFERROR(INDEX(tblPricesRaw[Low],MATCH($N89,tblPricesRaw[Key],0)),"")</f>
        <v/>
      </c>
      <c r="R89" s="11" t="str">
        <f>IFERROR(INDEX(tblPricesRaw[Close],MATCH($N89,tblPricesRaw[Key],0)),"")</f>
        <v/>
      </c>
      <c r="S89" s="11" t="str">
        <f>IFERROR(INDEX(tblPricesRaw[PrevClose],MATCH($N89,tblPricesRaw[Key],0)),"")</f>
        <v/>
      </c>
    </row>
    <row r="90" spans="1:19" x14ac:dyDescent="0.3">
      <c r="A90" s="7"/>
      <c r="B90" s="8"/>
      <c r="C90" s="9" t="str">
        <f>IFERROR(INDEX(tblEarningsRaw[EPS_Actual],MATCH($N90,tblEarningsRaw[Key],0)),"")</f>
        <v/>
      </c>
      <c r="D90" s="9" t="str">
        <f>IFERROR(INDEX(tblEarningsRaw[EPS_Estimate],MATCH($N90,tblEarningsRaw[Key],0)),"")</f>
        <v/>
      </c>
      <c r="E90" s="10" t="str">
        <f t="shared" si="16"/>
        <v/>
      </c>
      <c r="F90" s="8"/>
      <c r="G90" s="10" t="str">
        <f t="shared" si="17"/>
        <v/>
      </c>
      <c r="H90" s="10" t="str">
        <f t="shared" si="18"/>
        <v/>
      </c>
      <c r="I90" s="10" t="str">
        <f t="shared" si="19"/>
        <v/>
      </c>
      <c r="J90" s="11" t="str">
        <f t="shared" si="20"/>
        <v/>
      </c>
      <c r="K90" s="10" t="str">
        <f t="shared" si="21"/>
        <v/>
      </c>
      <c r="L90" s="12" t="str">
        <f t="shared" si="22"/>
        <v/>
      </c>
      <c r="M90" s="3"/>
      <c r="N90" s="11" t="str">
        <f t="shared" si="23"/>
        <v/>
      </c>
      <c r="O90" s="11" t="str">
        <f>IFERROR(INDEX(tblPricesRaw[Open],MATCH($N90,tblPricesRaw[Key],0)),"")</f>
        <v/>
      </c>
      <c r="P90" s="11" t="str">
        <f>IFERROR(INDEX(tblPricesRaw[High],MATCH($N90,tblPricesRaw[Key],0)),"")</f>
        <v/>
      </c>
      <c r="Q90" s="11" t="str">
        <f>IFERROR(INDEX(tblPricesRaw[Low],MATCH($N90,tblPricesRaw[Key],0)),"")</f>
        <v/>
      </c>
      <c r="R90" s="11" t="str">
        <f>IFERROR(INDEX(tblPricesRaw[Close],MATCH($N90,tblPricesRaw[Key],0)),"")</f>
        <v/>
      </c>
      <c r="S90" s="11" t="str">
        <f>IFERROR(INDEX(tblPricesRaw[PrevClose],MATCH($N90,tblPricesRaw[Key],0)),"")</f>
        <v/>
      </c>
    </row>
    <row r="91" spans="1:19" x14ac:dyDescent="0.3">
      <c r="A91" s="7"/>
      <c r="B91" s="8"/>
      <c r="C91" s="9" t="str">
        <f>IFERROR(INDEX(tblEarningsRaw[EPS_Actual],MATCH($N91,tblEarningsRaw[Key],0)),"")</f>
        <v/>
      </c>
      <c r="D91" s="9" t="str">
        <f>IFERROR(INDEX(tblEarningsRaw[EPS_Estimate],MATCH($N91,tblEarningsRaw[Key],0)),"")</f>
        <v/>
      </c>
      <c r="E91" s="10" t="str">
        <f t="shared" si="16"/>
        <v/>
      </c>
      <c r="F91" s="8"/>
      <c r="G91" s="10" t="str">
        <f t="shared" si="17"/>
        <v/>
      </c>
      <c r="H91" s="10" t="str">
        <f t="shared" si="18"/>
        <v/>
      </c>
      <c r="I91" s="10" t="str">
        <f t="shared" si="19"/>
        <v/>
      </c>
      <c r="J91" s="11" t="str">
        <f t="shared" si="20"/>
        <v/>
      </c>
      <c r="K91" s="10" t="str">
        <f t="shared" si="21"/>
        <v/>
      </c>
      <c r="L91" s="12" t="str">
        <f t="shared" si="22"/>
        <v/>
      </c>
      <c r="M91" s="3"/>
      <c r="N91" s="11" t="str">
        <f t="shared" si="23"/>
        <v/>
      </c>
      <c r="O91" s="11" t="str">
        <f>IFERROR(INDEX(tblPricesRaw[Open],MATCH($N91,tblPricesRaw[Key],0)),"")</f>
        <v/>
      </c>
      <c r="P91" s="11" t="str">
        <f>IFERROR(INDEX(tblPricesRaw[High],MATCH($N91,tblPricesRaw[Key],0)),"")</f>
        <v/>
      </c>
      <c r="Q91" s="11" t="str">
        <f>IFERROR(INDEX(tblPricesRaw[Low],MATCH($N91,tblPricesRaw[Key],0)),"")</f>
        <v/>
      </c>
      <c r="R91" s="11" t="str">
        <f>IFERROR(INDEX(tblPricesRaw[Close],MATCH($N91,tblPricesRaw[Key],0)),"")</f>
        <v/>
      </c>
      <c r="S91" s="11" t="str">
        <f>IFERROR(INDEX(tblPricesRaw[PrevClose],MATCH($N91,tblPricesRaw[Key],0)),"")</f>
        <v/>
      </c>
    </row>
    <row r="92" spans="1:19" x14ac:dyDescent="0.3">
      <c r="A92" s="7"/>
      <c r="B92" s="8"/>
      <c r="C92" s="9" t="str">
        <f>IFERROR(INDEX(tblEarningsRaw[EPS_Actual],MATCH($N92,tblEarningsRaw[Key],0)),"")</f>
        <v/>
      </c>
      <c r="D92" s="9" t="str">
        <f>IFERROR(INDEX(tblEarningsRaw[EPS_Estimate],MATCH($N92,tblEarningsRaw[Key],0)),"")</f>
        <v/>
      </c>
      <c r="E92" s="10" t="str">
        <f t="shared" si="16"/>
        <v/>
      </c>
      <c r="F92" s="8"/>
      <c r="G92" s="10" t="str">
        <f t="shared" si="17"/>
        <v/>
      </c>
      <c r="H92" s="10" t="str">
        <f t="shared" si="18"/>
        <v/>
      </c>
      <c r="I92" s="10" t="str">
        <f t="shared" si="19"/>
        <v/>
      </c>
      <c r="J92" s="11" t="str">
        <f t="shared" si="20"/>
        <v/>
      </c>
      <c r="K92" s="10" t="str">
        <f t="shared" si="21"/>
        <v/>
      </c>
      <c r="L92" s="12" t="str">
        <f t="shared" si="22"/>
        <v/>
      </c>
      <c r="M92" s="3"/>
      <c r="N92" s="11" t="str">
        <f t="shared" si="23"/>
        <v/>
      </c>
      <c r="O92" s="11" t="str">
        <f>IFERROR(INDEX(tblPricesRaw[Open],MATCH($N92,tblPricesRaw[Key],0)),"")</f>
        <v/>
      </c>
      <c r="P92" s="11" t="str">
        <f>IFERROR(INDEX(tblPricesRaw[High],MATCH($N92,tblPricesRaw[Key],0)),"")</f>
        <v/>
      </c>
      <c r="Q92" s="11" t="str">
        <f>IFERROR(INDEX(tblPricesRaw[Low],MATCH($N92,tblPricesRaw[Key],0)),"")</f>
        <v/>
      </c>
      <c r="R92" s="11" t="str">
        <f>IFERROR(INDEX(tblPricesRaw[Close],MATCH($N92,tblPricesRaw[Key],0)),"")</f>
        <v/>
      </c>
      <c r="S92" s="11" t="str">
        <f>IFERROR(INDEX(tblPricesRaw[PrevClose],MATCH($N92,tblPricesRaw[Key],0)),"")</f>
        <v/>
      </c>
    </row>
    <row r="93" spans="1:19" x14ac:dyDescent="0.3">
      <c r="A93" s="7"/>
      <c r="B93" s="8"/>
      <c r="C93" s="9" t="str">
        <f>IFERROR(INDEX(tblEarningsRaw[EPS_Actual],MATCH($N93,tblEarningsRaw[Key],0)),"")</f>
        <v/>
      </c>
      <c r="D93" s="9" t="str">
        <f>IFERROR(INDEX(tblEarningsRaw[EPS_Estimate],MATCH($N93,tblEarningsRaw[Key],0)),"")</f>
        <v/>
      </c>
      <c r="E93" s="10" t="str">
        <f t="shared" si="16"/>
        <v/>
      </c>
      <c r="F93" s="8"/>
      <c r="G93" s="10" t="str">
        <f t="shared" si="17"/>
        <v/>
      </c>
      <c r="H93" s="10" t="str">
        <f t="shared" si="18"/>
        <v/>
      </c>
      <c r="I93" s="10" t="str">
        <f t="shared" si="19"/>
        <v/>
      </c>
      <c r="J93" s="11" t="str">
        <f t="shared" si="20"/>
        <v/>
      </c>
      <c r="K93" s="10" t="str">
        <f t="shared" si="21"/>
        <v/>
      </c>
      <c r="L93" s="12" t="str">
        <f t="shared" si="22"/>
        <v/>
      </c>
      <c r="M93" s="3"/>
      <c r="N93" s="11" t="str">
        <f t="shared" si="23"/>
        <v/>
      </c>
      <c r="O93" s="11" t="str">
        <f>IFERROR(INDEX(tblPricesRaw[Open],MATCH($N93,tblPricesRaw[Key],0)),"")</f>
        <v/>
      </c>
      <c r="P93" s="11" t="str">
        <f>IFERROR(INDEX(tblPricesRaw[High],MATCH($N93,tblPricesRaw[Key],0)),"")</f>
        <v/>
      </c>
      <c r="Q93" s="11" t="str">
        <f>IFERROR(INDEX(tblPricesRaw[Low],MATCH($N93,tblPricesRaw[Key],0)),"")</f>
        <v/>
      </c>
      <c r="R93" s="11" t="str">
        <f>IFERROR(INDEX(tblPricesRaw[Close],MATCH($N93,tblPricesRaw[Key],0)),"")</f>
        <v/>
      </c>
      <c r="S93" s="11" t="str">
        <f>IFERROR(INDEX(tblPricesRaw[PrevClose],MATCH($N93,tblPricesRaw[Key],0)),"")</f>
        <v/>
      </c>
    </row>
    <row r="94" spans="1:19" x14ac:dyDescent="0.3">
      <c r="A94" s="7"/>
      <c r="B94" s="8"/>
      <c r="C94" s="9" t="str">
        <f>IFERROR(INDEX(tblEarningsRaw[EPS_Actual],MATCH($N94,tblEarningsRaw[Key],0)),"")</f>
        <v/>
      </c>
      <c r="D94" s="9" t="str">
        <f>IFERROR(INDEX(tblEarningsRaw[EPS_Estimate],MATCH($N94,tblEarningsRaw[Key],0)),"")</f>
        <v/>
      </c>
      <c r="E94" s="10" t="str">
        <f t="shared" si="16"/>
        <v/>
      </c>
      <c r="F94" s="8"/>
      <c r="G94" s="10" t="str">
        <f t="shared" si="17"/>
        <v/>
      </c>
      <c r="H94" s="10" t="str">
        <f t="shared" si="18"/>
        <v/>
      </c>
      <c r="I94" s="10" t="str">
        <f t="shared" si="19"/>
        <v/>
      </c>
      <c r="J94" s="11" t="str">
        <f t="shared" si="20"/>
        <v/>
      </c>
      <c r="K94" s="10" t="str">
        <f t="shared" si="21"/>
        <v/>
      </c>
      <c r="L94" s="12" t="str">
        <f t="shared" si="22"/>
        <v/>
      </c>
      <c r="M94" s="3"/>
      <c r="N94" s="11" t="str">
        <f t="shared" si="23"/>
        <v/>
      </c>
      <c r="O94" s="11" t="str">
        <f>IFERROR(INDEX(tblPricesRaw[Open],MATCH($N94,tblPricesRaw[Key],0)),"")</f>
        <v/>
      </c>
      <c r="P94" s="11" t="str">
        <f>IFERROR(INDEX(tblPricesRaw[High],MATCH($N94,tblPricesRaw[Key],0)),"")</f>
        <v/>
      </c>
      <c r="Q94" s="11" t="str">
        <f>IFERROR(INDEX(tblPricesRaw[Low],MATCH($N94,tblPricesRaw[Key],0)),"")</f>
        <v/>
      </c>
      <c r="R94" s="11" t="str">
        <f>IFERROR(INDEX(tblPricesRaw[Close],MATCH($N94,tblPricesRaw[Key],0)),"")</f>
        <v/>
      </c>
      <c r="S94" s="11" t="str">
        <f>IFERROR(INDEX(tblPricesRaw[PrevClose],MATCH($N94,tblPricesRaw[Key],0)),"")</f>
        <v/>
      </c>
    </row>
    <row r="95" spans="1:19" x14ac:dyDescent="0.3">
      <c r="A95" s="7"/>
      <c r="B95" s="8"/>
      <c r="C95" s="9" t="str">
        <f>IFERROR(INDEX(tblEarningsRaw[EPS_Actual],MATCH($N95,tblEarningsRaw[Key],0)),"")</f>
        <v/>
      </c>
      <c r="D95" s="9" t="str">
        <f>IFERROR(INDEX(tblEarningsRaw[EPS_Estimate],MATCH($N95,tblEarningsRaw[Key],0)),"")</f>
        <v/>
      </c>
      <c r="E95" s="10" t="str">
        <f t="shared" si="16"/>
        <v/>
      </c>
      <c r="F95" s="8"/>
      <c r="G95" s="10" t="str">
        <f t="shared" si="17"/>
        <v/>
      </c>
      <c r="H95" s="10" t="str">
        <f t="shared" si="18"/>
        <v/>
      </c>
      <c r="I95" s="10" t="str">
        <f t="shared" si="19"/>
        <v/>
      </c>
      <c r="J95" s="11" t="str">
        <f t="shared" si="20"/>
        <v/>
      </c>
      <c r="K95" s="10" t="str">
        <f t="shared" si="21"/>
        <v/>
      </c>
      <c r="L95" s="12" t="str">
        <f t="shared" si="22"/>
        <v/>
      </c>
      <c r="M95" s="3"/>
      <c r="N95" s="11" t="str">
        <f t="shared" si="23"/>
        <v/>
      </c>
      <c r="O95" s="11" t="str">
        <f>IFERROR(INDEX(tblPricesRaw[Open],MATCH($N95,tblPricesRaw[Key],0)),"")</f>
        <v/>
      </c>
      <c r="P95" s="11" t="str">
        <f>IFERROR(INDEX(tblPricesRaw[High],MATCH($N95,tblPricesRaw[Key],0)),"")</f>
        <v/>
      </c>
      <c r="Q95" s="11" t="str">
        <f>IFERROR(INDEX(tblPricesRaw[Low],MATCH($N95,tblPricesRaw[Key],0)),"")</f>
        <v/>
      </c>
      <c r="R95" s="11" t="str">
        <f>IFERROR(INDEX(tblPricesRaw[Close],MATCH($N95,tblPricesRaw[Key],0)),"")</f>
        <v/>
      </c>
      <c r="S95" s="11" t="str">
        <f>IFERROR(INDEX(tblPricesRaw[PrevClose],MATCH($N95,tblPricesRaw[Key],0)),"")</f>
        <v/>
      </c>
    </row>
    <row r="96" spans="1:19" x14ac:dyDescent="0.3">
      <c r="A96" s="7"/>
      <c r="B96" s="8"/>
      <c r="C96" s="9" t="str">
        <f>IFERROR(INDEX(tblEarningsRaw[EPS_Actual],MATCH($N96,tblEarningsRaw[Key],0)),"")</f>
        <v/>
      </c>
      <c r="D96" s="9" t="str">
        <f>IFERROR(INDEX(tblEarningsRaw[EPS_Estimate],MATCH($N96,tblEarningsRaw[Key],0)),"")</f>
        <v/>
      </c>
      <c r="E96" s="10" t="str">
        <f t="shared" si="16"/>
        <v/>
      </c>
      <c r="F96" s="8"/>
      <c r="G96" s="10" t="str">
        <f t="shared" si="17"/>
        <v/>
      </c>
      <c r="H96" s="10" t="str">
        <f t="shared" si="18"/>
        <v/>
      </c>
      <c r="I96" s="10" t="str">
        <f t="shared" si="19"/>
        <v/>
      </c>
      <c r="J96" s="11" t="str">
        <f t="shared" si="20"/>
        <v/>
      </c>
      <c r="K96" s="10" t="str">
        <f t="shared" si="21"/>
        <v/>
      </c>
      <c r="L96" s="12" t="str">
        <f t="shared" si="22"/>
        <v/>
      </c>
      <c r="M96" s="3"/>
      <c r="N96" s="11" t="str">
        <f t="shared" si="23"/>
        <v/>
      </c>
      <c r="O96" s="11" t="str">
        <f>IFERROR(INDEX(tblPricesRaw[Open],MATCH($N96,tblPricesRaw[Key],0)),"")</f>
        <v/>
      </c>
      <c r="P96" s="11" t="str">
        <f>IFERROR(INDEX(tblPricesRaw[High],MATCH($N96,tblPricesRaw[Key],0)),"")</f>
        <v/>
      </c>
      <c r="Q96" s="11" t="str">
        <f>IFERROR(INDEX(tblPricesRaw[Low],MATCH($N96,tblPricesRaw[Key],0)),"")</f>
        <v/>
      </c>
      <c r="R96" s="11" t="str">
        <f>IFERROR(INDEX(tblPricesRaw[Close],MATCH($N96,tblPricesRaw[Key],0)),"")</f>
        <v/>
      </c>
      <c r="S96" s="11" t="str">
        <f>IFERROR(INDEX(tblPricesRaw[PrevClose],MATCH($N96,tblPricesRaw[Key],0)),"")</f>
        <v/>
      </c>
    </row>
    <row r="97" spans="1:19" x14ac:dyDescent="0.3">
      <c r="A97" s="7"/>
      <c r="B97" s="8"/>
      <c r="C97" s="9" t="str">
        <f>IFERROR(INDEX(tblEarningsRaw[EPS_Actual],MATCH($N97,tblEarningsRaw[Key],0)),"")</f>
        <v/>
      </c>
      <c r="D97" s="9" t="str">
        <f>IFERROR(INDEX(tblEarningsRaw[EPS_Estimate],MATCH($N97,tblEarningsRaw[Key],0)),"")</f>
        <v/>
      </c>
      <c r="E97" s="10" t="str">
        <f t="shared" si="16"/>
        <v/>
      </c>
      <c r="F97" s="8"/>
      <c r="G97" s="10" t="str">
        <f t="shared" si="17"/>
        <v/>
      </c>
      <c r="H97" s="10" t="str">
        <f t="shared" si="18"/>
        <v/>
      </c>
      <c r="I97" s="10" t="str">
        <f t="shared" si="19"/>
        <v/>
      </c>
      <c r="J97" s="11" t="str">
        <f t="shared" si="20"/>
        <v/>
      </c>
      <c r="K97" s="10" t="str">
        <f t="shared" si="21"/>
        <v/>
      </c>
      <c r="L97" s="12" t="str">
        <f t="shared" si="22"/>
        <v/>
      </c>
      <c r="M97" s="3"/>
      <c r="N97" s="11" t="str">
        <f t="shared" si="23"/>
        <v/>
      </c>
      <c r="O97" s="11" t="str">
        <f>IFERROR(INDEX(tblPricesRaw[Open],MATCH($N97,tblPricesRaw[Key],0)),"")</f>
        <v/>
      </c>
      <c r="P97" s="11" t="str">
        <f>IFERROR(INDEX(tblPricesRaw[High],MATCH($N97,tblPricesRaw[Key],0)),"")</f>
        <v/>
      </c>
      <c r="Q97" s="11" t="str">
        <f>IFERROR(INDEX(tblPricesRaw[Low],MATCH($N97,tblPricesRaw[Key],0)),"")</f>
        <v/>
      </c>
      <c r="R97" s="11" t="str">
        <f>IFERROR(INDEX(tblPricesRaw[Close],MATCH($N97,tblPricesRaw[Key],0)),"")</f>
        <v/>
      </c>
      <c r="S97" s="11" t="str">
        <f>IFERROR(INDEX(tblPricesRaw[PrevClose],MATCH($N97,tblPricesRaw[Key],0)),"")</f>
        <v/>
      </c>
    </row>
    <row r="98" spans="1:19" x14ac:dyDescent="0.3">
      <c r="A98" s="7"/>
      <c r="B98" s="8"/>
      <c r="C98" s="9" t="str">
        <f>IFERROR(INDEX(tblEarningsRaw[EPS_Actual],MATCH($N98,tblEarningsRaw[Key],0)),"")</f>
        <v/>
      </c>
      <c r="D98" s="9" t="str">
        <f>IFERROR(INDEX(tblEarningsRaw[EPS_Estimate],MATCH($N98,tblEarningsRaw[Key],0)),"")</f>
        <v/>
      </c>
      <c r="E98" s="10" t="str">
        <f t="shared" si="16"/>
        <v/>
      </c>
      <c r="F98" s="8"/>
      <c r="G98" s="10" t="str">
        <f t="shared" si="17"/>
        <v/>
      </c>
      <c r="H98" s="10" t="str">
        <f t="shared" si="18"/>
        <v/>
      </c>
      <c r="I98" s="10" t="str">
        <f t="shared" si="19"/>
        <v/>
      </c>
      <c r="J98" s="11" t="str">
        <f t="shared" si="20"/>
        <v/>
      </c>
      <c r="K98" s="10" t="str">
        <f t="shared" si="21"/>
        <v/>
      </c>
      <c r="L98" s="12" t="str">
        <f t="shared" si="22"/>
        <v/>
      </c>
      <c r="M98" s="3"/>
      <c r="N98" s="11" t="str">
        <f t="shared" si="23"/>
        <v/>
      </c>
      <c r="O98" s="11" t="str">
        <f>IFERROR(INDEX(tblPricesRaw[Open],MATCH($N98,tblPricesRaw[Key],0)),"")</f>
        <v/>
      </c>
      <c r="P98" s="11" t="str">
        <f>IFERROR(INDEX(tblPricesRaw[High],MATCH($N98,tblPricesRaw[Key],0)),"")</f>
        <v/>
      </c>
      <c r="Q98" s="11" t="str">
        <f>IFERROR(INDEX(tblPricesRaw[Low],MATCH($N98,tblPricesRaw[Key],0)),"")</f>
        <v/>
      </c>
      <c r="R98" s="11" t="str">
        <f>IFERROR(INDEX(tblPricesRaw[Close],MATCH($N98,tblPricesRaw[Key],0)),"")</f>
        <v/>
      </c>
      <c r="S98" s="11" t="str">
        <f>IFERROR(INDEX(tblPricesRaw[PrevClose],MATCH($N98,tblPricesRaw[Key],0)),"")</f>
        <v/>
      </c>
    </row>
    <row r="99" spans="1:19" x14ac:dyDescent="0.3">
      <c r="A99" s="7"/>
      <c r="B99" s="8"/>
      <c r="C99" s="9" t="str">
        <f>IFERROR(INDEX(tblEarningsRaw[EPS_Actual],MATCH($N99,tblEarningsRaw[Key],0)),"")</f>
        <v/>
      </c>
      <c r="D99" s="9" t="str">
        <f>IFERROR(INDEX(tblEarningsRaw[EPS_Estimate],MATCH($N99,tblEarningsRaw[Key],0)),"")</f>
        <v/>
      </c>
      <c r="E99" s="10" t="str">
        <f t="shared" si="16"/>
        <v/>
      </c>
      <c r="F99" s="8"/>
      <c r="G99" s="10" t="str">
        <f t="shared" si="17"/>
        <v/>
      </c>
      <c r="H99" s="10" t="str">
        <f t="shared" si="18"/>
        <v/>
      </c>
      <c r="I99" s="10" t="str">
        <f t="shared" si="19"/>
        <v/>
      </c>
      <c r="J99" s="11" t="str">
        <f t="shared" si="20"/>
        <v/>
      </c>
      <c r="K99" s="10" t="str">
        <f t="shared" si="21"/>
        <v/>
      </c>
      <c r="L99" s="12" t="str">
        <f t="shared" si="22"/>
        <v/>
      </c>
      <c r="M99" s="3"/>
      <c r="N99" s="11" t="str">
        <f t="shared" si="23"/>
        <v/>
      </c>
      <c r="O99" s="11" t="str">
        <f>IFERROR(INDEX(tblPricesRaw[Open],MATCH($N99,tblPricesRaw[Key],0)),"")</f>
        <v/>
      </c>
      <c r="P99" s="11" t="str">
        <f>IFERROR(INDEX(tblPricesRaw[High],MATCH($N99,tblPricesRaw[Key],0)),"")</f>
        <v/>
      </c>
      <c r="Q99" s="11" t="str">
        <f>IFERROR(INDEX(tblPricesRaw[Low],MATCH($N99,tblPricesRaw[Key],0)),"")</f>
        <v/>
      </c>
      <c r="R99" s="11" t="str">
        <f>IFERROR(INDEX(tblPricesRaw[Close],MATCH($N99,tblPricesRaw[Key],0)),"")</f>
        <v/>
      </c>
      <c r="S99" s="11" t="str">
        <f>IFERROR(INDEX(tblPricesRaw[PrevClose],MATCH($N99,tblPricesRaw[Key],0)),"")</f>
        <v/>
      </c>
    </row>
    <row r="100" spans="1:19" x14ac:dyDescent="0.3">
      <c r="A100" s="7"/>
      <c r="B100" s="8"/>
      <c r="C100" s="9" t="str">
        <f>IFERROR(INDEX(tblEarningsRaw[EPS_Actual],MATCH($N100,tblEarningsRaw[Key],0)),"")</f>
        <v/>
      </c>
      <c r="D100" s="9" t="str">
        <f>IFERROR(INDEX(tblEarningsRaw[EPS_Estimate],MATCH($N100,tblEarningsRaw[Key],0)),"")</f>
        <v/>
      </c>
      <c r="E100" s="10" t="str">
        <f t="shared" si="16"/>
        <v/>
      </c>
      <c r="F100" s="8"/>
      <c r="G100" s="10" t="str">
        <f t="shared" si="17"/>
        <v/>
      </c>
      <c r="H100" s="10" t="str">
        <f t="shared" si="18"/>
        <v/>
      </c>
      <c r="I100" s="10" t="str">
        <f t="shared" si="19"/>
        <v/>
      </c>
      <c r="J100" s="11" t="str">
        <f t="shared" si="20"/>
        <v/>
      </c>
      <c r="K100" s="10" t="str">
        <f t="shared" si="21"/>
        <v/>
      </c>
      <c r="L100" s="12" t="str">
        <f t="shared" si="22"/>
        <v/>
      </c>
      <c r="M100" s="3"/>
      <c r="N100" s="11" t="str">
        <f t="shared" si="23"/>
        <v/>
      </c>
      <c r="O100" s="11" t="str">
        <f>IFERROR(INDEX(tblPricesRaw[Open],MATCH($N100,tblPricesRaw[Key],0)),"")</f>
        <v/>
      </c>
      <c r="P100" s="11" t="str">
        <f>IFERROR(INDEX(tblPricesRaw[High],MATCH($N100,tblPricesRaw[Key],0)),"")</f>
        <v/>
      </c>
      <c r="Q100" s="11" t="str">
        <f>IFERROR(INDEX(tblPricesRaw[Low],MATCH($N100,tblPricesRaw[Key],0)),"")</f>
        <v/>
      </c>
      <c r="R100" s="11" t="str">
        <f>IFERROR(INDEX(tblPricesRaw[Close],MATCH($N100,tblPricesRaw[Key],0)),"")</f>
        <v/>
      </c>
      <c r="S100" s="11" t="str">
        <f>IFERROR(INDEX(tblPricesRaw[PrevClose],MATCH($N100,tblPricesRaw[Key],0)),"")</f>
        <v/>
      </c>
    </row>
    <row r="101" spans="1:19" x14ac:dyDescent="0.3">
      <c r="A101" s="7"/>
      <c r="B101" s="8"/>
      <c r="C101" s="9" t="str">
        <f>IFERROR(INDEX(tblEarningsRaw[EPS_Actual],MATCH($N101,tblEarningsRaw[Key],0)),"")</f>
        <v/>
      </c>
      <c r="D101" s="9" t="str">
        <f>IFERROR(INDEX(tblEarningsRaw[EPS_Estimate],MATCH($N101,tblEarningsRaw[Key],0)),"")</f>
        <v/>
      </c>
      <c r="E101" s="10" t="str">
        <f t="shared" ref="E101:E132" si="24">IF(AND(C101&lt;&gt;"",D101&lt;&gt;""), (C101-D101)/ABS(D101), "")</f>
        <v/>
      </c>
      <c r="F101" s="8"/>
      <c r="G101" s="10" t="str">
        <f t="shared" ref="G101:G132" si="25">IF(AND($O101&lt;&gt;"",$S101&lt;&gt;""), ($O101-$S101)/$S101, "")</f>
        <v/>
      </c>
      <c r="H101" s="10" t="str">
        <f t="shared" ref="H101:H132" si="26">IF(AND($R101&lt;&gt;"",$S101&lt;&gt;""), ($R101-$S101)/$S101, "")</f>
        <v/>
      </c>
      <c r="I101" s="10" t="str">
        <f t="shared" ref="I101:I132" si="27">IF(AND($P101&lt;&gt;"",$Q101&lt;&gt;"",$S101&lt;&gt;""), ($P101-$Q101)/$S101, "")</f>
        <v/>
      </c>
      <c r="J101" s="11" t="str">
        <f t="shared" ref="J101:J132" si="28">IF(OR(E101="",H101=""),"",IF(AND(E101&gt;0,H101&gt;0),"利好确认",IF(AND(E101&gt;0,H101&lt;=0),"利好不涨",IF(AND(E101&lt;0,H101&lt;0),"利空确认",IF(AND(E101&lt;0,H101&gt;=0),"利空不跌","中性")))))</f>
        <v/>
      </c>
      <c r="K101" s="10" t="str">
        <f t="shared" ref="K101:K132" si="29">IF(A101="", "", IFERROR(COUNTIFS($A$5:$A$204,A101,$H$5:$H$204,"&gt;0")/COUNTIF($A$5:$A$204,A101),""))</f>
        <v/>
      </c>
      <c r="L101" s="12" t="str">
        <f t="shared" ref="L101:L132" si="30">IF(A101="", "", IF(E101&gt;0.05,1,0) + IF(F101=1,1,0) + IF(H101&gt;0.03,1,0) - IF(J101="利好不涨",2,0) + IF(J101="利空不跌",2,0))</f>
        <v/>
      </c>
      <c r="M101" s="3"/>
      <c r="N101" s="11" t="str">
        <f t="shared" ref="N101:N132" si="31">IF(AND(A101&lt;&gt;"",B101&lt;&gt;""),B101&amp;"|"&amp;TEXT(A101,"yyyy-mm-dd"),"")</f>
        <v/>
      </c>
      <c r="O101" s="11" t="str">
        <f>IFERROR(INDEX(tblPricesRaw[Open],MATCH($N101,tblPricesRaw[Key],0)),"")</f>
        <v/>
      </c>
      <c r="P101" s="11" t="str">
        <f>IFERROR(INDEX(tblPricesRaw[High],MATCH($N101,tblPricesRaw[Key],0)),"")</f>
        <v/>
      </c>
      <c r="Q101" s="11" t="str">
        <f>IFERROR(INDEX(tblPricesRaw[Low],MATCH($N101,tblPricesRaw[Key],0)),"")</f>
        <v/>
      </c>
      <c r="R101" s="11" t="str">
        <f>IFERROR(INDEX(tblPricesRaw[Close],MATCH($N101,tblPricesRaw[Key],0)),"")</f>
        <v/>
      </c>
      <c r="S101" s="11" t="str">
        <f>IFERROR(INDEX(tblPricesRaw[PrevClose],MATCH($N101,tblPricesRaw[Key],0)),"")</f>
        <v/>
      </c>
    </row>
    <row r="102" spans="1:19" x14ac:dyDescent="0.3">
      <c r="A102" s="7"/>
      <c r="B102" s="8"/>
      <c r="C102" s="9" t="str">
        <f>IFERROR(INDEX(tblEarningsRaw[EPS_Actual],MATCH($N102,tblEarningsRaw[Key],0)),"")</f>
        <v/>
      </c>
      <c r="D102" s="9" t="str">
        <f>IFERROR(INDEX(tblEarningsRaw[EPS_Estimate],MATCH($N102,tblEarningsRaw[Key],0)),"")</f>
        <v/>
      </c>
      <c r="E102" s="10" t="str">
        <f t="shared" si="24"/>
        <v/>
      </c>
      <c r="F102" s="8"/>
      <c r="G102" s="10" t="str">
        <f t="shared" si="25"/>
        <v/>
      </c>
      <c r="H102" s="10" t="str">
        <f t="shared" si="26"/>
        <v/>
      </c>
      <c r="I102" s="10" t="str">
        <f t="shared" si="27"/>
        <v/>
      </c>
      <c r="J102" s="11" t="str">
        <f t="shared" si="28"/>
        <v/>
      </c>
      <c r="K102" s="10" t="str">
        <f t="shared" si="29"/>
        <v/>
      </c>
      <c r="L102" s="12" t="str">
        <f t="shared" si="30"/>
        <v/>
      </c>
      <c r="M102" s="3"/>
      <c r="N102" s="11" t="str">
        <f t="shared" si="31"/>
        <v/>
      </c>
      <c r="O102" s="11" t="str">
        <f>IFERROR(INDEX(tblPricesRaw[Open],MATCH($N102,tblPricesRaw[Key],0)),"")</f>
        <v/>
      </c>
      <c r="P102" s="11" t="str">
        <f>IFERROR(INDEX(tblPricesRaw[High],MATCH($N102,tblPricesRaw[Key],0)),"")</f>
        <v/>
      </c>
      <c r="Q102" s="11" t="str">
        <f>IFERROR(INDEX(tblPricesRaw[Low],MATCH($N102,tblPricesRaw[Key],0)),"")</f>
        <v/>
      </c>
      <c r="R102" s="11" t="str">
        <f>IFERROR(INDEX(tblPricesRaw[Close],MATCH($N102,tblPricesRaw[Key],0)),"")</f>
        <v/>
      </c>
      <c r="S102" s="11" t="str">
        <f>IFERROR(INDEX(tblPricesRaw[PrevClose],MATCH($N102,tblPricesRaw[Key],0)),"")</f>
        <v/>
      </c>
    </row>
    <row r="103" spans="1:19" x14ac:dyDescent="0.3">
      <c r="A103" s="7"/>
      <c r="B103" s="8"/>
      <c r="C103" s="9" t="str">
        <f>IFERROR(INDEX(tblEarningsRaw[EPS_Actual],MATCH($N103,tblEarningsRaw[Key],0)),"")</f>
        <v/>
      </c>
      <c r="D103" s="9" t="str">
        <f>IFERROR(INDEX(tblEarningsRaw[EPS_Estimate],MATCH($N103,tblEarningsRaw[Key],0)),"")</f>
        <v/>
      </c>
      <c r="E103" s="10" t="str">
        <f t="shared" si="24"/>
        <v/>
      </c>
      <c r="F103" s="8"/>
      <c r="G103" s="10" t="str">
        <f t="shared" si="25"/>
        <v/>
      </c>
      <c r="H103" s="10" t="str">
        <f t="shared" si="26"/>
        <v/>
      </c>
      <c r="I103" s="10" t="str">
        <f t="shared" si="27"/>
        <v/>
      </c>
      <c r="J103" s="11" t="str">
        <f t="shared" si="28"/>
        <v/>
      </c>
      <c r="K103" s="10" t="str">
        <f t="shared" si="29"/>
        <v/>
      </c>
      <c r="L103" s="12" t="str">
        <f t="shared" si="30"/>
        <v/>
      </c>
      <c r="M103" s="3"/>
      <c r="N103" s="11" t="str">
        <f t="shared" si="31"/>
        <v/>
      </c>
      <c r="O103" s="11" t="str">
        <f>IFERROR(INDEX(tblPricesRaw[Open],MATCH($N103,tblPricesRaw[Key],0)),"")</f>
        <v/>
      </c>
      <c r="P103" s="11" t="str">
        <f>IFERROR(INDEX(tblPricesRaw[High],MATCH($N103,tblPricesRaw[Key],0)),"")</f>
        <v/>
      </c>
      <c r="Q103" s="11" t="str">
        <f>IFERROR(INDEX(tblPricesRaw[Low],MATCH($N103,tblPricesRaw[Key],0)),"")</f>
        <v/>
      </c>
      <c r="R103" s="11" t="str">
        <f>IFERROR(INDEX(tblPricesRaw[Close],MATCH($N103,tblPricesRaw[Key],0)),"")</f>
        <v/>
      </c>
      <c r="S103" s="11" t="str">
        <f>IFERROR(INDEX(tblPricesRaw[PrevClose],MATCH($N103,tblPricesRaw[Key],0)),"")</f>
        <v/>
      </c>
    </row>
    <row r="104" spans="1:19" x14ac:dyDescent="0.3">
      <c r="A104" s="7"/>
      <c r="B104" s="8"/>
      <c r="C104" s="9" t="str">
        <f>IFERROR(INDEX(tblEarningsRaw[EPS_Actual],MATCH($N104,tblEarningsRaw[Key],0)),"")</f>
        <v/>
      </c>
      <c r="D104" s="9" t="str">
        <f>IFERROR(INDEX(tblEarningsRaw[EPS_Estimate],MATCH($N104,tblEarningsRaw[Key],0)),"")</f>
        <v/>
      </c>
      <c r="E104" s="10" t="str">
        <f t="shared" si="24"/>
        <v/>
      </c>
      <c r="F104" s="8"/>
      <c r="G104" s="10" t="str">
        <f t="shared" si="25"/>
        <v/>
      </c>
      <c r="H104" s="10" t="str">
        <f t="shared" si="26"/>
        <v/>
      </c>
      <c r="I104" s="10" t="str">
        <f t="shared" si="27"/>
        <v/>
      </c>
      <c r="J104" s="11" t="str">
        <f t="shared" si="28"/>
        <v/>
      </c>
      <c r="K104" s="10" t="str">
        <f t="shared" si="29"/>
        <v/>
      </c>
      <c r="L104" s="12" t="str">
        <f t="shared" si="30"/>
        <v/>
      </c>
      <c r="M104" s="3"/>
      <c r="N104" s="11" t="str">
        <f t="shared" si="31"/>
        <v/>
      </c>
      <c r="O104" s="11" t="str">
        <f>IFERROR(INDEX(tblPricesRaw[Open],MATCH($N104,tblPricesRaw[Key],0)),"")</f>
        <v/>
      </c>
      <c r="P104" s="11" t="str">
        <f>IFERROR(INDEX(tblPricesRaw[High],MATCH($N104,tblPricesRaw[Key],0)),"")</f>
        <v/>
      </c>
      <c r="Q104" s="11" t="str">
        <f>IFERROR(INDEX(tblPricesRaw[Low],MATCH($N104,tblPricesRaw[Key],0)),"")</f>
        <v/>
      </c>
      <c r="R104" s="11" t="str">
        <f>IFERROR(INDEX(tblPricesRaw[Close],MATCH($N104,tblPricesRaw[Key],0)),"")</f>
        <v/>
      </c>
      <c r="S104" s="11" t="str">
        <f>IFERROR(INDEX(tblPricesRaw[PrevClose],MATCH($N104,tblPricesRaw[Key],0)),"")</f>
        <v/>
      </c>
    </row>
    <row r="105" spans="1:19" x14ac:dyDescent="0.3">
      <c r="A105" s="7"/>
      <c r="B105" s="8"/>
      <c r="C105" s="9" t="str">
        <f>IFERROR(INDEX(tblEarningsRaw[EPS_Actual],MATCH($N105,tblEarningsRaw[Key],0)),"")</f>
        <v/>
      </c>
      <c r="D105" s="9" t="str">
        <f>IFERROR(INDEX(tblEarningsRaw[EPS_Estimate],MATCH($N105,tblEarningsRaw[Key],0)),"")</f>
        <v/>
      </c>
      <c r="E105" s="10" t="str">
        <f t="shared" si="24"/>
        <v/>
      </c>
      <c r="F105" s="8"/>
      <c r="G105" s="10" t="str">
        <f t="shared" si="25"/>
        <v/>
      </c>
      <c r="H105" s="10" t="str">
        <f t="shared" si="26"/>
        <v/>
      </c>
      <c r="I105" s="10" t="str">
        <f t="shared" si="27"/>
        <v/>
      </c>
      <c r="J105" s="11" t="str">
        <f t="shared" si="28"/>
        <v/>
      </c>
      <c r="K105" s="10" t="str">
        <f t="shared" si="29"/>
        <v/>
      </c>
      <c r="L105" s="12" t="str">
        <f t="shared" si="30"/>
        <v/>
      </c>
      <c r="M105" s="3"/>
      <c r="N105" s="11" t="str">
        <f t="shared" si="31"/>
        <v/>
      </c>
      <c r="O105" s="11" t="str">
        <f>IFERROR(INDEX(tblPricesRaw[Open],MATCH($N105,tblPricesRaw[Key],0)),"")</f>
        <v/>
      </c>
      <c r="P105" s="11" t="str">
        <f>IFERROR(INDEX(tblPricesRaw[High],MATCH($N105,tblPricesRaw[Key],0)),"")</f>
        <v/>
      </c>
      <c r="Q105" s="11" t="str">
        <f>IFERROR(INDEX(tblPricesRaw[Low],MATCH($N105,tblPricesRaw[Key],0)),"")</f>
        <v/>
      </c>
      <c r="R105" s="11" t="str">
        <f>IFERROR(INDEX(tblPricesRaw[Close],MATCH($N105,tblPricesRaw[Key],0)),"")</f>
        <v/>
      </c>
      <c r="S105" s="11" t="str">
        <f>IFERROR(INDEX(tblPricesRaw[PrevClose],MATCH($N105,tblPricesRaw[Key],0)),"")</f>
        <v/>
      </c>
    </row>
    <row r="106" spans="1:19" x14ac:dyDescent="0.3">
      <c r="A106" s="7"/>
      <c r="B106" s="8"/>
      <c r="C106" s="9" t="str">
        <f>IFERROR(INDEX(tblEarningsRaw[EPS_Actual],MATCH($N106,tblEarningsRaw[Key],0)),"")</f>
        <v/>
      </c>
      <c r="D106" s="9" t="str">
        <f>IFERROR(INDEX(tblEarningsRaw[EPS_Estimate],MATCH($N106,tblEarningsRaw[Key],0)),"")</f>
        <v/>
      </c>
      <c r="E106" s="10" t="str">
        <f t="shared" si="24"/>
        <v/>
      </c>
      <c r="F106" s="8"/>
      <c r="G106" s="10" t="str">
        <f t="shared" si="25"/>
        <v/>
      </c>
      <c r="H106" s="10" t="str">
        <f t="shared" si="26"/>
        <v/>
      </c>
      <c r="I106" s="10" t="str">
        <f t="shared" si="27"/>
        <v/>
      </c>
      <c r="J106" s="11" t="str">
        <f t="shared" si="28"/>
        <v/>
      </c>
      <c r="K106" s="10" t="str">
        <f t="shared" si="29"/>
        <v/>
      </c>
      <c r="L106" s="12" t="str">
        <f t="shared" si="30"/>
        <v/>
      </c>
      <c r="M106" s="3"/>
      <c r="N106" s="11" t="str">
        <f t="shared" si="31"/>
        <v/>
      </c>
      <c r="O106" s="11" t="str">
        <f>IFERROR(INDEX(tblPricesRaw[Open],MATCH($N106,tblPricesRaw[Key],0)),"")</f>
        <v/>
      </c>
      <c r="P106" s="11" t="str">
        <f>IFERROR(INDEX(tblPricesRaw[High],MATCH($N106,tblPricesRaw[Key],0)),"")</f>
        <v/>
      </c>
      <c r="Q106" s="11" t="str">
        <f>IFERROR(INDEX(tblPricesRaw[Low],MATCH($N106,tblPricesRaw[Key],0)),"")</f>
        <v/>
      </c>
      <c r="R106" s="11" t="str">
        <f>IFERROR(INDEX(tblPricesRaw[Close],MATCH($N106,tblPricesRaw[Key],0)),"")</f>
        <v/>
      </c>
      <c r="S106" s="11" t="str">
        <f>IFERROR(INDEX(tblPricesRaw[PrevClose],MATCH($N106,tblPricesRaw[Key],0)),"")</f>
        <v/>
      </c>
    </row>
    <row r="107" spans="1:19" x14ac:dyDescent="0.3">
      <c r="A107" s="7"/>
      <c r="B107" s="8"/>
      <c r="C107" s="9" t="str">
        <f>IFERROR(INDEX(tblEarningsRaw[EPS_Actual],MATCH($N107,tblEarningsRaw[Key],0)),"")</f>
        <v/>
      </c>
      <c r="D107" s="9" t="str">
        <f>IFERROR(INDEX(tblEarningsRaw[EPS_Estimate],MATCH($N107,tblEarningsRaw[Key],0)),"")</f>
        <v/>
      </c>
      <c r="E107" s="10" t="str">
        <f t="shared" si="24"/>
        <v/>
      </c>
      <c r="F107" s="8"/>
      <c r="G107" s="10" t="str">
        <f t="shared" si="25"/>
        <v/>
      </c>
      <c r="H107" s="10" t="str">
        <f t="shared" si="26"/>
        <v/>
      </c>
      <c r="I107" s="10" t="str">
        <f t="shared" si="27"/>
        <v/>
      </c>
      <c r="J107" s="11" t="str">
        <f t="shared" si="28"/>
        <v/>
      </c>
      <c r="K107" s="10" t="str">
        <f t="shared" si="29"/>
        <v/>
      </c>
      <c r="L107" s="12" t="str">
        <f t="shared" si="30"/>
        <v/>
      </c>
      <c r="M107" s="3"/>
      <c r="N107" s="11" t="str">
        <f t="shared" si="31"/>
        <v/>
      </c>
      <c r="O107" s="11" t="str">
        <f>IFERROR(INDEX(tblPricesRaw[Open],MATCH($N107,tblPricesRaw[Key],0)),"")</f>
        <v/>
      </c>
      <c r="P107" s="11" t="str">
        <f>IFERROR(INDEX(tblPricesRaw[High],MATCH($N107,tblPricesRaw[Key],0)),"")</f>
        <v/>
      </c>
      <c r="Q107" s="11" t="str">
        <f>IFERROR(INDEX(tblPricesRaw[Low],MATCH($N107,tblPricesRaw[Key],0)),"")</f>
        <v/>
      </c>
      <c r="R107" s="11" t="str">
        <f>IFERROR(INDEX(tblPricesRaw[Close],MATCH($N107,tblPricesRaw[Key],0)),"")</f>
        <v/>
      </c>
      <c r="S107" s="11" t="str">
        <f>IFERROR(INDEX(tblPricesRaw[PrevClose],MATCH($N107,tblPricesRaw[Key],0)),"")</f>
        <v/>
      </c>
    </row>
    <row r="108" spans="1:19" x14ac:dyDescent="0.3">
      <c r="A108" s="7"/>
      <c r="B108" s="8"/>
      <c r="C108" s="9" t="str">
        <f>IFERROR(INDEX(tblEarningsRaw[EPS_Actual],MATCH($N108,tblEarningsRaw[Key],0)),"")</f>
        <v/>
      </c>
      <c r="D108" s="9" t="str">
        <f>IFERROR(INDEX(tblEarningsRaw[EPS_Estimate],MATCH($N108,tblEarningsRaw[Key],0)),"")</f>
        <v/>
      </c>
      <c r="E108" s="10" t="str">
        <f t="shared" si="24"/>
        <v/>
      </c>
      <c r="F108" s="8"/>
      <c r="G108" s="10" t="str">
        <f t="shared" si="25"/>
        <v/>
      </c>
      <c r="H108" s="10" t="str">
        <f t="shared" si="26"/>
        <v/>
      </c>
      <c r="I108" s="10" t="str">
        <f t="shared" si="27"/>
        <v/>
      </c>
      <c r="J108" s="11" t="str">
        <f t="shared" si="28"/>
        <v/>
      </c>
      <c r="K108" s="10" t="str">
        <f t="shared" si="29"/>
        <v/>
      </c>
      <c r="L108" s="12" t="str">
        <f t="shared" si="30"/>
        <v/>
      </c>
      <c r="M108" s="3"/>
      <c r="N108" s="11" t="str">
        <f t="shared" si="31"/>
        <v/>
      </c>
      <c r="O108" s="11" t="str">
        <f>IFERROR(INDEX(tblPricesRaw[Open],MATCH($N108,tblPricesRaw[Key],0)),"")</f>
        <v/>
      </c>
      <c r="P108" s="11" t="str">
        <f>IFERROR(INDEX(tblPricesRaw[High],MATCH($N108,tblPricesRaw[Key],0)),"")</f>
        <v/>
      </c>
      <c r="Q108" s="11" t="str">
        <f>IFERROR(INDEX(tblPricesRaw[Low],MATCH($N108,tblPricesRaw[Key],0)),"")</f>
        <v/>
      </c>
      <c r="R108" s="11" t="str">
        <f>IFERROR(INDEX(tblPricesRaw[Close],MATCH($N108,tblPricesRaw[Key],0)),"")</f>
        <v/>
      </c>
      <c r="S108" s="11" t="str">
        <f>IFERROR(INDEX(tblPricesRaw[PrevClose],MATCH($N108,tblPricesRaw[Key],0)),"")</f>
        <v/>
      </c>
    </row>
    <row r="109" spans="1:19" x14ac:dyDescent="0.3">
      <c r="A109" s="7"/>
      <c r="B109" s="8"/>
      <c r="C109" s="9" t="str">
        <f>IFERROR(INDEX(tblEarningsRaw[EPS_Actual],MATCH($N109,tblEarningsRaw[Key],0)),"")</f>
        <v/>
      </c>
      <c r="D109" s="9" t="str">
        <f>IFERROR(INDEX(tblEarningsRaw[EPS_Estimate],MATCH($N109,tblEarningsRaw[Key],0)),"")</f>
        <v/>
      </c>
      <c r="E109" s="10" t="str">
        <f t="shared" si="24"/>
        <v/>
      </c>
      <c r="F109" s="8"/>
      <c r="G109" s="10" t="str">
        <f t="shared" si="25"/>
        <v/>
      </c>
      <c r="H109" s="10" t="str">
        <f t="shared" si="26"/>
        <v/>
      </c>
      <c r="I109" s="10" t="str">
        <f t="shared" si="27"/>
        <v/>
      </c>
      <c r="J109" s="11" t="str">
        <f t="shared" si="28"/>
        <v/>
      </c>
      <c r="K109" s="10" t="str">
        <f t="shared" si="29"/>
        <v/>
      </c>
      <c r="L109" s="12" t="str">
        <f t="shared" si="30"/>
        <v/>
      </c>
      <c r="M109" s="3"/>
      <c r="N109" s="11" t="str">
        <f t="shared" si="31"/>
        <v/>
      </c>
      <c r="O109" s="11" t="str">
        <f>IFERROR(INDEX(tblPricesRaw[Open],MATCH($N109,tblPricesRaw[Key],0)),"")</f>
        <v/>
      </c>
      <c r="P109" s="11" t="str">
        <f>IFERROR(INDEX(tblPricesRaw[High],MATCH($N109,tblPricesRaw[Key],0)),"")</f>
        <v/>
      </c>
      <c r="Q109" s="11" t="str">
        <f>IFERROR(INDEX(tblPricesRaw[Low],MATCH($N109,tblPricesRaw[Key],0)),"")</f>
        <v/>
      </c>
      <c r="R109" s="11" t="str">
        <f>IFERROR(INDEX(tblPricesRaw[Close],MATCH($N109,tblPricesRaw[Key],0)),"")</f>
        <v/>
      </c>
      <c r="S109" s="11" t="str">
        <f>IFERROR(INDEX(tblPricesRaw[PrevClose],MATCH($N109,tblPricesRaw[Key],0)),"")</f>
        <v/>
      </c>
    </row>
    <row r="110" spans="1:19" x14ac:dyDescent="0.3">
      <c r="A110" s="7"/>
      <c r="B110" s="8"/>
      <c r="C110" s="9" t="str">
        <f>IFERROR(INDEX(tblEarningsRaw[EPS_Actual],MATCH($N110,tblEarningsRaw[Key],0)),"")</f>
        <v/>
      </c>
      <c r="D110" s="9" t="str">
        <f>IFERROR(INDEX(tblEarningsRaw[EPS_Estimate],MATCH($N110,tblEarningsRaw[Key],0)),"")</f>
        <v/>
      </c>
      <c r="E110" s="10" t="str">
        <f t="shared" si="24"/>
        <v/>
      </c>
      <c r="F110" s="8"/>
      <c r="G110" s="10" t="str">
        <f t="shared" si="25"/>
        <v/>
      </c>
      <c r="H110" s="10" t="str">
        <f t="shared" si="26"/>
        <v/>
      </c>
      <c r="I110" s="10" t="str">
        <f t="shared" si="27"/>
        <v/>
      </c>
      <c r="J110" s="11" t="str">
        <f t="shared" si="28"/>
        <v/>
      </c>
      <c r="K110" s="10" t="str">
        <f t="shared" si="29"/>
        <v/>
      </c>
      <c r="L110" s="12" t="str">
        <f t="shared" si="30"/>
        <v/>
      </c>
      <c r="M110" s="3"/>
      <c r="N110" s="11" t="str">
        <f t="shared" si="31"/>
        <v/>
      </c>
      <c r="O110" s="11" t="str">
        <f>IFERROR(INDEX(tblPricesRaw[Open],MATCH($N110,tblPricesRaw[Key],0)),"")</f>
        <v/>
      </c>
      <c r="P110" s="11" t="str">
        <f>IFERROR(INDEX(tblPricesRaw[High],MATCH($N110,tblPricesRaw[Key],0)),"")</f>
        <v/>
      </c>
      <c r="Q110" s="11" t="str">
        <f>IFERROR(INDEX(tblPricesRaw[Low],MATCH($N110,tblPricesRaw[Key],0)),"")</f>
        <v/>
      </c>
      <c r="R110" s="11" t="str">
        <f>IFERROR(INDEX(tblPricesRaw[Close],MATCH($N110,tblPricesRaw[Key],0)),"")</f>
        <v/>
      </c>
      <c r="S110" s="11" t="str">
        <f>IFERROR(INDEX(tblPricesRaw[PrevClose],MATCH($N110,tblPricesRaw[Key],0)),"")</f>
        <v/>
      </c>
    </row>
    <row r="111" spans="1:19" x14ac:dyDescent="0.3">
      <c r="A111" s="7"/>
      <c r="B111" s="8"/>
      <c r="C111" s="9" t="str">
        <f>IFERROR(INDEX(tblEarningsRaw[EPS_Actual],MATCH($N111,tblEarningsRaw[Key],0)),"")</f>
        <v/>
      </c>
      <c r="D111" s="9" t="str">
        <f>IFERROR(INDEX(tblEarningsRaw[EPS_Estimate],MATCH($N111,tblEarningsRaw[Key],0)),"")</f>
        <v/>
      </c>
      <c r="E111" s="10" t="str">
        <f t="shared" si="24"/>
        <v/>
      </c>
      <c r="F111" s="8"/>
      <c r="G111" s="10" t="str">
        <f t="shared" si="25"/>
        <v/>
      </c>
      <c r="H111" s="10" t="str">
        <f t="shared" si="26"/>
        <v/>
      </c>
      <c r="I111" s="10" t="str">
        <f t="shared" si="27"/>
        <v/>
      </c>
      <c r="J111" s="11" t="str">
        <f t="shared" si="28"/>
        <v/>
      </c>
      <c r="K111" s="10" t="str">
        <f t="shared" si="29"/>
        <v/>
      </c>
      <c r="L111" s="12" t="str">
        <f t="shared" si="30"/>
        <v/>
      </c>
      <c r="M111" s="3"/>
      <c r="N111" s="11" t="str">
        <f t="shared" si="31"/>
        <v/>
      </c>
      <c r="O111" s="11" t="str">
        <f>IFERROR(INDEX(tblPricesRaw[Open],MATCH($N111,tblPricesRaw[Key],0)),"")</f>
        <v/>
      </c>
      <c r="P111" s="11" t="str">
        <f>IFERROR(INDEX(tblPricesRaw[High],MATCH($N111,tblPricesRaw[Key],0)),"")</f>
        <v/>
      </c>
      <c r="Q111" s="11" t="str">
        <f>IFERROR(INDEX(tblPricesRaw[Low],MATCH($N111,tblPricesRaw[Key],0)),"")</f>
        <v/>
      </c>
      <c r="R111" s="11" t="str">
        <f>IFERROR(INDEX(tblPricesRaw[Close],MATCH($N111,tblPricesRaw[Key],0)),"")</f>
        <v/>
      </c>
      <c r="S111" s="11" t="str">
        <f>IFERROR(INDEX(tblPricesRaw[PrevClose],MATCH($N111,tblPricesRaw[Key],0)),"")</f>
        <v/>
      </c>
    </row>
    <row r="112" spans="1:19" x14ac:dyDescent="0.3">
      <c r="A112" s="7"/>
      <c r="B112" s="8"/>
      <c r="C112" s="9" t="str">
        <f>IFERROR(INDEX(tblEarningsRaw[EPS_Actual],MATCH($N112,tblEarningsRaw[Key],0)),"")</f>
        <v/>
      </c>
      <c r="D112" s="9" t="str">
        <f>IFERROR(INDEX(tblEarningsRaw[EPS_Estimate],MATCH($N112,tblEarningsRaw[Key],0)),"")</f>
        <v/>
      </c>
      <c r="E112" s="10" t="str">
        <f t="shared" si="24"/>
        <v/>
      </c>
      <c r="F112" s="8"/>
      <c r="G112" s="10" t="str">
        <f t="shared" si="25"/>
        <v/>
      </c>
      <c r="H112" s="10" t="str">
        <f t="shared" si="26"/>
        <v/>
      </c>
      <c r="I112" s="10" t="str">
        <f t="shared" si="27"/>
        <v/>
      </c>
      <c r="J112" s="11" t="str">
        <f t="shared" si="28"/>
        <v/>
      </c>
      <c r="K112" s="10" t="str">
        <f t="shared" si="29"/>
        <v/>
      </c>
      <c r="L112" s="12" t="str">
        <f t="shared" si="30"/>
        <v/>
      </c>
      <c r="M112" s="3"/>
      <c r="N112" s="11" t="str">
        <f t="shared" si="31"/>
        <v/>
      </c>
      <c r="O112" s="11" t="str">
        <f>IFERROR(INDEX(tblPricesRaw[Open],MATCH($N112,tblPricesRaw[Key],0)),"")</f>
        <v/>
      </c>
      <c r="P112" s="11" t="str">
        <f>IFERROR(INDEX(tblPricesRaw[High],MATCH($N112,tblPricesRaw[Key],0)),"")</f>
        <v/>
      </c>
      <c r="Q112" s="11" t="str">
        <f>IFERROR(INDEX(tblPricesRaw[Low],MATCH($N112,tblPricesRaw[Key],0)),"")</f>
        <v/>
      </c>
      <c r="R112" s="11" t="str">
        <f>IFERROR(INDEX(tblPricesRaw[Close],MATCH($N112,tblPricesRaw[Key],0)),"")</f>
        <v/>
      </c>
      <c r="S112" s="11" t="str">
        <f>IFERROR(INDEX(tblPricesRaw[PrevClose],MATCH($N112,tblPricesRaw[Key],0)),"")</f>
        <v/>
      </c>
    </row>
    <row r="113" spans="1:19" x14ac:dyDescent="0.3">
      <c r="A113" s="7"/>
      <c r="B113" s="8"/>
      <c r="C113" s="9" t="str">
        <f>IFERROR(INDEX(tblEarningsRaw[EPS_Actual],MATCH($N113,tblEarningsRaw[Key],0)),"")</f>
        <v/>
      </c>
      <c r="D113" s="9" t="str">
        <f>IFERROR(INDEX(tblEarningsRaw[EPS_Estimate],MATCH($N113,tblEarningsRaw[Key],0)),"")</f>
        <v/>
      </c>
      <c r="E113" s="10" t="str">
        <f t="shared" si="24"/>
        <v/>
      </c>
      <c r="F113" s="8"/>
      <c r="G113" s="10" t="str">
        <f t="shared" si="25"/>
        <v/>
      </c>
      <c r="H113" s="10" t="str">
        <f t="shared" si="26"/>
        <v/>
      </c>
      <c r="I113" s="10" t="str">
        <f t="shared" si="27"/>
        <v/>
      </c>
      <c r="J113" s="11" t="str">
        <f t="shared" si="28"/>
        <v/>
      </c>
      <c r="K113" s="10" t="str">
        <f t="shared" si="29"/>
        <v/>
      </c>
      <c r="L113" s="12" t="str">
        <f t="shared" si="30"/>
        <v/>
      </c>
      <c r="M113" s="3"/>
      <c r="N113" s="11" t="str">
        <f t="shared" si="31"/>
        <v/>
      </c>
      <c r="O113" s="11" t="str">
        <f>IFERROR(INDEX(tblPricesRaw[Open],MATCH($N113,tblPricesRaw[Key],0)),"")</f>
        <v/>
      </c>
      <c r="P113" s="11" t="str">
        <f>IFERROR(INDEX(tblPricesRaw[High],MATCH($N113,tblPricesRaw[Key],0)),"")</f>
        <v/>
      </c>
      <c r="Q113" s="11" t="str">
        <f>IFERROR(INDEX(tblPricesRaw[Low],MATCH($N113,tblPricesRaw[Key],0)),"")</f>
        <v/>
      </c>
      <c r="R113" s="11" t="str">
        <f>IFERROR(INDEX(tblPricesRaw[Close],MATCH($N113,tblPricesRaw[Key],0)),"")</f>
        <v/>
      </c>
      <c r="S113" s="11" t="str">
        <f>IFERROR(INDEX(tblPricesRaw[PrevClose],MATCH($N113,tblPricesRaw[Key],0)),"")</f>
        <v/>
      </c>
    </row>
    <row r="114" spans="1:19" x14ac:dyDescent="0.3">
      <c r="A114" s="7"/>
      <c r="B114" s="8"/>
      <c r="C114" s="9" t="str">
        <f>IFERROR(INDEX(tblEarningsRaw[EPS_Actual],MATCH($N114,tblEarningsRaw[Key],0)),"")</f>
        <v/>
      </c>
      <c r="D114" s="9" t="str">
        <f>IFERROR(INDEX(tblEarningsRaw[EPS_Estimate],MATCH($N114,tblEarningsRaw[Key],0)),"")</f>
        <v/>
      </c>
      <c r="E114" s="10" t="str">
        <f t="shared" si="24"/>
        <v/>
      </c>
      <c r="F114" s="8"/>
      <c r="G114" s="10" t="str">
        <f t="shared" si="25"/>
        <v/>
      </c>
      <c r="H114" s="10" t="str">
        <f t="shared" si="26"/>
        <v/>
      </c>
      <c r="I114" s="10" t="str">
        <f t="shared" si="27"/>
        <v/>
      </c>
      <c r="J114" s="11" t="str">
        <f t="shared" si="28"/>
        <v/>
      </c>
      <c r="K114" s="10" t="str">
        <f t="shared" si="29"/>
        <v/>
      </c>
      <c r="L114" s="12" t="str">
        <f t="shared" si="30"/>
        <v/>
      </c>
      <c r="M114" s="3"/>
      <c r="N114" s="11" t="str">
        <f t="shared" si="31"/>
        <v/>
      </c>
      <c r="O114" s="11" t="str">
        <f>IFERROR(INDEX(tblPricesRaw[Open],MATCH($N114,tblPricesRaw[Key],0)),"")</f>
        <v/>
      </c>
      <c r="P114" s="11" t="str">
        <f>IFERROR(INDEX(tblPricesRaw[High],MATCH($N114,tblPricesRaw[Key],0)),"")</f>
        <v/>
      </c>
      <c r="Q114" s="11" t="str">
        <f>IFERROR(INDEX(tblPricesRaw[Low],MATCH($N114,tblPricesRaw[Key],0)),"")</f>
        <v/>
      </c>
      <c r="R114" s="11" t="str">
        <f>IFERROR(INDEX(tblPricesRaw[Close],MATCH($N114,tblPricesRaw[Key],0)),"")</f>
        <v/>
      </c>
      <c r="S114" s="11" t="str">
        <f>IFERROR(INDEX(tblPricesRaw[PrevClose],MATCH($N114,tblPricesRaw[Key],0)),"")</f>
        <v/>
      </c>
    </row>
    <row r="115" spans="1:19" x14ac:dyDescent="0.3">
      <c r="A115" s="7"/>
      <c r="B115" s="8"/>
      <c r="C115" s="9" t="str">
        <f>IFERROR(INDEX(tblEarningsRaw[EPS_Actual],MATCH($N115,tblEarningsRaw[Key],0)),"")</f>
        <v/>
      </c>
      <c r="D115" s="9" t="str">
        <f>IFERROR(INDEX(tblEarningsRaw[EPS_Estimate],MATCH($N115,tblEarningsRaw[Key],0)),"")</f>
        <v/>
      </c>
      <c r="E115" s="10" t="str">
        <f t="shared" si="24"/>
        <v/>
      </c>
      <c r="F115" s="8"/>
      <c r="G115" s="10" t="str">
        <f t="shared" si="25"/>
        <v/>
      </c>
      <c r="H115" s="10" t="str">
        <f t="shared" si="26"/>
        <v/>
      </c>
      <c r="I115" s="10" t="str">
        <f t="shared" si="27"/>
        <v/>
      </c>
      <c r="J115" s="11" t="str">
        <f t="shared" si="28"/>
        <v/>
      </c>
      <c r="K115" s="10" t="str">
        <f t="shared" si="29"/>
        <v/>
      </c>
      <c r="L115" s="12" t="str">
        <f t="shared" si="30"/>
        <v/>
      </c>
      <c r="M115" s="3"/>
      <c r="N115" s="11" t="str">
        <f t="shared" si="31"/>
        <v/>
      </c>
      <c r="O115" s="11" t="str">
        <f>IFERROR(INDEX(tblPricesRaw[Open],MATCH($N115,tblPricesRaw[Key],0)),"")</f>
        <v/>
      </c>
      <c r="P115" s="11" t="str">
        <f>IFERROR(INDEX(tblPricesRaw[High],MATCH($N115,tblPricesRaw[Key],0)),"")</f>
        <v/>
      </c>
      <c r="Q115" s="11" t="str">
        <f>IFERROR(INDEX(tblPricesRaw[Low],MATCH($N115,tblPricesRaw[Key],0)),"")</f>
        <v/>
      </c>
      <c r="R115" s="11" t="str">
        <f>IFERROR(INDEX(tblPricesRaw[Close],MATCH($N115,tblPricesRaw[Key],0)),"")</f>
        <v/>
      </c>
      <c r="S115" s="11" t="str">
        <f>IFERROR(INDEX(tblPricesRaw[PrevClose],MATCH($N115,tblPricesRaw[Key],0)),"")</f>
        <v/>
      </c>
    </row>
    <row r="116" spans="1:19" x14ac:dyDescent="0.3">
      <c r="A116" s="7"/>
      <c r="B116" s="8"/>
      <c r="C116" s="9" t="str">
        <f>IFERROR(INDEX(tblEarningsRaw[EPS_Actual],MATCH($N116,tblEarningsRaw[Key],0)),"")</f>
        <v/>
      </c>
      <c r="D116" s="9" t="str">
        <f>IFERROR(INDEX(tblEarningsRaw[EPS_Estimate],MATCH($N116,tblEarningsRaw[Key],0)),"")</f>
        <v/>
      </c>
      <c r="E116" s="10" t="str">
        <f t="shared" si="24"/>
        <v/>
      </c>
      <c r="F116" s="8"/>
      <c r="G116" s="10" t="str">
        <f t="shared" si="25"/>
        <v/>
      </c>
      <c r="H116" s="10" t="str">
        <f t="shared" si="26"/>
        <v/>
      </c>
      <c r="I116" s="10" t="str">
        <f t="shared" si="27"/>
        <v/>
      </c>
      <c r="J116" s="11" t="str">
        <f t="shared" si="28"/>
        <v/>
      </c>
      <c r="K116" s="10" t="str">
        <f t="shared" si="29"/>
        <v/>
      </c>
      <c r="L116" s="12" t="str">
        <f t="shared" si="30"/>
        <v/>
      </c>
      <c r="M116" s="3"/>
      <c r="N116" s="11" t="str">
        <f t="shared" si="31"/>
        <v/>
      </c>
      <c r="O116" s="11" t="str">
        <f>IFERROR(INDEX(tblPricesRaw[Open],MATCH($N116,tblPricesRaw[Key],0)),"")</f>
        <v/>
      </c>
      <c r="P116" s="11" t="str">
        <f>IFERROR(INDEX(tblPricesRaw[High],MATCH($N116,tblPricesRaw[Key],0)),"")</f>
        <v/>
      </c>
      <c r="Q116" s="11" t="str">
        <f>IFERROR(INDEX(tblPricesRaw[Low],MATCH($N116,tblPricesRaw[Key],0)),"")</f>
        <v/>
      </c>
      <c r="R116" s="11" t="str">
        <f>IFERROR(INDEX(tblPricesRaw[Close],MATCH($N116,tblPricesRaw[Key],0)),"")</f>
        <v/>
      </c>
      <c r="S116" s="11" t="str">
        <f>IFERROR(INDEX(tblPricesRaw[PrevClose],MATCH($N116,tblPricesRaw[Key],0)),"")</f>
        <v/>
      </c>
    </row>
    <row r="117" spans="1:19" x14ac:dyDescent="0.3">
      <c r="A117" s="7"/>
      <c r="B117" s="8"/>
      <c r="C117" s="9" t="str">
        <f>IFERROR(INDEX(tblEarningsRaw[EPS_Actual],MATCH($N117,tblEarningsRaw[Key],0)),"")</f>
        <v/>
      </c>
      <c r="D117" s="9" t="str">
        <f>IFERROR(INDEX(tblEarningsRaw[EPS_Estimate],MATCH($N117,tblEarningsRaw[Key],0)),"")</f>
        <v/>
      </c>
      <c r="E117" s="10" t="str">
        <f t="shared" si="24"/>
        <v/>
      </c>
      <c r="F117" s="8"/>
      <c r="G117" s="10" t="str">
        <f t="shared" si="25"/>
        <v/>
      </c>
      <c r="H117" s="10" t="str">
        <f t="shared" si="26"/>
        <v/>
      </c>
      <c r="I117" s="10" t="str">
        <f t="shared" si="27"/>
        <v/>
      </c>
      <c r="J117" s="11" t="str">
        <f t="shared" si="28"/>
        <v/>
      </c>
      <c r="K117" s="10" t="str">
        <f t="shared" si="29"/>
        <v/>
      </c>
      <c r="L117" s="12" t="str">
        <f t="shared" si="30"/>
        <v/>
      </c>
      <c r="M117" s="3"/>
      <c r="N117" s="11" t="str">
        <f t="shared" si="31"/>
        <v/>
      </c>
      <c r="O117" s="11" t="str">
        <f>IFERROR(INDEX(tblPricesRaw[Open],MATCH($N117,tblPricesRaw[Key],0)),"")</f>
        <v/>
      </c>
      <c r="P117" s="11" t="str">
        <f>IFERROR(INDEX(tblPricesRaw[High],MATCH($N117,tblPricesRaw[Key],0)),"")</f>
        <v/>
      </c>
      <c r="Q117" s="11" t="str">
        <f>IFERROR(INDEX(tblPricesRaw[Low],MATCH($N117,tblPricesRaw[Key],0)),"")</f>
        <v/>
      </c>
      <c r="R117" s="11" t="str">
        <f>IFERROR(INDEX(tblPricesRaw[Close],MATCH($N117,tblPricesRaw[Key],0)),"")</f>
        <v/>
      </c>
      <c r="S117" s="11" t="str">
        <f>IFERROR(INDEX(tblPricesRaw[PrevClose],MATCH($N117,tblPricesRaw[Key],0)),"")</f>
        <v/>
      </c>
    </row>
    <row r="118" spans="1:19" x14ac:dyDescent="0.3">
      <c r="A118" s="7"/>
      <c r="B118" s="8"/>
      <c r="C118" s="9" t="str">
        <f>IFERROR(INDEX(tblEarningsRaw[EPS_Actual],MATCH($N118,tblEarningsRaw[Key],0)),"")</f>
        <v/>
      </c>
      <c r="D118" s="9" t="str">
        <f>IFERROR(INDEX(tblEarningsRaw[EPS_Estimate],MATCH($N118,tblEarningsRaw[Key],0)),"")</f>
        <v/>
      </c>
      <c r="E118" s="10" t="str">
        <f t="shared" si="24"/>
        <v/>
      </c>
      <c r="F118" s="8"/>
      <c r="G118" s="10" t="str">
        <f t="shared" si="25"/>
        <v/>
      </c>
      <c r="H118" s="10" t="str">
        <f t="shared" si="26"/>
        <v/>
      </c>
      <c r="I118" s="10" t="str">
        <f t="shared" si="27"/>
        <v/>
      </c>
      <c r="J118" s="11" t="str">
        <f t="shared" si="28"/>
        <v/>
      </c>
      <c r="K118" s="10" t="str">
        <f t="shared" si="29"/>
        <v/>
      </c>
      <c r="L118" s="12" t="str">
        <f t="shared" si="30"/>
        <v/>
      </c>
      <c r="M118" s="3"/>
      <c r="N118" s="11" t="str">
        <f t="shared" si="31"/>
        <v/>
      </c>
      <c r="O118" s="11" t="str">
        <f>IFERROR(INDEX(tblPricesRaw[Open],MATCH($N118,tblPricesRaw[Key],0)),"")</f>
        <v/>
      </c>
      <c r="P118" s="11" t="str">
        <f>IFERROR(INDEX(tblPricesRaw[High],MATCH($N118,tblPricesRaw[Key],0)),"")</f>
        <v/>
      </c>
      <c r="Q118" s="11" t="str">
        <f>IFERROR(INDEX(tblPricesRaw[Low],MATCH($N118,tblPricesRaw[Key],0)),"")</f>
        <v/>
      </c>
      <c r="R118" s="11" t="str">
        <f>IFERROR(INDEX(tblPricesRaw[Close],MATCH($N118,tblPricesRaw[Key],0)),"")</f>
        <v/>
      </c>
      <c r="S118" s="11" t="str">
        <f>IFERROR(INDEX(tblPricesRaw[PrevClose],MATCH($N118,tblPricesRaw[Key],0)),"")</f>
        <v/>
      </c>
    </row>
    <row r="119" spans="1:19" x14ac:dyDescent="0.3">
      <c r="A119" s="7"/>
      <c r="B119" s="8"/>
      <c r="C119" s="9" t="str">
        <f>IFERROR(INDEX(tblEarningsRaw[EPS_Actual],MATCH($N119,tblEarningsRaw[Key],0)),"")</f>
        <v/>
      </c>
      <c r="D119" s="9" t="str">
        <f>IFERROR(INDEX(tblEarningsRaw[EPS_Estimate],MATCH($N119,tblEarningsRaw[Key],0)),"")</f>
        <v/>
      </c>
      <c r="E119" s="10" t="str">
        <f t="shared" si="24"/>
        <v/>
      </c>
      <c r="F119" s="8"/>
      <c r="G119" s="10" t="str">
        <f t="shared" si="25"/>
        <v/>
      </c>
      <c r="H119" s="10" t="str">
        <f t="shared" si="26"/>
        <v/>
      </c>
      <c r="I119" s="10" t="str">
        <f t="shared" si="27"/>
        <v/>
      </c>
      <c r="J119" s="11" t="str">
        <f t="shared" si="28"/>
        <v/>
      </c>
      <c r="K119" s="10" t="str">
        <f t="shared" si="29"/>
        <v/>
      </c>
      <c r="L119" s="12" t="str">
        <f t="shared" si="30"/>
        <v/>
      </c>
      <c r="M119" s="3"/>
      <c r="N119" s="11" t="str">
        <f t="shared" si="31"/>
        <v/>
      </c>
      <c r="O119" s="11" t="str">
        <f>IFERROR(INDEX(tblPricesRaw[Open],MATCH($N119,tblPricesRaw[Key],0)),"")</f>
        <v/>
      </c>
      <c r="P119" s="11" t="str">
        <f>IFERROR(INDEX(tblPricesRaw[High],MATCH($N119,tblPricesRaw[Key],0)),"")</f>
        <v/>
      </c>
      <c r="Q119" s="11" t="str">
        <f>IFERROR(INDEX(tblPricesRaw[Low],MATCH($N119,tblPricesRaw[Key],0)),"")</f>
        <v/>
      </c>
      <c r="R119" s="11" t="str">
        <f>IFERROR(INDEX(tblPricesRaw[Close],MATCH($N119,tblPricesRaw[Key],0)),"")</f>
        <v/>
      </c>
      <c r="S119" s="11" t="str">
        <f>IFERROR(INDEX(tblPricesRaw[PrevClose],MATCH($N119,tblPricesRaw[Key],0)),"")</f>
        <v/>
      </c>
    </row>
    <row r="120" spans="1:19" x14ac:dyDescent="0.3">
      <c r="A120" s="7"/>
      <c r="B120" s="8"/>
      <c r="C120" s="9" t="str">
        <f>IFERROR(INDEX(tblEarningsRaw[EPS_Actual],MATCH($N120,tblEarningsRaw[Key],0)),"")</f>
        <v/>
      </c>
      <c r="D120" s="9" t="str">
        <f>IFERROR(INDEX(tblEarningsRaw[EPS_Estimate],MATCH($N120,tblEarningsRaw[Key],0)),"")</f>
        <v/>
      </c>
      <c r="E120" s="10" t="str">
        <f t="shared" si="24"/>
        <v/>
      </c>
      <c r="F120" s="8"/>
      <c r="G120" s="10" t="str">
        <f t="shared" si="25"/>
        <v/>
      </c>
      <c r="H120" s="10" t="str">
        <f t="shared" si="26"/>
        <v/>
      </c>
      <c r="I120" s="10" t="str">
        <f t="shared" si="27"/>
        <v/>
      </c>
      <c r="J120" s="11" t="str">
        <f t="shared" si="28"/>
        <v/>
      </c>
      <c r="K120" s="10" t="str">
        <f t="shared" si="29"/>
        <v/>
      </c>
      <c r="L120" s="12" t="str">
        <f t="shared" si="30"/>
        <v/>
      </c>
      <c r="M120" s="3"/>
      <c r="N120" s="11" t="str">
        <f t="shared" si="31"/>
        <v/>
      </c>
      <c r="O120" s="11" t="str">
        <f>IFERROR(INDEX(tblPricesRaw[Open],MATCH($N120,tblPricesRaw[Key],0)),"")</f>
        <v/>
      </c>
      <c r="P120" s="11" t="str">
        <f>IFERROR(INDEX(tblPricesRaw[High],MATCH($N120,tblPricesRaw[Key],0)),"")</f>
        <v/>
      </c>
      <c r="Q120" s="11" t="str">
        <f>IFERROR(INDEX(tblPricesRaw[Low],MATCH($N120,tblPricesRaw[Key],0)),"")</f>
        <v/>
      </c>
      <c r="R120" s="11" t="str">
        <f>IFERROR(INDEX(tblPricesRaw[Close],MATCH($N120,tblPricesRaw[Key],0)),"")</f>
        <v/>
      </c>
      <c r="S120" s="11" t="str">
        <f>IFERROR(INDEX(tblPricesRaw[PrevClose],MATCH($N120,tblPricesRaw[Key],0)),"")</f>
        <v/>
      </c>
    </row>
    <row r="121" spans="1:19" x14ac:dyDescent="0.3">
      <c r="A121" s="7"/>
      <c r="B121" s="8"/>
      <c r="C121" s="9" t="str">
        <f>IFERROR(INDEX(tblEarningsRaw[EPS_Actual],MATCH($N121,tblEarningsRaw[Key],0)),"")</f>
        <v/>
      </c>
      <c r="D121" s="9" t="str">
        <f>IFERROR(INDEX(tblEarningsRaw[EPS_Estimate],MATCH($N121,tblEarningsRaw[Key],0)),"")</f>
        <v/>
      </c>
      <c r="E121" s="10" t="str">
        <f t="shared" si="24"/>
        <v/>
      </c>
      <c r="F121" s="8"/>
      <c r="G121" s="10" t="str">
        <f t="shared" si="25"/>
        <v/>
      </c>
      <c r="H121" s="10" t="str">
        <f t="shared" si="26"/>
        <v/>
      </c>
      <c r="I121" s="10" t="str">
        <f t="shared" si="27"/>
        <v/>
      </c>
      <c r="J121" s="11" t="str">
        <f t="shared" si="28"/>
        <v/>
      </c>
      <c r="K121" s="10" t="str">
        <f t="shared" si="29"/>
        <v/>
      </c>
      <c r="L121" s="12" t="str">
        <f t="shared" si="30"/>
        <v/>
      </c>
      <c r="M121" s="3"/>
      <c r="N121" s="11" t="str">
        <f t="shared" si="31"/>
        <v/>
      </c>
      <c r="O121" s="11" t="str">
        <f>IFERROR(INDEX(tblPricesRaw[Open],MATCH($N121,tblPricesRaw[Key],0)),"")</f>
        <v/>
      </c>
      <c r="P121" s="11" t="str">
        <f>IFERROR(INDEX(tblPricesRaw[High],MATCH($N121,tblPricesRaw[Key],0)),"")</f>
        <v/>
      </c>
      <c r="Q121" s="11" t="str">
        <f>IFERROR(INDEX(tblPricesRaw[Low],MATCH($N121,tblPricesRaw[Key],0)),"")</f>
        <v/>
      </c>
      <c r="R121" s="11" t="str">
        <f>IFERROR(INDEX(tblPricesRaw[Close],MATCH($N121,tblPricesRaw[Key],0)),"")</f>
        <v/>
      </c>
      <c r="S121" s="11" t="str">
        <f>IFERROR(INDEX(tblPricesRaw[PrevClose],MATCH($N121,tblPricesRaw[Key],0)),"")</f>
        <v/>
      </c>
    </row>
    <row r="122" spans="1:19" x14ac:dyDescent="0.3">
      <c r="A122" s="7"/>
      <c r="B122" s="8"/>
      <c r="C122" s="9" t="str">
        <f>IFERROR(INDEX(tblEarningsRaw[EPS_Actual],MATCH($N122,tblEarningsRaw[Key],0)),"")</f>
        <v/>
      </c>
      <c r="D122" s="9" t="str">
        <f>IFERROR(INDEX(tblEarningsRaw[EPS_Estimate],MATCH($N122,tblEarningsRaw[Key],0)),"")</f>
        <v/>
      </c>
      <c r="E122" s="10" t="str">
        <f t="shared" si="24"/>
        <v/>
      </c>
      <c r="F122" s="8"/>
      <c r="G122" s="10" t="str">
        <f t="shared" si="25"/>
        <v/>
      </c>
      <c r="H122" s="10" t="str">
        <f t="shared" si="26"/>
        <v/>
      </c>
      <c r="I122" s="10" t="str">
        <f t="shared" si="27"/>
        <v/>
      </c>
      <c r="J122" s="11" t="str">
        <f t="shared" si="28"/>
        <v/>
      </c>
      <c r="K122" s="10" t="str">
        <f t="shared" si="29"/>
        <v/>
      </c>
      <c r="L122" s="12" t="str">
        <f t="shared" si="30"/>
        <v/>
      </c>
      <c r="M122" s="3"/>
      <c r="N122" s="11" t="str">
        <f t="shared" si="31"/>
        <v/>
      </c>
      <c r="O122" s="11" t="str">
        <f>IFERROR(INDEX(tblPricesRaw[Open],MATCH($N122,tblPricesRaw[Key],0)),"")</f>
        <v/>
      </c>
      <c r="P122" s="11" t="str">
        <f>IFERROR(INDEX(tblPricesRaw[High],MATCH($N122,tblPricesRaw[Key],0)),"")</f>
        <v/>
      </c>
      <c r="Q122" s="11" t="str">
        <f>IFERROR(INDEX(tblPricesRaw[Low],MATCH($N122,tblPricesRaw[Key],0)),"")</f>
        <v/>
      </c>
      <c r="R122" s="11" t="str">
        <f>IFERROR(INDEX(tblPricesRaw[Close],MATCH($N122,tblPricesRaw[Key],0)),"")</f>
        <v/>
      </c>
      <c r="S122" s="11" t="str">
        <f>IFERROR(INDEX(tblPricesRaw[PrevClose],MATCH($N122,tblPricesRaw[Key],0)),"")</f>
        <v/>
      </c>
    </row>
    <row r="123" spans="1:19" x14ac:dyDescent="0.3">
      <c r="A123" s="7"/>
      <c r="B123" s="8"/>
      <c r="C123" s="9" t="str">
        <f>IFERROR(INDEX(tblEarningsRaw[EPS_Actual],MATCH($N123,tblEarningsRaw[Key],0)),"")</f>
        <v/>
      </c>
      <c r="D123" s="9" t="str">
        <f>IFERROR(INDEX(tblEarningsRaw[EPS_Estimate],MATCH($N123,tblEarningsRaw[Key],0)),"")</f>
        <v/>
      </c>
      <c r="E123" s="10" t="str">
        <f t="shared" si="24"/>
        <v/>
      </c>
      <c r="F123" s="8"/>
      <c r="G123" s="10" t="str">
        <f t="shared" si="25"/>
        <v/>
      </c>
      <c r="H123" s="10" t="str">
        <f t="shared" si="26"/>
        <v/>
      </c>
      <c r="I123" s="10" t="str">
        <f t="shared" si="27"/>
        <v/>
      </c>
      <c r="J123" s="11" t="str">
        <f t="shared" si="28"/>
        <v/>
      </c>
      <c r="K123" s="10" t="str">
        <f t="shared" si="29"/>
        <v/>
      </c>
      <c r="L123" s="12" t="str">
        <f t="shared" si="30"/>
        <v/>
      </c>
      <c r="M123" s="3"/>
      <c r="N123" s="11" t="str">
        <f t="shared" si="31"/>
        <v/>
      </c>
      <c r="O123" s="11" t="str">
        <f>IFERROR(INDEX(tblPricesRaw[Open],MATCH($N123,tblPricesRaw[Key],0)),"")</f>
        <v/>
      </c>
      <c r="P123" s="11" t="str">
        <f>IFERROR(INDEX(tblPricesRaw[High],MATCH($N123,tblPricesRaw[Key],0)),"")</f>
        <v/>
      </c>
      <c r="Q123" s="11" t="str">
        <f>IFERROR(INDEX(tblPricesRaw[Low],MATCH($N123,tblPricesRaw[Key],0)),"")</f>
        <v/>
      </c>
      <c r="R123" s="11" t="str">
        <f>IFERROR(INDEX(tblPricesRaw[Close],MATCH($N123,tblPricesRaw[Key],0)),"")</f>
        <v/>
      </c>
      <c r="S123" s="11" t="str">
        <f>IFERROR(INDEX(tblPricesRaw[PrevClose],MATCH($N123,tblPricesRaw[Key],0)),"")</f>
        <v/>
      </c>
    </row>
    <row r="124" spans="1:19" x14ac:dyDescent="0.3">
      <c r="A124" s="7"/>
      <c r="B124" s="8"/>
      <c r="C124" s="9" t="str">
        <f>IFERROR(INDEX(tblEarningsRaw[EPS_Actual],MATCH($N124,tblEarningsRaw[Key],0)),"")</f>
        <v/>
      </c>
      <c r="D124" s="9" t="str">
        <f>IFERROR(INDEX(tblEarningsRaw[EPS_Estimate],MATCH($N124,tblEarningsRaw[Key],0)),"")</f>
        <v/>
      </c>
      <c r="E124" s="10" t="str">
        <f t="shared" si="24"/>
        <v/>
      </c>
      <c r="F124" s="8"/>
      <c r="G124" s="10" t="str">
        <f t="shared" si="25"/>
        <v/>
      </c>
      <c r="H124" s="10" t="str">
        <f t="shared" si="26"/>
        <v/>
      </c>
      <c r="I124" s="10" t="str">
        <f t="shared" si="27"/>
        <v/>
      </c>
      <c r="J124" s="11" t="str">
        <f t="shared" si="28"/>
        <v/>
      </c>
      <c r="K124" s="10" t="str">
        <f t="shared" si="29"/>
        <v/>
      </c>
      <c r="L124" s="12" t="str">
        <f t="shared" si="30"/>
        <v/>
      </c>
      <c r="M124" s="3"/>
      <c r="N124" s="11" t="str">
        <f t="shared" si="31"/>
        <v/>
      </c>
      <c r="O124" s="11" t="str">
        <f>IFERROR(INDEX(tblPricesRaw[Open],MATCH($N124,tblPricesRaw[Key],0)),"")</f>
        <v/>
      </c>
      <c r="P124" s="11" t="str">
        <f>IFERROR(INDEX(tblPricesRaw[High],MATCH($N124,tblPricesRaw[Key],0)),"")</f>
        <v/>
      </c>
      <c r="Q124" s="11" t="str">
        <f>IFERROR(INDEX(tblPricesRaw[Low],MATCH($N124,tblPricesRaw[Key],0)),"")</f>
        <v/>
      </c>
      <c r="R124" s="11" t="str">
        <f>IFERROR(INDEX(tblPricesRaw[Close],MATCH($N124,tblPricesRaw[Key],0)),"")</f>
        <v/>
      </c>
      <c r="S124" s="11" t="str">
        <f>IFERROR(INDEX(tblPricesRaw[PrevClose],MATCH($N124,tblPricesRaw[Key],0)),"")</f>
        <v/>
      </c>
    </row>
    <row r="125" spans="1:19" x14ac:dyDescent="0.3">
      <c r="A125" s="7"/>
      <c r="B125" s="8"/>
      <c r="C125" s="9" t="str">
        <f>IFERROR(INDEX(tblEarningsRaw[EPS_Actual],MATCH($N125,tblEarningsRaw[Key],0)),"")</f>
        <v/>
      </c>
      <c r="D125" s="9" t="str">
        <f>IFERROR(INDEX(tblEarningsRaw[EPS_Estimate],MATCH($N125,tblEarningsRaw[Key],0)),"")</f>
        <v/>
      </c>
      <c r="E125" s="10" t="str">
        <f t="shared" si="24"/>
        <v/>
      </c>
      <c r="F125" s="8"/>
      <c r="G125" s="10" t="str">
        <f t="shared" si="25"/>
        <v/>
      </c>
      <c r="H125" s="10" t="str">
        <f t="shared" si="26"/>
        <v/>
      </c>
      <c r="I125" s="10" t="str">
        <f t="shared" si="27"/>
        <v/>
      </c>
      <c r="J125" s="11" t="str">
        <f t="shared" si="28"/>
        <v/>
      </c>
      <c r="K125" s="10" t="str">
        <f t="shared" si="29"/>
        <v/>
      </c>
      <c r="L125" s="12" t="str">
        <f t="shared" si="30"/>
        <v/>
      </c>
      <c r="M125" s="3"/>
      <c r="N125" s="11" t="str">
        <f t="shared" si="31"/>
        <v/>
      </c>
      <c r="O125" s="11" t="str">
        <f>IFERROR(INDEX(tblPricesRaw[Open],MATCH($N125,tblPricesRaw[Key],0)),"")</f>
        <v/>
      </c>
      <c r="P125" s="11" t="str">
        <f>IFERROR(INDEX(tblPricesRaw[High],MATCH($N125,tblPricesRaw[Key],0)),"")</f>
        <v/>
      </c>
      <c r="Q125" s="11" t="str">
        <f>IFERROR(INDEX(tblPricesRaw[Low],MATCH($N125,tblPricesRaw[Key],0)),"")</f>
        <v/>
      </c>
      <c r="R125" s="11" t="str">
        <f>IFERROR(INDEX(tblPricesRaw[Close],MATCH($N125,tblPricesRaw[Key],0)),"")</f>
        <v/>
      </c>
      <c r="S125" s="11" t="str">
        <f>IFERROR(INDEX(tblPricesRaw[PrevClose],MATCH($N125,tblPricesRaw[Key],0)),"")</f>
        <v/>
      </c>
    </row>
    <row r="126" spans="1:19" x14ac:dyDescent="0.3">
      <c r="A126" s="7"/>
      <c r="B126" s="8"/>
      <c r="C126" s="9" t="str">
        <f>IFERROR(INDEX(tblEarningsRaw[EPS_Actual],MATCH($N126,tblEarningsRaw[Key],0)),"")</f>
        <v/>
      </c>
      <c r="D126" s="9" t="str">
        <f>IFERROR(INDEX(tblEarningsRaw[EPS_Estimate],MATCH($N126,tblEarningsRaw[Key],0)),"")</f>
        <v/>
      </c>
      <c r="E126" s="10" t="str">
        <f t="shared" si="24"/>
        <v/>
      </c>
      <c r="F126" s="8"/>
      <c r="G126" s="10" t="str">
        <f t="shared" si="25"/>
        <v/>
      </c>
      <c r="H126" s="10" t="str">
        <f t="shared" si="26"/>
        <v/>
      </c>
      <c r="I126" s="10" t="str">
        <f t="shared" si="27"/>
        <v/>
      </c>
      <c r="J126" s="11" t="str">
        <f t="shared" si="28"/>
        <v/>
      </c>
      <c r="K126" s="10" t="str">
        <f t="shared" si="29"/>
        <v/>
      </c>
      <c r="L126" s="12" t="str">
        <f t="shared" si="30"/>
        <v/>
      </c>
      <c r="M126" s="3"/>
      <c r="N126" s="11" t="str">
        <f t="shared" si="31"/>
        <v/>
      </c>
      <c r="O126" s="11" t="str">
        <f>IFERROR(INDEX(tblPricesRaw[Open],MATCH($N126,tblPricesRaw[Key],0)),"")</f>
        <v/>
      </c>
      <c r="P126" s="11" t="str">
        <f>IFERROR(INDEX(tblPricesRaw[High],MATCH($N126,tblPricesRaw[Key],0)),"")</f>
        <v/>
      </c>
      <c r="Q126" s="11" t="str">
        <f>IFERROR(INDEX(tblPricesRaw[Low],MATCH($N126,tblPricesRaw[Key],0)),"")</f>
        <v/>
      </c>
      <c r="R126" s="11" t="str">
        <f>IFERROR(INDEX(tblPricesRaw[Close],MATCH($N126,tblPricesRaw[Key],0)),"")</f>
        <v/>
      </c>
      <c r="S126" s="11" t="str">
        <f>IFERROR(INDEX(tblPricesRaw[PrevClose],MATCH($N126,tblPricesRaw[Key],0)),"")</f>
        <v/>
      </c>
    </row>
    <row r="127" spans="1:19" x14ac:dyDescent="0.3">
      <c r="A127" s="7"/>
      <c r="B127" s="8"/>
      <c r="C127" s="9" t="str">
        <f>IFERROR(INDEX(tblEarningsRaw[EPS_Actual],MATCH($N127,tblEarningsRaw[Key],0)),"")</f>
        <v/>
      </c>
      <c r="D127" s="9" t="str">
        <f>IFERROR(INDEX(tblEarningsRaw[EPS_Estimate],MATCH($N127,tblEarningsRaw[Key],0)),"")</f>
        <v/>
      </c>
      <c r="E127" s="10" t="str">
        <f t="shared" si="24"/>
        <v/>
      </c>
      <c r="F127" s="8"/>
      <c r="G127" s="10" t="str">
        <f t="shared" si="25"/>
        <v/>
      </c>
      <c r="H127" s="10" t="str">
        <f t="shared" si="26"/>
        <v/>
      </c>
      <c r="I127" s="10" t="str">
        <f t="shared" si="27"/>
        <v/>
      </c>
      <c r="J127" s="11" t="str">
        <f t="shared" si="28"/>
        <v/>
      </c>
      <c r="K127" s="10" t="str">
        <f t="shared" si="29"/>
        <v/>
      </c>
      <c r="L127" s="12" t="str">
        <f t="shared" si="30"/>
        <v/>
      </c>
      <c r="M127" s="3"/>
      <c r="N127" s="11" t="str">
        <f t="shared" si="31"/>
        <v/>
      </c>
      <c r="O127" s="11" t="str">
        <f>IFERROR(INDEX(tblPricesRaw[Open],MATCH($N127,tblPricesRaw[Key],0)),"")</f>
        <v/>
      </c>
      <c r="P127" s="11" t="str">
        <f>IFERROR(INDEX(tblPricesRaw[High],MATCH($N127,tblPricesRaw[Key],0)),"")</f>
        <v/>
      </c>
      <c r="Q127" s="11" t="str">
        <f>IFERROR(INDEX(tblPricesRaw[Low],MATCH($N127,tblPricesRaw[Key],0)),"")</f>
        <v/>
      </c>
      <c r="R127" s="11" t="str">
        <f>IFERROR(INDEX(tblPricesRaw[Close],MATCH($N127,tblPricesRaw[Key],0)),"")</f>
        <v/>
      </c>
      <c r="S127" s="11" t="str">
        <f>IFERROR(INDEX(tblPricesRaw[PrevClose],MATCH($N127,tblPricesRaw[Key],0)),"")</f>
        <v/>
      </c>
    </row>
    <row r="128" spans="1:19" x14ac:dyDescent="0.3">
      <c r="A128" s="7"/>
      <c r="B128" s="8"/>
      <c r="C128" s="9" t="str">
        <f>IFERROR(INDEX(tblEarningsRaw[EPS_Actual],MATCH($N128,tblEarningsRaw[Key],0)),"")</f>
        <v/>
      </c>
      <c r="D128" s="9" t="str">
        <f>IFERROR(INDEX(tblEarningsRaw[EPS_Estimate],MATCH($N128,tblEarningsRaw[Key],0)),"")</f>
        <v/>
      </c>
      <c r="E128" s="10" t="str">
        <f t="shared" si="24"/>
        <v/>
      </c>
      <c r="F128" s="8"/>
      <c r="G128" s="10" t="str">
        <f t="shared" si="25"/>
        <v/>
      </c>
      <c r="H128" s="10" t="str">
        <f t="shared" si="26"/>
        <v/>
      </c>
      <c r="I128" s="10" t="str">
        <f t="shared" si="27"/>
        <v/>
      </c>
      <c r="J128" s="11" t="str">
        <f t="shared" si="28"/>
        <v/>
      </c>
      <c r="K128" s="10" t="str">
        <f t="shared" si="29"/>
        <v/>
      </c>
      <c r="L128" s="12" t="str">
        <f t="shared" si="30"/>
        <v/>
      </c>
      <c r="M128" s="3"/>
      <c r="N128" s="11" t="str">
        <f t="shared" si="31"/>
        <v/>
      </c>
      <c r="O128" s="11" t="str">
        <f>IFERROR(INDEX(tblPricesRaw[Open],MATCH($N128,tblPricesRaw[Key],0)),"")</f>
        <v/>
      </c>
      <c r="P128" s="11" t="str">
        <f>IFERROR(INDEX(tblPricesRaw[High],MATCH($N128,tblPricesRaw[Key],0)),"")</f>
        <v/>
      </c>
      <c r="Q128" s="11" t="str">
        <f>IFERROR(INDEX(tblPricesRaw[Low],MATCH($N128,tblPricesRaw[Key],0)),"")</f>
        <v/>
      </c>
      <c r="R128" s="11" t="str">
        <f>IFERROR(INDEX(tblPricesRaw[Close],MATCH($N128,tblPricesRaw[Key],0)),"")</f>
        <v/>
      </c>
      <c r="S128" s="11" t="str">
        <f>IFERROR(INDEX(tblPricesRaw[PrevClose],MATCH($N128,tblPricesRaw[Key],0)),"")</f>
        <v/>
      </c>
    </row>
    <row r="129" spans="1:19" x14ac:dyDescent="0.3">
      <c r="A129" s="7"/>
      <c r="B129" s="8"/>
      <c r="C129" s="9" t="str">
        <f>IFERROR(INDEX(tblEarningsRaw[EPS_Actual],MATCH($N129,tblEarningsRaw[Key],0)),"")</f>
        <v/>
      </c>
      <c r="D129" s="9" t="str">
        <f>IFERROR(INDEX(tblEarningsRaw[EPS_Estimate],MATCH($N129,tblEarningsRaw[Key],0)),"")</f>
        <v/>
      </c>
      <c r="E129" s="10" t="str">
        <f t="shared" si="24"/>
        <v/>
      </c>
      <c r="F129" s="8"/>
      <c r="G129" s="10" t="str">
        <f t="shared" si="25"/>
        <v/>
      </c>
      <c r="H129" s="10" t="str">
        <f t="shared" si="26"/>
        <v/>
      </c>
      <c r="I129" s="10" t="str">
        <f t="shared" si="27"/>
        <v/>
      </c>
      <c r="J129" s="11" t="str">
        <f t="shared" si="28"/>
        <v/>
      </c>
      <c r="K129" s="10" t="str">
        <f t="shared" si="29"/>
        <v/>
      </c>
      <c r="L129" s="12" t="str">
        <f t="shared" si="30"/>
        <v/>
      </c>
      <c r="M129" s="3"/>
      <c r="N129" s="11" t="str">
        <f t="shared" si="31"/>
        <v/>
      </c>
      <c r="O129" s="11" t="str">
        <f>IFERROR(INDEX(tblPricesRaw[Open],MATCH($N129,tblPricesRaw[Key],0)),"")</f>
        <v/>
      </c>
      <c r="P129" s="11" t="str">
        <f>IFERROR(INDEX(tblPricesRaw[High],MATCH($N129,tblPricesRaw[Key],0)),"")</f>
        <v/>
      </c>
      <c r="Q129" s="11" t="str">
        <f>IFERROR(INDEX(tblPricesRaw[Low],MATCH($N129,tblPricesRaw[Key],0)),"")</f>
        <v/>
      </c>
      <c r="R129" s="11" t="str">
        <f>IFERROR(INDEX(tblPricesRaw[Close],MATCH($N129,tblPricesRaw[Key],0)),"")</f>
        <v/>
      </c>
      <c r="S129" s="11" t="str">
        <f>IFERROR(INDEX(tblPricesRaw[PrevClose],MATCH($N129,tblPricesRaw[Key],0)),"")</f>
        <v/>
      </c>
    </row>
    <row r="130" spans="1:19" x14ac:dyDescent="0.3">
      <c r="A130" s="7"/>
      <c r="B130" s="8"/>
      <c r="C130" s="9" t="str">
        <f>IFERROR(INDEX(tblEarningsRaw[EPS_Actual],MATCH($N130,tblEarningsRaw[Key],0)),"")</f>
        <v/>
      </c>
      <c r="D130" s="9" t="str">
        <f>IFERROR(INDEX(tblEarningsRaw[EPS_Estimate],MATCH($N130,tblEarningsRaw[Key],0)),"")</f>
        <v/>
      </c>
      <c r="E130" s="10" t="str">
        <f t="shared" si="24"/>
        <v/>
      </c>
      <c r="F130" s="8"/>
      <c r="G130" s="10" t="str">
        <f t="shared" si="25"/>
        <v/>
      </c>
      <c r="H130" s="10" t="str">
        <f t="shared" si="26"/>
        <v/>
      </c>
      <c r="I130" s="10" t="str">
        <f t="shared" si="27"/>
        <v/>
      </c>
      <c r="J130" s="11" t="str">
        <f t="shared" si="28"/>
        <v/>
      </c>
      <c r="K130" s="10" t="str">
        <f t="shared" si="29"/>
        <v/>
      </c>
      <c r="L130" s="12" t="str">
        <f t="shared" si="30"/>
        <v/>
      </c>
      <c r="M130" s="3"/>
      <c r="N130" s="11" t="str">
        <f t="shared" si="31"/>
        <v/>
      </c>
      <c r="O130" s="11" t="str">
        <f>IFERROR(INDEX(tblPricesRaw[Open],MATCH($N130,tblPricesRaw[Key],0)),"")</f>
        <v/>
      </c>
      <c r="P130" s="11" t="str">
        <f>IFERROR(INDEX(tblPricesRaw[High],MATCH($N130,tblPricesRaw[Key],0)),"")</f>
        <v/>
      </c>
      <c r="Q130" s="11" t="str">
        <f>IFERROR(INDEX(tblPricesRaw[Low],MATCH($N130,tblPricesRaw[Key],0)),"")</f>
        <v/>
      </c>
      <c r="R130" s="11" t="str">
        <f>IFERROR(INDEX(tblPricesRaw[Close],MATCH($N130,tblPricesRaw[Key],0)),"")</f>
        <v/>
      </c>
      <c r="S130" s="11" t="str">
        <f>IFERROR(INDEX(tblPricesRaw[PrevClose],MATCH($N130,tblPricesRaw[Key],0)),"")</f>
        <v/>
      </c>
    </row>
    <row r="131" spans="1:19" x14ac:dyDescent="0.3">
      <c r="A131" s="7"/>
      <c r="B131" s="8"/>
      <c r="C131" s="9" t="str">
        <f>IFERROR(INDEX(tblEarningsRaw[EPS_Actual],MATCH($N131,tblEarningsRaw[Key],0)),"")</f>
        <v/>
      </c>
      <c r="D131" s="9" t="str">
        <f>IFERROR(INDEX(tblEarningsRaw[EPS_Estimate],MATCH($N131,tblEarningsRaw[Key],0)),"")</f>
        <v/>
      </c>
      <c r="E131" s="10" t="str">
        <f t="shared" si="24"/>
        <v/>
      </c>
      <c r="F131" s="8"/>
      <c r="G131" s="10" t="str">
        <f t="shared" si="25"/>
        <v/>
      </c>
      <c r="H131" s="10" t="str">
        <f t="shared" si="26"/>
        <v/>
      </c>
      <c r="I131" s="10" t="str">
        <f t="shared" si="27"/>
        <v/>
      </c>
      <c r="J131" s="11" t="str">
        <f t="shared" si="28"/>
        <v/>
      </c>
      <c r="K131" s="10" t="str">
        <f t="shared" si="29"/>
        <v/>
      </c>
      <c r="L131" s="12" t="str">
        <f t="shared" si="30"/>
        <v/>
      </c>
      <c r="M131" s="3"/>
      <c r="N131" s="11" t="str">
        <f t="shared" si="31"/>
        <v/>
      </c>
      <c r="O131" s="11" t="str">
        <f>IFERROR(INDEX(tblPricesRaw[Open],MATCH($N131,tblPricesRaw[Key],0)),"")</f>
        <v/>
      </c>
      <c r="P131" s="11" t="str">
        <f>IFERROR(INDEX(tblPricesRaw[High],MATCH($N131,tblPricesRaw[Key],0)),"")</f>
        <v/>
      </c>
      <c r="Q131" s="11" t="str">
        <f>IFERROR(INDEX(tblPricesRaw[Low],MATCH($N131,tblPricesRaw[Key],0)),"")</f>
        <v/>
      </c>
      <c r="R131" s="11" t="str">
        <f>IFERROR(INDEX(tblPricesRaw[Close],MATCH($N131,tblPricesRaw[Key],0)),"")</f>
        <v/>
      </c>
      <c r="S131" s="11" t="str">
        <f>IFERROR(INDEX(tblPricesRaw[PrevClose],MATCH($N131,tblPricesRaw[Key],0)),"")</f>
        <v/>
      </c>
    </row>
    <row r="132" spans="1:19" x14ac:dyDescent="0.3">
      <c r="A132" s="7"/>
      <c r="B132" s="8"/>
      <c r="C132" s="9" t="str">
        <f>IFERROR(INDEX(tblEarningsRaw[EPS_Actual],MATCH($N132,tblEarningsRaw[Key],0)),"")</f>
        <v/>
      </c>
      <c r="D132" s="9" t="str">
        <f>IFERROR(INDEX(tblEarningsRaw[EPS_Estimate],MATCH($N132,tblEarningsRaw[Key],0)),"")</f>
        <v/>
      </c>
      <c r="E132" s="10" t="str">
        <f t="shared" si="24"/>
        <v/>
      </c>
      <c r="F132" s="8"/>
      <c r="G132" s="10" t="str">
        <f t="shared" si="25"/>
        <v/>
      </c>
      <c r="H132" s="10" t="str">
        <f t="shared" si="26"/>
        <v/>
      </c>
      <c r="I132" s="10" t="str">
        <f t="shared" si="27"/>
        <v/>
      </c>
      <c r="J132" s="11" t="str">
        <f t="shared" si="28"/>
        <v/>
      </c>
      <c r="K132" s="10" t="str">
        <f t="shared" si="29"/>
        <v/>
      </c>
      <c r="L132" s="12" t="str">
        <f t="shared" si="30"/>
        <v/>
      </c>
      <c r="M132" s="3"/>
      <c r="N132" s="11" t="str">
        <f t="shared" si="31"/>
        <v/>
      </c>
      <c r="O132" s="11" t="str">
        <f>IFERROR(INDEX(tblPricesRaw[Open],MATCH($N132,tblPricesRaw[Key],0)),"")</f>
        <v/>
      </c>
      <c r="P132" s="11" t="str">
        <f>IFERROR(INDEX(tblPricesRaw[High],MATCH($N132,tblPricesRaw[Key],0)),"")</f>
        <v/>
      </c>
      <c r="Q132" s="11" t="str">
        <f>IFERROR(INDEX(tblPricesRaw[Low],MATCH($N132,tblPricesRaw[Key],0)),"")</f>
        <v/>
      </c>
      <c r="R132" s="11" t="str">
        <f>IFERROR(INDEX(tblPricesRaw[Close],MATCH($N132,tblPricesRaw[Key],0)),"")</f>
        <v/>
      </c>
      <c r="S132" s="11" t="str">
        <f>IFERROR(INDEX(tblPricesRaw[PrevClose],MATCH($N132,tblPricesRaw[Key],0)),"")</f>
        <v/>
      </c>
    </row>
    <row r="133" spans="1:19" x14ac:dyDescent="0.3">
      <c r="A133" s="7"/>
      <c r="B133" s="8"/>
      <c r="C133" s="9" t="str">
        <f>IFERROR(INDEX(tblEarningsRaw[EPS_Actual],MATCH($N133,tblEarningsRaw[Key],0)),"")</f>
        <v/>
      </c>
      <c r="D133" s="9" t="str">
        <f>IFERROR(INDEX(tblEarningsRaw[EPS_Estimate],MATCH($N133,tblEarningsRaw[Key],0)),"")</f>
        <v/>
      </c>
      <c r="E133" s="10" t="str">
        <f t="shared" ref="E133:E164" si="32">IF(AND(C133&lt;&gt;"",D133&lt;&gt;""), (C133-D133)/ABS(D133), "")</f>
        <v/>
      </c>
      <c r="F133" s="8"/>
      <c r="G133" s="10" t="str">
        <f t="shared" ref="G133:G164" si="33">IF(AND($O133&lt;&gt;"",$S133&lt;&gt;""), ($O133-$S133)/$S133, "")</f>
        <v/>
      </c>
      <c r="H133" s="10" t="str">
        <f t="shared" ref="H133:H164" si="34">IF(AND($R133&lt;&gt;"",$S133&lt;&gt;""), ($R133-$S133)/$S133, "")</f>
        <v/>
      </c>
      <c r="I133" s="10" t="str">
        <f t="shared" ref="I133:I164" si="35">IF(AND($P133&lt;&gt;"",$Q133&lt;&gt;"",$S133&lt;&gt;""), ($P133-$Q133)/$S133, "")</f>
        <v/>
      </c>
      <c r="J133" s="11" t="str">
        <f t="shared" ref="J133:J164" si="36">IF(OR(E133="",H133=""),"",IF(AND(E133&gt;0,H133&gt;0),"利好确认",IF(AND(E133&gt;0,H133&lt;=0),"利好不涨",IF(AND(E133&lt;0,H133&lt;0),"利空确认",IF(AND(E133&lt;0,H133&gt;=0),"利空不跌","中性")))))</f>
        <v/>
      </c>
      <c r="K133" s="10" t="str">
        <f t="shared" ref="K133:K164" si="37">IF(A133="", "", IFERROR(COUNTIFS($A$5:$A$204,A133,$H$5:$H$204,"&gt;0")/COUNTIF($A$5:$A$204,A133),""))</f>
        <v/>
      </c>
      <c r="L133" s="12" t="str">
        <f t="shared" ref="L133:L164" si="38">IF(A133="", "", IF(E133&gt;0.05,1,0) + IF(F133=1,1,0) + IF(H133&gt;0.03,1,0) - IF(J133="利好不涨",2,0) + IF(J133="利空不跌",2,0))</f>
        <v/>
      </c>
      <c r="M133" s="3"/>
      <c r="N133" s="11" t="str">
        <f t="shared" ref="N133:N164" si="39">IF(AND(A133&lt;&gt;"",B133&lt;&gt;""),B133&amp;"|"&amp;TEXT(A133,"yyyy-mm-dd"),"")</f>
        <v/>
      </c>
      <c r="O133" s="11" t="str">
        <f>IFERROR(INDEX(tblPricesRaw[Open],MATCH($N133,tblPricesRaw[Key],0)),"")</f>
        <v/>
      </c>
      <c r="P133" s="11" t="str">
        <f>IFERROR(INDEX(tblPricesRaw[High],MATCH($N133,tblPricesRaw[Key],0)),"")</f>
        <v/>
      </c>
      <c r="Q133" s="11" t="str">
        <f>IFERROR(INDEX(tblPricesRaw[Low],MATCH($N133,tblPricesRaw[Key],0)),"")</f>
        <v/>
      </c>
      <c r="R133" s="11" t="str">
        <f>IFERROR(INDEX(tblPricesRaw[Close],MATCH($N133,tblPricesRaw[Key],0)),"")</f>
        <v/>
      </c>
      <c r="S133" s="11" t="str">
        <f>IFERROR(INDEX(tblPricesRaw[PrevClose],MATCH($N133,tblPricesRaw[Key],0)),"")</f>
        <v/>
      </c>
    </row>
    <row r="134" spans="1:19" x14ac:dyDescent="0.3">
      <c r="A134" s="7"/>
      <c r="B134" s="8"/>
      <c r="C134" s="9" t="str">
        <f>IFERROR(INDEX(tblEarningsRaw[EPS_Actual],MATCH($N134,tblEarningsRaw[Key],0)),"")</f>
        <v/>
      </c>
      <c r="D134" s="9" t="str">
        <f>IFERROR(INDEX(tblEarningsRaw[EPS_Estimate],MATCH($N134,tblEarningsRaw[Key],0)),"")</f>
        <v/>
      </c>
      <c r="E134" s="10" t="str">
        <f t="shared" si="32"/>
        <v/>
      </c>
      <c r="F134" s="8"/>
      <c r="G134" s="10" t="str">
        <f t="shared" si="33"/>
        <v/>
      </c>
      <c r="H134" s="10" t="str">
        <f t="shared" si="34"/>
        <v/>
      </c>
      <c r="I134" s="10" t="str">
        <f t="shared" si="35"/>
        <v/>
      </c>
      <c r="J134" s="11" t="str">
        <f t="shared" si="36"/>
        <v/>
      </c>
      <c r="K134" s="10" t="str">
        <f t="shared" si="37"/>
        <v/>
      </c>
      <c r="L134" s="12" t="str">
        <f t="shared" si="38"/>
        <v/>
      </c>
      <c r="M134" s="3"/>
      <c r="N134" s="11" t="str">
        <f t="shared" si="39"/>
        <v/>
      </c>
      <c r="O134" s="11" t="str">
        <f>IFERROR(INDEX(tblPricesRaw[Open],MATCH($N134,tblPricesRaw[Key],0)),"")</f>
        <v/>
      </c>
      <c r="P134" s="11" t="str">
        <f>IFERROR(INDEX(tblPricesRaw[High],MATCH($N134,tblPricesRaw[Key],0)),"")</f>
        <v/>
      </c>
      <c r="Q134" s="11" t="str">
        <f>IFERROR(INDEX(tblPricesRaw[Low],MATCH($N134,tblPricesRaw[Key],0)),"")</f>
        <v/>
      </c>
      <c r="R134" s="11" t="str">
        <f>IFERROR(INDEX(tblPricesRaw[Close],MATCH($N134,tblPricesRaw[Key],0)),"")</f>
        <v/>
      </c>
      <c r="S134" s="11" t="str">
        <f>IFERROR(INDEX(tblPricesRaw[PrevClose],MATCH($N134,tblPricesRaw[Key],0)),"")</f>
        <v/>
      </c>
    </row>
    <row r="135" spans="1:19" x14ac:dyDescent="0.3">
      <c r="A135" s="7"/>
      <c r="B135" s="8"/>
      <c r="C135" s="9" t="str">
        <f>IFERROR(INDEX(tblEarningsRaw[EPS_Actual],MATCH($N135,tblEarningsRaw[Key],0)),"")</f>
        <v/>
      </c>
      <c r="D135" s="9" t="str">
        <f>IFERROR(INDEX(tblEarningsRaw[EPS_Estimate],MATCH($N135,tblEarningsRaw[Key],0)),"")</f>
        <v/>
      </c>
      <c r="E135" s="10" t="str">
        <f t="shared" si="32"/>
        <v/>
      </c>
      <c r="F135" s="8"/>
      <c r="G135" s="10" t="str">
        <f t="shared" si="33"/>
        <v/>
      </c>
      <c r="H135" s="10" t="str">
        <f t="shared" si="34"/>
        <v/>
      </c>
      <c r="I135" s="10" t="str">
        <f t="shared" si="35"/>
        <v/>
      </c>
      <c r="J135" s="11" t="str">
        <f t="shared" si="36"/>
        <v/>
      </c>
      <c r="K135" s="10" t="str">
        <f t="shared" si="37"/>
        <v/>
      </c>
      <c r="L135" s="12" t="str">
        <f t="shared" si="38"/>
        <v/>
      </c>
      <c r="M135" s="3"/>
      <c r="N135" s="11" t="str">
        <f t="shared" si="39"/>
        <v/>
      </c>
      <c r="O135" s="11" t="str">
        <f>IFERROR(INDEX(tblPricesRaw[Open],MATCH($N135,tblPricesRaw[Key],0)),"")</f>
        <v/>
      </c>
      <c r="P135" s="11" t="str">
        <f>IFERROR(INDEX(tblPricesRaw[High],MATCH($N135,tblPricesRaw[Key],0)),"")</f>
        <v/>
      </c>
      <c r="Q135" s="11" t="str">
        <f>IFERROR(INDEX(tblPricesRaw[Low],MATCH($N135,tblPricesRaw[Key],0)),"")</f>
        <v/>
      </c>
      <c r="R135" s="11" t="str">
        <f>IFERROR(INDEX(tblPricesRaw[Close],MATCH($N135,tblPricesRaw[Key],0)),"")</f>
        <v/>
      </c>
      <c r="S135" s="11" t="str">
        <f>IFERROR(INDEX(tblPricesRaw[PrevClose],MATCH($N135,tblPricesRaw[Key],0)),"")</f>
        <v/>
      </c>
    </row>
    <row r="136" spans="1:19" x14ac:dyDescent="0.3">
      <c r="A136" s="7"/>
      <c r="B136" s="8"/>
      <c r="C136" s="9" t="str">
        <f>IFERROR(INDEX(tblEarningsRaw[EPS_Actual],MATCH($N136,tblEarningsRaw[Key],0)),"")</f>
        <v/>
      </c>
      <c r="D136" s="9" t="str">
        <f>IFERROR(INDEX(tblEarningsRaw[EPS_Estimate],MATCH($N136,tblEarningsRaw[Key],0)),"")</f>
        <v/>
      </c>
      <c r="E136" s="10" t="str">
        <f t="shared" si="32"/>
        <v/>
      </c>
      <c r="F136" s="8"/>
      <c r="G136" s="10" t="str">
        <f t="shared" si="33"/>
        <v/>
      </c>
      <c r="H136" s="10" t="str">
        <f t="shared" si="34"/>
        <v/>
      </c>
      <c r="I136" s="10" t="str">
        <f t="shared" si="35"/>
        <v/>
      </c>
      <c r="J136" s="11" t="str">
        <f t="shared" si="36"/>
        <v/>
      </c>
      <c r="K136" s="10" t="str">
        <f t="shared" si="37"/>
        <v/>
      </c>
      <c r="L136" s="12" t="str">
        <f t="shared" si="38"/>
        <v/>
      </c>
      <c r="M136" s="3"/>
      <c r="N136" s="11" t="str">
        <f t="shared" si="39"/>
        <v/>
      </c>
      <c r="O136" s="11" t="str">
        <f>IFERROR(INDEX(tblPricesRaw[Open],MATCH($N136,tblPricesRaw[Key],0)),"")</f>
        <v/>
      </c>
      <c r="P136" s="11" t="str">
        <f>IFERROR(INDEX(tblPricesRaw[High],MATCH($N136,tblPricesRaw[Key],0)),"")</f>
        <v/>
      </c>
      <c r="Q136" s="11" t="str">
        <f>IFERROR(INDEX(tblPricesRaw[Low],MATCH($N136,tblPricesRaw[Key],0)),"")</f>
        <v/>
      </c>
      <c r="R136" s="11" t="str">
        <f>IFERROR(INDEX(tblPricesRaw[Close],MATCH($N136,tblPricesRaw[Key],0)),"")</f>
        <v/>
      </c>
      <c r="S136" s="11" t="str">
        <f>IFERROR(INDEX(tblPricesRaw[PrevClose],MATCH($N136,tblPricesRaw[Key],0)),"")</f>
        <v/>
      </c>
    </row>
    <row r="137" spans="1:19" x14ac:dyDescent="0.3">
      <c r="A137" s="7"/>
      <c r="B137" s="8"/>
      <c r="C137" s="9" t="str">
        <f>IFERROR(INDEX(tblEarningsRaw[EPS_Actual],MATCH($N137,tblEarningsRaw[Key],0)),"")</f>
        <v/>
      </c>
      <c r="D137" s="9" t="str">
        <f>IFERROR(INDEX(tblEarningsRaw[EPS_Estimate],MATCH($N137,tblEarningsRaw[Key],0)),"")</f>
        <v/>
      </c>
      <c r="E137" s="10" t="str">
        <f t="shared" si="32"/>
        <v/>
      </c>
      <c r="F137" s="8"/>
      <c r="G137" s="10" t="str">
        <f t="shared" si="33"/>
        <v/>
      </c>
      <c r="H137" s="10" t="str">
        <f t="shared" si="34"/>
        <v/>
      </c>
      <c r="I137" s="10" t="str">
        <f t="shared" si="35"/>
        <v/>
      </c>
      <c r="J137" s="11" t="str">
        <f t="shared" si="36"/>
        <v/>
      </c>
      <c r="K137" s="10" t="str">
        <f t="shared" si="37"/>
        <v/>
      </c>
      <c r="L137" s="12" t="str">
        <f t="shared" si="38"/>
        <v/>
      </c>
      <c r="M137" s="3"/>
      <c r="N137" s="11" t="str">
        <f t="shared" si="39"/>
        <v/>
      </c>
      <c r="O137" s="11" t="str">
        <f>IFERROR(INDEX(tblPricesRaw[Open],MATCH($N137,tblPricesRaw[Key],0)),"")</f>
        <v/>
      </c>
      <c r="P137" s="11" t="str">
        <f>IFERROR(INDEX(tblPricesRaw[High],MATCH($N137,tblPricesRaw[Key],0)),"")</f>
        <v/>
      </c>
      <c r="Q137" s="11" t="str">
        <f>IFERROR(INDEX(tblPricesRaw[Low],MATCH($N137,tblPricesRaw[Key],0)),"")</f>
        <v/>
      </c>
      <c r="R137" s="11" t="str">
        <f>IFERROR(INDEX(tblPricesRaw[Close],MATCH($N137,tblPricesRaw[Key],0)),"")</f>
        <v/>
      </c>
      <c r="S137" s="11" t="str">
        <f>IFERROR(INDEX(tblPricesRaw[PrevClose],MATCH($N137,tblPricesRaw[Key],0)),"")</f>
        <v/>
      </c>
    </row>
    <row r="138" spans="1:19" x14ac:dyDescent="0.3">
      <c r="A138" s="7"/>
      <c r="B138" s="8"/>
      <c r="C138" s="9" t="str">
        <f>IFERROR(INDEX(tblEarningsRaw[EPS_Actual],MATCH($N138,tblEarningsRaw[Key],0)),"")</f>
        <v/>
      </c>
      <c r="D138" s="9" t="str">
        <f>IFERROR(INDEX(tblEarningsRaw[EPS_Estimate],MATCH($N138,tblEarningsRaw[Key],0)),"")</f>
        <v/>
      </c>
      <c r="E138" s="10" t="str">
        <f t="shared" si="32"/>
        <v/>
      </c>
      <c r="F138" s="8"/>
      <c r="G138" s="10" t="str">
        <f t="shared" si="33"/>
        <v/>
      </c>
      <c r="H138" s="10" t="str">
        <f t="shared" si="34"/>
        <v/>
      </c>
      <c r="I138" s="10" t="str">
        <f t="shared" si="35"/>
        <v/>
      </c>
      <c r="J138" s="11" t="str">
        <f t="shared" si="36"/>
        <v/>
      </c>
      <c r="K138" s="10" t="str">
        <f t="shared" si="37"/>
        <v/>
      </c>
      <c r="L138" s="12" t="str">
        <f t="shared" si="38"/>
        <v/>
      </c>
      <c r="M138" s="3"/>
      <c r="N138" s="11" t="str">
        <f t="shared" si="39"/>
        <v/>
      </c>
      <c r="O138" s="11" t="str">
        <f>IFERROR(INDEX(tblPricesRaw[Open],MATCH($N138,tblPricesRaw[Key],0)),"")</f>
        <v/>
      </c>
      <c r="P138" s="11" t="str">
        <f>IFERROR(INDEX(tblPricesRaw[High],MATCH($N138,tblPricesRaw[Key],0)),"")</f>
        <v/>
      </c>
      <c r="Q138" s="11" t="str">
        <f>IFERROR(INDEX(tblPricesRaw[Low],MATCH($N138,tblPricesRaw[Key],0)),"")</f>
        <v/>
      </c>
      <c r="R138" s="11" t="str">
        <f>IFERROR(INDEX(tblPricesRaw[Close],MATCH($N138,tblPricesRaw[Key],0)),"")</f>
        <v/>
      </c>
      <c r="S138" s="11" t="str">
        <f>IFERROR(INDEX(tblPricesRaw[PrevClose],MATCH($N138,tblPricesRaw[Key],0)),"")</f>
        <v/>
      </c>
    </row>
    <row r="139" spans="1:19" x14ac:dyDescent="0.3">
      <c r="A139" s="7"/>
      <c r="B139" s="8"/>
      <c r="C139" s="9" t="str">
        <f>IFERROR(INDEX(tblEarningsRaw[EPS_Actual],MATCH($N139,tblEarningsRaw[Key],0)),"")</f>
        <v/>
      </c>
      <c r="D139" s="9" t="str">
        <f>IFERROR(INDEX(tblEarningsRaw[EPS_Estimate],MATCH($N139,tblEarningsRaw[Key],0)),"")</f>
        <v/>
      </c>
      <c r="E139" s="10" t="str">
        <f t="shared" si="32"/>
        <v/>
      </c>
      <c r="F139" s="8"/>
      <c r="G139" s="10" t="str">
        <f t="shared" si="33"/>
        <v/>
      </c>
      <c r="H139" s="10" t="str">
        <f t="shared" si="34"/>
        <v/>
      </c>
      <c r="I139" s="10" t="str">
        <f t="shared" si="35"/>
        <v/>
      </c>
      <c r="J139" s="11" t="str">
        <f t="shared" si="36"/>
        <v/>
      </c>
      <c r="K139" s="10" t="str">
        <f t="shared" si="37"/>
        <v/>
      </c>
      <c r="L139" s="12" t="str">
        <f t="shared" si="38"/>
        <v/>
      </c>
      <c r="M139" s="3"/>
      <c r="N139" s="11" t="str">
        <f t="shared" si="39"/>
        <v/>
      </c>
      <c r="O139" s="11" t="str">
        <f>IFERROR(INDEX(tblPricesRaw[Open],MATCH($N139,tblPricesRaw[Key],0)),"")</f>
        <v/>
      </c>
      <c r="P139" s="11" t="str">
        <f>IFERROR(INDEX(tblPricesRaw[High],MATCH($N139,tblPricesRaw[Key],0)),"")</f>
        <v/>
      </c>
      <c r="Q139" s="11" t="str">
        <f>IFERROR(INDEX(tblPricesRaw[Low],MATCH($N139,tblPricesRaw[Key],0)),"")</f>
        <v/>
      </c>
      <c r="R139" s="11" t="str">
        <f>IFERROR(INDEX(tblPricesRaw[Close],MATCH($N139,tblPricesRaw[Key],0)),"")</f>
        <v/>
      </c>
      <c r="S139" s="11" t="str">
        <f>IFERROR(INDEX(tblPricesRaw[PrevClose],MATCH($N139,tblPricesRaw[Key],0)),"")</f>
        <v/>
      </c>
    </row>
    <row r="140" spans="1:19" x14ac:dyDescent="0.3">
      <c r="A140" s="7"/>
      <c r="B140" s="8"/>
      <c r="C140" s="9" t="str">
        <f>IFERROR(INDEX(tblEarningsRaw[EPS_Actual],MATCH($N140,tblEarningsRaw[Key],0)),"")</f>
        <v/>
      </c>
      <c r="D140" s="9" t="str">
        <f>IFERROR(INDEX(tblEarningsRaw[EPS_Estimate],MATCH($N140,tblEarningsRaw[Key],0)),"")</f>
        <v/>
      </c>
      <c r="E140" s="10" t="str">
        <f t="shared" si="32"/>
        <v/>
      </c>
      <c r="F140" s="8"/>
      <c r="G140" s="10" t="str">
        <f t="shared" si="33"/>
        <v/>
      </c>
      <c r="H140" s="10" t="str">
        <f t="shared" si="34"/>
        <v/>
      </c>
      <c r="I140" s="10" t="str">
        <f t="shared" si="35"/>
        <v/>
      </c>
      <c r="J140" s="11" t="str">
        <f t="shared" si="36"/>
        <v/>
      </c>
      <c r="K140" s="10" t="str">
        <f t="shared" si="37"/>
        <v/>
      </c>
      <c r="L140" s="12" t="str">
        <f t="shared" si="38"/>
        <v/>
      </c>
      <c r="M140" s="3"/>
      <c r="N140" s="11" t="str">
        <f t="shared" si="39"/>
        <v/>
      </c>
      <c r="O140" s="11" t="str">
        <f>IFERROR(INDEX(tblPricesRaw[Open],MATCH($N140,tblPricesRaw[Key],0)),"")</f>
        <v/>
      </c>
      <c r="P140" s="11" t="str">
        <f>IFERROR(INDEX(tblPricesRaw[High],MATCH($N140,tblPricesRaw[Key],0)),"")</f>
        <v/>
      </c>
      <c r="Q140" s="11" t="str">
        <f>IFERROR(INDEX(tblPricesRaw[Low],MATCH($N140,tblPricesRaw[Key],0)),"")</f>
        <v/>
      </c>
      <c r="R140" s="11" t="str">
        <f>IFERROR(INDEX(tblPricesRaw[Close],MATCH($N140,tblPricesRaw[Key],0)),"")</f>
        <v/>
      </c>
      <c r="S140" s="11" t="str">
        <f>IFERROR(INDEX(tblPricesRaw[PrevClose],MATCH($N140,tblPricesRaw[Key],0)),"")</f>
        <v/>
      </c>
    </row>
    <row r="141" spans="1:19" x14ac:dyDescent="0.3">
      <c r="A141" s="7"/>
      <c r="B141" s="8"/>
      <c r="C141" s="9" t="str">
        <f>IFERROR(INDEX(tblEarningsRaw[EPS_Actual],MATCH($N141,tblEarningsRaw[Key],0)),"")</f>
        <v/>
      </c>
      <c r="D141" s="9" t="str">
        <f>IFERROR(INDEX(tblEarningsRaw[EPS_Estimate],MATCH($N141,tblEarningsRaw[Key],0)),"")</f>
        <v/>
      </c>
      <c r="E141" s="10" t="str">
        <f t="shared" si="32"/>
        <v/>
      </c>
      <c r="F141" s="8"/>
      <c r="G141" s="10" t="str">
        <f t="shared" si="33"/>
        <v/>
      </c>
      <c r="H141" s="10" t="str">
        <f t="shared" si="34"/>
        <v/>
      </c>
      <c r="I141" s="10" t="str">
        <f t="shared" si="35"/>
        <v/>
      </c>
      <c r="J141" s="11" t="str">
        <f t="shared" si="36"/>
        <v/>
      </c>
      <c r="K141" s="10" t="str">
        <f t="shared" si="37"/>
        <v/>
      </c>
      <c r="L141" s="12" t="str">
        <f t="shared" si="38"/>
        <v/>
      </c>
      <c r="M141" s="3"/>
      <c r="N141" s="11" t="str">
        <f t="shared" si="39"/>
        <v/>
      </c>
      <c r="O141" s="11" t="str">
        <f>IFERROR(INDEX(tblPricesRaw[Open],MATCH($N141,tblPricesRaw[Key],0)),"")</f>
        <v/>
      </c>
      <c r="P141" s="11" t="str">
        <f>IFERROR(INDEX(tblPricesRaw[High],MATCH($N141,tblPricesRaw[Key],0)),"")</f>
        <v/>
      </c>
      <c r="Q141" s="11" t="str">
        <f>IFERROR(INDEX(tblPricesRaw[Low],MATCH($N141,tblPricesRaw[Key],0)),"")</f>
        <v/>
      </c>
      <c r="R141" s="11" t="str">
        <f>IFERROR(INDEX(tblPricesRaw[Close],MATCH($N141,tblPricesRaw[Key],0)),"")</f>
        <v/>
      </c>
      <c r="S141" s="11" t="str">
        <f>IFERROR(INDEX(tblPricesRaw[PrevClose],MATCH($N141,tblPricesRaw[Key],0)),"")</f>
        <v/>
      </c>
    </row>
    <row r="142" spans="1:19" x14ac:dyDescent="0.3">
      <c r="A142" s="7"/>
      <c r="B142" s="8"/>
      <c r="C142" s="9" t="str">
        <f>IFERROR(INDEX(tblEarningsRaw[EPS_Actual],MATCH($N142,tblEarningsRaw[Key],0)),"")</f>
        <v/>
      </c>
      <c r="D142" s="9" t="str">
        <f>IFERROR(INDEX(tblEarningsRaw[EPS_Estimate],MATCH($N142,tblEarningsRaw[Key],0)),"")</f>
        <v/>
      </c>
      <c r="E142" s="10" t="str">
        <f t="shared" si="32"/>
        <v/>
      </c>
      <c r="F142" s="8"/>
      <c r="G142" s="10" t="str">
        <f t="shared" si="33"/>
        <v/>
      </c>
      <c r="H142" s="10" t="str">
        <f t="shared" si="34"/>
        <v/>
      </c>
      <c r="I142" s="10" t="str">
        <f t="shared" si="35"/>
        <v/>
      </c>
      <c r="J142" s="11" t="str">
        <f t="shared" si="36"/>
        <v/>
      </c>
      <c r="K142" s="10" t="str">
        <f t="shared" si="37"/>
        <v/>
      </c>
      <c r="L142" s="12" t="str">
        <f t="shared" si="38"/>
        <v/>
      </c>
      <c r="M142" s="3"/>
      <c r="N142" s="11" t="str">
        <f t="shared" si="39"/>
        <v/>
      </c>
      <c r="O142" s="11" t="str">
        <f>IFERROR(INDEX(tblPricesRaw[Open],MATCH($N142,tblPricesRaw[Key],0)),"")</f>
        <v/>
      </c>
      <c r="P142" s="11" t="str">
        <f>IFERROR(INDEX(tblPricesRaw[High],MATCH($N142,tblPricesRaw[Key],0)),"")</f>
        <v/>
      </c>
      <c r="Q142" s="11" t="str">
        <f>IFERROR(INDEX(tblPricesRaw[Low],MATCH($N142,tblPricesRaw[Key],0)),"")</f>
        <v/>
      </c>
      <c r="R142" s="11" t="str">
        <f>IFERROR(INDEX(tblPricesRaw[Close],MATCH($N142,tblPricesRaw[Key],0)),"")</f>
        <v/>
      </c>
      <c r="S142" s="11" t="str">
        <f>IFERROR(INDEX(tblPricesRaw[PrevClose],MATCH($N142,tblPricesRaw[Key],0)),"")</f>
        <v/>
      </c>
    </row>
    <row r="143" spans="1:19" x14ac:dyDescent="0.3">
      <c r="A143" s="7"/>
      <c r="B143" s="8"/>
      <c r="C143" s="9" t="str">
        <f>IFERROR(INDEX(tblEarningsRaw[EPS_Actual],MATCH($N143,tblEarningsRaw[Key],0)),"")</f>
        <v/>
      </c>
      <c r="D143" s="9" t="str">
        <f>IFERROR(INDEX(tblEarningsRaw[EPS_Estimate],MATCH($N143,tblEarningsRaw[Key],0)),"")</f>
        <v/>
      </c>
      <c r="E143" s="10" t="str">
        <f t="shared" si="32"/>
        <v/>
      </c>
      <c r="F143" s="8"/>
      <c r="G143" s="10" t="str">
        <f t="shared" si="33"/>
        <v/>
      </c>
      <c r="H143" s="10" t="str">
        <f t="shared" si="34"/>
        <v/>
      </c>
      <c r="I143" s="10" t="str">
        <f t="shared" si="35"/>
        <v/>
      </c>
      <c r="J143" s="11" t="str">
        <f t="shared" si="36"/>
        <v/>
      </c>
      <c r="K143" s="10" t="str">
        <f t="shared" si="37"/>
        <v/>
      </c>
      <c r="L143" s="12" t="str">
        <f t="shared" si="38"/>
        <v/>
      </c>
      <c r="M143" s="3"/>
      <c r="N143" s="11" t="str">
        <f t="shared" si="39"/>
        <v/>
      </c>
      <c r="O143" s="11" t="str">
        <f>IFERROR(INDEX(tblPricesRaw[Open],MATCH($N143,tblPricesRaw[Key],0)),"")</f>
        <v/>
      </c>
      <c r="P143" s="11" t="str">
        <f>IFERROR(INDEX(tblPricesRaw[High],MATCH($N143,tblPricesRaw[Key],0)),"")</f>
        <v/>
      </c>
      <c r="Q143" s="11" t="str">
        <f>IFERROR(INDEX(tblPricesRaw[Low],MATCH($N143,tblPricesRaw[Key],0)),"")</f>
        <v/>
      </c>
      <c r="R143" s="11" t="str">
        <f>IFERROR(INDEX(tblPricesRaw[Close],MATCH($N143,tblPricesRaw[Key],0)),"")</f>
        <v/>
      </c>
      <c r="S143" s="11" t="str">
        <f>IFERROR(INDEX(tblPricesRaw[PrevClose],MATCH($N143,tblPricesRaw[Key],0)),"")</f>
        <v/>
      </c>
    </row>
    <row r="144" spans="1:19" x14ac:dyDescent="0.3">
      <c r="A144" s="7"/>
      <c r="B144" s="8"/>
      <c r="C144" s="9" t="str">
        <f>IFERROR(INDEX(tblEarningsRaw[EPS_Actual],MATCH($N144,tblEarningsRaw[Key],0)),"")</f>
        <v/>
      </c>
      <c r="D144" s="9" t="str">
        <f>IFERROR(INDEX(tblEarningsRaw[EPS_Estimate],MATCH($N144,tblEarningsRaw[Key],0)),"")</f>
        <v/>
      </c>
      <c r="E144" s="10" t="str">
        <f t="shared" si="32"/>
        <v/>
      </c>
      <c r="F144" s="8"/>
      <c r="G144" s="10" t="str">
        <f t="shared" si="33"/>
        <v/>
      </c>
      <c r="H144" s="10" t="str">
        <f t="shared" si="34"/>
        <v/>
      </c>
      <c r="I144" s="10" t="str">
        <f t="shared" si="35"/>
        <v/>
      </c>
      <c r="J144" s="11" t="str">
        <f t="shared" si="36"/>
        <v/>
      </c>
      <c r="K144" s="10" t="str">
        <f t="shared" si="37"/>
        <v/>
      </c>
      <c r="L144" s="12" t="str">
        <f t="shared" si="38"/>
        <v/>
      </c>
      <c r="M144" s="3"/>
      <c r="N144" s="11" t="str">
        <f t="shared" si="39"/>
        <v/>
      </c>
      <c r="O144" s="11" t="str">
        <f>IFERROR(INDEX(tblPricesRaw[Open],MATCH($N144,tblPricesRaw[Key],0)),"")</f>
        <v/>
      </c>
      <c r="P144" s="11" t="str">
        <f>IFERROR(INDEX(tblPricesRaw[High],MATCH($N144,tblPricesRaw[Key],0)),"")</f>
        <v/>
      </c>
      <c r="Q144" s="11" t="str">
        <f>IFERROR(INDEX(tblPricesRaw[Low],MATCH($N144,tblPricesRaw[Key],0)),"")</f>
        <v/>
      </c>
      <c r="R144" s="11" t="str">
        <f>IFERROR(INDEX(tblPricesRaw[Close],MATCH($N144,tblPricesRaw[Key],0)),"")</f>
        <v/>
      </c>
      <c r="S144" s="11" t="str">
        <f>IFERROR(INDEX(tblPricesRaw[PrevClose],MATCH($N144,tblPricesRaw[Key],0)),"")</f>
        <v/>
      </c>
    </row>
    <row r="145" spans="1:19" x14ac:dyDescent="0.3">
      <c r="A145" s="7"/>
      <c r="B145" s="8"/>
      <c r="C145" s="9" t="str">
        <f>IFERROR(INDEX(tblEarningsRaw[EPS_Actual],MATCH($N145,tblEarningsRaw[Key],0)),"")</f>
        <v/>
      </c>
      <c r="D145" s="9" t="str">
        <f>IFERROR(INDEX(tblEarningsRaw[EPS_Estimate],MATCH($N145,tblEarningsRaw[Key],0)),"")</f>
        <v/>
      </c>
      <c r="E145" s="10" t="str">
        <f t="shared" si="32"/>
        <v/>
      </c>
      <c r="F145" s="8"/>
      <c r="G145" s="10" t="str">
        <f t="shared" si="33"/>
        <v/>
      </c>
      <c r="H145" s="10" t="str">
        <f t="shared" si="34"/>
        <v/>
      </c>
      <c r="I145" s="10" t="str">
        <f t="shared" si="35"/>
        <v/>
      </c>
      <c r="J145" s="11" t="str">
        <f t="shared" si="36"/>
        <v/>
      </c>
      <c r="K145" s="10" t="str">
        <f t="shared" si="37"/>
        <v/>
      </c>
      <c r="L145" s="12" t="str">
        <f t="shared" si="38"/>
        <v/>
      </c>
      <c r="M145" s="3"/>
      <c r="N145" s="11" t="str">
        <f t="shared" si="39"/>
        <v/>
      </c>
      <c r="O145" s="11" t="str">
        <f>IFERROR(INDEX(tblPricesRaw[Open],MATCH($N145,tblPricesRaw[Key],0)),"")</f>
        <v/>
      </c>
      <c r="P145" s="11" t="str">
        <f>IFERROR(INDEX(tblPricesRaw[High],MATCH($N145,tblPricesRaw[Key],0)),"")</f>
        <v/>
      </c>
      <c r="Q145" s="11" t="str">
        <f>IFERROR(INDEX(tblPricesRaw[Low],MATCH($N145,tblPricesRaw[Key],0)),"")</f>
        <v/>
      </c>
      <c r="R145" s="11" t="str">
        <f>IFERROR(INDEX(tblPricesRaw[Close],MATCH($N145,tblPricesRaw[Key],0)),"")</f>
        <v/>
      </c>
      <c r="S145" s="11" t="str">
        <f>IFERROR(INDEX(tblPricesRaw[PrevClose],MATCH($N145,tblPricesRaw[Key],0)),"")</f>
        <v/>
      </c>
    </row>
    <row r="146" spans="1:19" x14ac:dyDescent="0.3">
      <c r="A146" s="7"/>
      <c r="B146" s="8"/>
      <c r="C146" s="9" t="str">
        <f>IFERROR(INDEX(tblEarningsRaw[EPS_Actual],MATCH($N146,tblEarningsRaw[Key],0)),"")</f>
        <v/>
      </c>
      <c r="D146" s="9" t="str">
        <f>IFERROR(INDEX(tblEarningsRaw[EPS_Estimate],MATCH($N146,tblEarningsRaw[Key],0)),"")</f>
        <v/>
      </c>
      <c r="E146" s="10" t="str">
        <f t="shared" si="32"/>
        <v/>
      </c>
      <c r="F146" s="8"/>
      <c r="G146" s="10" t="str">
        <f t="shared" si="33"/>
        <v/>
      </c>
      <c r="H146" s="10" t="str">
        <f t="shared" si="34"/>
        <v/>
      </c>
      <c r="I146" s="10" t="str">
        <f t="shared" si="35"/>
        <v/>
      </c>
      <c r="J146" s="11" t="str">
        <f t="shared" si="36"/>
        <v/>
      </c>
      <c r="K146" s="10" t="str">
        <f t="shared" si="37"/>
        <v/>
      </c>
      <c r="L146" s="12" t="str">
        <f t="shared" si="38"/>
        <v/>
      </c>
      <c r="M146" s="3"/>
      <c r="N146" s="11" t="str">
        <f t="shared" si="39"/>
        <v/>
      </c>
      <c r="O146" s="11" t="str">
        <f>IFERROR(INDEX(tblPricesRaw[Open],MATCH($N146,tblPricesRaw[Key],0)),"")</f>
        <v/>
      </c>
      <c r="P146" s="11" t="str">
        <f>IFERROR(INDEX(tblPricesRaw[High],MATCH($N146,tblPricesRaw[Key],0)),"")</f>
        <v/>
      </c>
      <c r="Q146" s="11" t="str">
        <f>IFERROR(INDEX(tblPricesRaw[Low],MATCH($N146,tblPricesRaw[Key],0)),"")</f>
        <v/>
      </c>
      <c r="R146" s="11" t="str">
        <f>IFERROR(INDEX(tblPricesRaw[Close],MATCH($N146,tblPricesRaw[Key],0)),"")</f>
        <v/>
      </c>
      <c r="S146" s="11" t="str">
        <f>IFERROR(INDEX(tblPricesRaw[PrevClose],MATCH($N146,tblPricesRaw[Key],0)),"")</f>
        <v/>
      </c>
    </row>
    <row r="147" spans="1:19" x14ac:dyDescent="0.3">
      <c r="A147" s="7"/>
      <c r="B147" s="8"/>
      <c r="C147" s="9" t="str">
        <f>IFERROR(INDEX(tblEarningsRaw[EPS_Actual],MATCH($N147,tblEarningsRaw[Key],0)),"")</f>
        <v/>
      </c>
      <c r="D147" s="9" t="str">
        <f>IFERROR(INDEX(tblEarningsRaw[EPS_Estimate],MATCH($N147,tblEarningsRaw[Key],0)),"")</f>
        <v/>
      </c>
      <c r="E147" s="10" t="str">
        <f t="shared" si="32"/>
        <v/>
      </c>
      <c r="F147" s="8"/>
      <c r="G147" s="10" t="str">
        <f t="shared" si="33"/>
        <v/>
      </c>
      <c r="H147" s="10" t="str">
        <f t="shared" si="34"/>
        <v/>
      </c>
      <c r="I147" s="10" t="str">
        <f t="shared" si="35"/>
        <v/>
      </c>
      <c r="J147" s="11" t="str">
        <f t="shared" si="36"/>
        <v/>
      </c>
      <c r="K147" s="10" t="str">
        <f t="shared" si="37"/>
        <v/>
      </c>
      <c r="L147" s="12" t="str">
        <f t="shared" si="38"/>
        <v/>
      </c>
      <c r="M147" s="3"/>
      <c r="N147" s="11" t="str">
        <f t="shared" si="39"/>
        <v/>
      </c>
      <c r="O147" s="11" t="str">
        <f>IFERROR(INDEX(tblPricesRaw[Open],MATCH($N147,tblPricesRaw[Key],0)),"")</f>
        <v/>
      </c>
      <c r="P147" s="11" t="str">
        <f>IFERROR(INDEX(tblPricesRaw[High],MATCH($N147,tblPricesRaw[Key],0)),"")</f>
        <v/>
      </c>
      <c r="Q147" s="11" t="str">
        <f>IFERROR(INDEX(tblPricesRaw[Low],MATCH($N147,tblPricesRaw[Key],0)),"")</f>
        <v/>
      </c>
      <c r="R147" s="11" t="str">
        <f>IFERROR(INDEX(tblPricesRaw[Close],MATCH($N147,tblPricesRaw[Key],0)),"")</f>
        <v/>
      </c>
      <c r="S147" s="11" t="str">
        <f>IFERROR(INDEX(tblPricesRaw[PrevClose],MATCH($N147,tblPricesRaw[Key],0)),"")</f>
        <v/>
      </c>
    </row>
    <row r="148" spans="1:19" x14ac:dyDescent="0.3">
      <c r="A148" s="7"/>
      <c r="B148" s="8"/>
      <c r="C148" s="9" t="str">
        <f>IFERROR(INDEX(tblEarningsRaw[EPS_Actual],MATCH($N148,tblEarningsRaw[Key],0)),"")</f>
        <v/>
      </c>
      <c r="D148" s="9" t="str">
        <f>IFERROR(INDEX(tblEarningsRaw[EPS_Estimate],MATCH($N148,tblEarningsRaw[Key],0)),"")</f>
        <v/>
      </c>
      <c r="E148" s="10" t="str">
        <f t="shared" si="32"/>
        <v/>
      </c>
      <c r="F148" s="8"/>
      <c r="G148" s="10" t="str">
        <f t="shared" si="33"/>
        <v/>
      </c>
      <c r="H148" s="10" t="str">
        <f t="shared" si="34"/>
        <v/>
      </c>
      <c r="I148" s="10" t="str">
        <f t="shared" si="35"/>
        <v/>
      </c>
      <c r="J148" s="11" t="str">
        <f t="shared" si="36"/>
        <v/>
      </c>
      <c r="K148" s="10" t="str">
        <f t="shared" si="37"/>
        <v/>
      </c>
      <c r="L148" s="12" t="str">
        <f t="shared" si="38"/>
        <v/>
      </c>
      <c r="M148" s="3"/>
      <c r="N148" s="11" t="str">
        <f t="shared" si="39"/>
        <v/>
      </c>
      <c r="O148" s="11" t="str">
        <f>IFERROR(INDEX(tblPricesRaw[Open],MATCH($N148,tblPricesRaw[Key],0)),"")</f>
        <v/>
      </c>
      <c r="P148" s="11" t="str">
        <f>IFERROR(INDEX(tblPricesRaw[High],MATCH($N148,tblPricesRaw[Key],0)),"")</f>
        <v/>
      </c>
      <c r="Q148" s="11" t="str">
        <f>IFERROR(INDEX(tblPricesRaw[Low],MATCH($N148,tblPricesRaw[Key],0)),"")</f>
        <v/>
      </c>
      <c r="R148" s="11" t="str">
        <f>IFERROR(INDEX(tblPricesRaw[Close],MATCH($N148,tblPricesRaw[Key],0)),"")</f>
        <v/>
      </c>
      <c r="S148" s="11" t="str">
        <f>IFERROR(INDEX(tblPricesRaw[PrevClose],MATCH($N148,tblPricesRaw[Key],0)),"")</f>
        <v/>
      </c>
    </row>
    <row r="149" spans="1:19" x14ac:dyDescent="0.3">
      <c r="A149" s="7"/>
      <c r="B149" s="8"/>
      <c r="C149" s="9" t="str">
        <f>IFERROR(INDEX(tblEarningsRaw[EPS_Actual],MATCH($N149,tblEarningsRaw[Key],0)),"")</f>
        <v/>
      </c>
      <c r="D149" s="9" t="str">
        <f>IFERROR(INDEX(tblEarningsRaw[EPS_Estimate],MATCH($N149,tblEarningsRaw[Key],0)),"")</f>
        <v/>
      </c>
      <c r="E149" s="10" t="str">
        <f t="shared" si="32"/>
        <v/>
      </c>
      <c r="F149" s="8"/>
      <c r="G149" s="10" t="str">
        <f t="shared" si="33"/>
        <v/>
      </c>
      <c r="H149" s="10" t="str">
        <f t="shared" si="34"/>
        <v/>
      </c>
      <c r="I149" s="10" t="str">
        <f t="shared" si="35"/>
        <v/>
      </c>
      <c r="J149" s="11" t="str">
        <f t="shared" si="36"/>
        <v/>
      </c>
      <c r="K149" s="10" t="str">
        <f t="shared" si="37"/>
        <v/>
      </c>
      <c r="L149" s="12" t="str">
        <f t="shared" si="38"/>
        <v/>
      </c>
      <c r="M149" s="3"/>
      <c r="N149" s="11" t="str">
        <f t="shared" si="39"/>
        <v/>
      </c>
      <c r="O149" s="11" t="str">
        <f>IFERROR(INDEX(tblPricesRaw[Open],MATCH($N149,tblPricesRaw[Key],0)),"")</f>
        <v/>
      </c>
      <c r="P149" s="11" t="str">
        <f>IFERROR(INDEX(tblPricesRaw[High],MATCH($N149,tblPricesRaw[Key],0)),"")</f>
        <v/>
      </c>
      <c r="Q149" s="11" t="str">
        <f>IFERROR(INDEX(tblPricesRaw[Low],MATCH($N149,tblPricesRaw[Key],0)),"")</f>
        <v/>
      </c>
      <c r="R149" s="11" t="str">
        <f>IFERROR(INDEX(tblPricesRaw[Close],MATCH($N149,tblPricesRaw[Key],0)),"")</f>
        <v/>
      </c>
      <c r="S149" s="11" t="str">
        <f>IFERROR(INDEX(tblPricesRaw[PrevClose],MATCH($N149,tblPricesRaw[Key],0)),"")</f>
        <v/>
      </c>
    </row>
    <row r="150" spans="1:19" x14ac:dyDescent="0.3">
      <c r="A150" s="7"/>
      <c r="B150" s="8"/>
      <c r="C150" s="9" t="str">
        <f>IFERROR(INDEX(tblEarningsRaw[EPS_Actual],MATCH($N150,tblEarningsRaw[Key],0)),"")</f>
        <v/>
      </c>
      <c r="D150" s="9" t="str">
        <f>IFERROR(INDEX(tblEarningsRaw[EPS_Estimate],MATCH($N150,tblEarningsRaw[Key],0)),"")</f>
        <v/>
      </c>
      <c r="E150" s="10" t="str">
        <f t="shared" si="32"/>
        <v/>
      </c>
      <c r="F150" s="8"/>
      <c r="G150" s="10" t="str">
        <f t="shared" si="33"/>
        <v/>
      </c>
      <c r="H150" s="10" t="str">
        <f t="shared" si="34"/>
        <v/>
      </c>
      <c r="I150" s="10" t="str">
        <f t="shared" si="35"/>
        <v/>
      </c>
      <c r="J150" s="11" t="str">
        <f t="shared" si="36"/>
        <v/>
      </c>
      <c r="K150" s="10" t="str">
        <f t="shared" si="37"/>
        <v/>
      </c>
      <c r="L150" s="12" t="str">
        <f t="shared" si="38"/>
        <v/>
      </c>
      <c r="M150" s="3"/>
      <c r="N150" s="11" t="str">
        <f t="shared" si="39"/>
        <v/>
      </c>
      <c r="O150" s="11" t="str">
        <f>IFERROR(INDEX(tblPricesRaw[Open],MATCH($N150,tblPricesRaw[Key],0)),"")</f>
        <v/>
      </c>
      <c r="P150" s="11" t="str">
        <f>IFERROR(INDEX(tblPricesRaw[High],MATCH($N150,tblPricesRaw[Key],0)),"")</f>
        <v/>
      </c>
      <c r="Q150" s="11" t="str">
        <f>IFERROR(INDEX(tblPricesRaw[Low],MATCH($N150,tblPricesRaw[Key],0)),"")</f>
        <v/>
      </c>
      <c r="R150" s="11" t="str">
        <f>IFERROR(INDEX(tblPricesRaw[Close],MATCH($N150,tblPricesRaw[Key],0)),"")</f>
        <v/>
      </c>
      <c r="S150" s="11" t="str">
        <f>IFERROR(INDEX(tblPricesRaw[PrevClose],MATCH($N150,tblPricesRaw[Key],0)),"")</f>
        <v/>
      </c>
    </row>
    <row r="151" spans="1:19" x14ac:dyDescent="0.3">
      <c r="A151" s="7"/>
      <c r="B151" s="8"/>
      <c r="C151" s="9" t="str">
        <f>IFERROR(INDEX(tblEarningsRaw[EPS_Actual],MATCH($N151,tblEarningsRaw[Key],0)),"")</f>
        <v/>
      </c>
      <c r="D151" s="9" t="str">
        <f>IFERROR(INDEX(tblEarningsRaw[EPS_Estimate],MATCH($N151,tblEarningsRaw[Key],0)),"")</f>
        <v/>
      </c>
      <c r="E151" s="10" t="str">
        <f t="shared" si="32"/>
        <v/>
      </c>
      <c r="F151" s="8"/>
      <c r="G151" s="10" t="str">
        <f t="shared" si="33"/>
        <v/>
      </c>
      <c r="H151" s="10" t="str">
        <f t="shared" si="34"/>
        <v/>
      </c>
      <c r="I151" s="10" t="str">
        <f t="shared" si="35"/>
        <v/>
      </c>
      <c r="J151" s="11" t="str">
        <f t="shared" si="36"/>
        <v/>
      </c>
      <c r="K151" s="10" t="str">
        <f t="shared" si="37"/>
        <v/>
      </c>
      <c r="L151" s="12" t="str">
        <f t="shared" si="38"/>
        <v/>
      </c>
      <c r="M151" s="3"/>
      <c r="N151" s="11" t="str">
        <f t="shared" si="39"/>
        <v/>
      </c>
      <c r="O151" s="11" t="str">
        <f>IFERROR(INDEX(tblPricesRaw[Open],MATCH($N151,tblPricesRaw[Key],0)),"")</f>
        <v/>
      </c>
      <c r="P151" s="11" t="str">
        <f>IFERROR(INDEX(tblPricesRaw[High],MATCH($N151,tblPricesRaw[Key],0)),"")</f>
        <v/>
      </c>
      <c r="Q151" s="11" t="str">
        <f>IFERROR(INDEX(tblPricesRaw[Low],MATCH($N151,tblPricesRaw[Key],0)),"")</f>
        <v/>
      </c>
      <c r="R151" s="11" t="str">
        <f>IFERROR(INDEX(tblPricesRaw[Close],MATCH($N151,tblPricesRaw[Key],0)),"")</f>
        <v/>
      </c>
      <c r="S151" s="11" t="str">
        <f>IFERROR(INDEX(tblPricesRaw[PrevClose],MATCH($N151,tblPricesRaw[Key],0)),"")</f>
        <v/>
      </c>
    </row>
    <row r="152" spans="1:19" x14ac:dyDescent="0.3">
      <c r="A152" s="7"/>
      <c r="B152" s="8"/>
      <c r="C152" s="9" t="str">
        <f>IFERROR(INDEX(tblEarningsRaw[EPS_Actual],MATCH($N152,tblEarningsRaw[Key],0)),"")</f>
        <v/>
      </c>
      <c r="D152" s="9" t="str">
        <f>IFERROR(INDEX(tblEarningsRaw[EPS_Estimate],MATCH($N152,tblEarningsRaw[Key],0)),"")</f>
        <v/>
      </c>
      <c r="E152" s="10" t="str">
        <f t="shared" si="32"/>
        <v/>
      </c>
      <c r="F152" s="8"/>
      <c r="G152" s="10" t="str">
        <f t="shared" si="33"/>
        <v/>
      </c>
      <c r="H152" s="10" t="str">
        <f t="shared" si="34"/>
        <v/>
      </c>
      <c r="I152" s="10" t="str">
        <f t="shared" si="35"/>
        <v/>
      </c>
      <c r="J152" s="11" t="str">
        <f t="shared" si="36"/>
        <v/>
      </c>
      <c r="K152" s="10" t="str">
        <f t="shared" si="37"/>
        <v/>
      </c>
      <c r="L152" s="12" t="str">
        <f t="shared" si="38"/>
        <v/>
      </c>
      <c r="M152" s="3"/>
      <c r="N152" s="11" t="str">
        <f t="shared" si="39"/>
        <v/>
      </c>
      <c r="O152" s="11" t="str">
        <f>IFERROR(INDEX(tblPricesRaw[Open],MATCH($N152,tblPricesRaw[Key],0)),"")</f>
        <v/>
      </c>
      <c r="P152" s="11" t="str">
        <f>IFERROR(INDEX(tblPricesRaw[High],MATCH($N152,tblPricesRaw[Key],0)),"")</f>
        <v/>
      </c>
      <c r="Q152" s="11" t="str">
        <f>IFERROR(INDEX(tblPricesRaw[Low],MATCH($N152,tblPricesRaw[Key],0)),"")</f>
        <v/>
      </c>
      <c r="R152" s="11" t="str">
        <f>IFERROR(INDEX(tblPricesRaw[Close],MATCH($N152,tblPricesRaw[Key],0)),"")</f>
        <v/>
      </c>
      <c r="S152" s="11" t="str">
        <f>IFERROR(INDEX(tblPricesRaw[PrevClose],MATCH($N152,tblPricesRaw[Key],0)),"")</f>
        <v/>
      </c>
    </row>
    <row r="153" spans="1:19" x14ac:dyDescent="0.3">
      <c r="A153" s="7"/>
      <c r="B153" s="8"/>
      <c r="C153" s="9" t="str">
        <f>IFERROR(INDEX(tblEarningsRaw[EPS_Actual],MATCH($N153,tblEarningsRaw[Key],0)),"")</f>
        <v/>
      </c>
      <c r="D153" s="9" t="str">
        <f>IFERROR(INDEX(tblEarningsRaw[EPS_Estimate],MATCH($N153,tblEarningsRaw[Key],0)),"")</f>
        <v/>
      </c>
      <c r="E153" s="10" t="str">
        <f t="shared" si="32"/>
        <v/>
      </c>
      <c r="F153" s="8"/>
      <c r="G153" s="10" t="str">
        <f t="shared" si="33"/>
        <v/>
      </c>
      <c r="H153" s="10" t="str">
        <f t="shared" si="34"/>
        <v/>
      </c>
      <c r="I153" s="10" t="str">
        <f t="shared" si="35"/>
        <v/>
      </c>
      <c r="J153" s="11" t="str">
        <f t="shared" si="36"/>
        <v/>
      </c>
      <c r="K153" s="10" t="str">
        <f t="shared" si="37"/>
        <v/>
      </c>
      <c r="L153" s="12" t="str">
        <f t="shared" si="38"/>
        <v/>
      </c>
      <c r="M153" s="3"/>
      <c r="N153" s="11" t="str">
        <f t="shared" si="39"/>
        <v/>
      </c>
      <c r="O153" s="11" t="str">
        <f>IFERROR(INDEX(tblPricesRaw[Open],MATCH($N153,tblPricesRaw[Key],0)),"")</f>
        <v/>
      </c>
      <c r="P153" s="11" t="str">
        <f>IFERROR(INDEX(tblPricesRaw[High],MATCH($N153,tblPricesRaw[Key],0)),"")</f>
        <v/>
      </c>
      <c r="Q153" s="11" t="str">
        <f>IFERROR(INDEX(tblPricesRaw[Low],MATCH($N153,tblPricesRaw[Key],0)),"")</f>
        <v/>
      </c>
      <c r="R153" s="11" t="str">
        <f>IFERROR(INDEX(tblPricesRaw[Close],MATCH($N153,tblPricesRaw[Key],0)),"")</f>
        <v/>
      </c>
      <c r="S153" s="11" t="str">
        <f>IFERROR(INDEX(tblPricesRaw[PrevClose],MATCH($N153,tblPricesRaw[Key],0)),"")</f>
        <v/>
      </c>
    </row>
    <row r="154" spans="1:19" x14ac:dyDescent="0.3">
      <c r="A154" s="7"/>
      <c r="B154" s="8"/>
      <c r="C154" s="9" t="str">
        <f>IFERROR(INDEX(tblEarningsRaw[EPS_Actual],MATCH($N154,tblEarningsRaw[Key],0)),"")</f>
        <v/>
      </c>
      <c r="D154" s="9" t="str">
        <f>IFERROR(INDEX(tblEarningsRaw[EPS_Estimate],MATCH($N154,tblEarningsRaw[Key],0)),"")</f>
        <v/>
      </c>
      <c r="E154" s="10" t="str">
        <f t="shared" si="32"/>
        <v/>
      </c>
      <c r="F154" s="8"/>
      <c r="G154" s="10" t="str">
        <f t="shared" si="33"/>
        <v/>
      </c>
      <c r="H154" s="10" t="str">
        <f t="shared" si="34"/>
        <v/>
      </c>
      <c r="I154" s="10" t="str">
        <f t="shared" si="35"/>
        <v/>
      </c>
      <c r="J154" s="11" t="str">
        <f t="shared" si="36"/>
        <v/>
      </c>
      <c r="K154" s="10" t="str">
        <f t="shared" si="37"/>
        <v/>
      </c>
      <c r="L154" s="12" t="str">
        <f t="shared" si="38"/>
        <v/>
      </c>
      <c r="M154" s="3"/>
      <c r="N154" s="11" t="str">
        <f t="shared" si="39"/>
        <v/>
      </c>
      <c r="O154" s="11" t="str">
        <f>IFERROR(INDEX(tblPricesRaw[Open],MATCH($N154,tblPricesRaw[Key],0)),"")</f>
        <v/>
      </c>
      <c r="P154" s="11" t="str">
        <f>IFERROR(INDEX(tblPricesRaw[High],MATCH($N154,tblPricesRaw[Key],0)),"")</f>
        <v/>
      </c>
      <c r="Q154" s="11" t="str">
        <f>IFERROR(INDEX(tblPricesRaw[Low],MATCH($N154,tblPricesRaw[Key],0)),"")</f>
        <v/>
      </c>
      <c r="R154" s="11" t="str">
        <f>IFERROR(INDEX(tblPricesRaw[Close],MATCH($N154,tblPricesRaw[Key],0)),"")</f>
        <v/>
      </c>
      <c r="S154" s="11" t="str">
        <f>IFERROR(INDEX(tblPricesRaw[PrevClose],MATCH($N154,tblPricesRaw[Key],0)),"")</f>
        <v/>
      </c>
    </row>
    <row r="155" spans="1:19" x14ac:dyDescent="0.3">
      <c r="A155" s="7"/>
      <c r="B155" s="8"/>
      <c r="C155" s="9" t="str">
        <f>IFERROR(INDEX(tblEarningsRaw[EPS_Actual],MATCH($N155,tblEarningsRaw[Key],0)),"")</f>
        <v/>
      </c>
      <c r="D155" s="9" t="str">
        <f>IFERROR(INDEX(tblEarningsRaw[EPS_Estimate],MATCH($N155,tblEarningsRaw[Key],0)),"")</f>
        <v/>
      </c>
      <c r="E155" s="10" t="str">
        <f t="shared" si="32"/>
        <v/>
      </c>
      <c r="F155" s="8"/>
      <c r="G155" s="10" t="str">
        <f t="shared" si="33"/>
        <v/>
      </c>
      <c r="H155" s="10" t="str">
        <f t="shared" si="34"/>
        <v/>
      </c>
      <c r="I155" s="10" t="str">
        <f t="shared" si="35"/>
        <v/>
      </c>
      <c r="J155" s="11" t="str">
        <f t="shared" si="36"/>
        <v/>
      </c>
      <c r="K155" s="10" t="str">
        <f t="shared" si="37"/>
        <v/>
      </c>
      <c r="L155" s="12" t="str">
        <f t="shared" si="38"/>
        <v/>
      </c>
      <c r="M155" s="3"/>
      <c r="N155" s="11" t="str">
        <f t="shared" si="39"/>
        <v/>
      </c>
      <c r="O155" s="11" t="str">
        <f>IFERROR(INDEX(tblPricesRaw[Open],MATCH($N155,tblPricesRaw[Key],0)),"")</f>
        <v/>
      </c>
      <c r="P155" s="11" t="str">
        <f>IFERROR(INDEX(tblPricesRaw[High],MATCH($N155,tblPricesRaw[Key],0)),"")</f>
        <v/>
      </c>
      <c r="Q155" s="11" t="str">
        <f>IFERROR(INDEX(tblPricesRaw[Low],MATCH($N155,tblPricesRaw[Key],0)),"")</f>
        <v/>
      </c>
      <c r="R155" s="11" t="str">
        <f>IFERROR(INDEX(tblPricesRaw[Close],MATCH($N155,tblPricesRaw[Key],0)),"")</f>
        <v/>
      </c>
      <c r="S155" s="11" t="str">
        <f>IFERROR(INDEX(tblPricesRaw[PrevClose],MATCH($N155,tblPricesRaw[Key],0)),"")</f>
        <v/>
      </c>
    </row>
    <row r="156" spans="1:19" x14ac:dyDescent="0.3">
      <c r="A156" s="7"/>
      <c r="B156" s="8"/>
      <c r="C156" s="9" t="str">
        <f>IFERROR(INDEX(tblEarningsRaw[EPS_Actual],MATCH($N156,tblEarningsRaw[Key],0)),"")</f>
        <v/>
      </c>
      <c r="D156" s="9" t="str">
        <f>IFERROR(INDEX(tblEarningsRaw[EPS_Estimate],MATCH($N156,tblEarningsRaw[Key],0)),"")</f>
        <v/>
      </c>
      <c r="E156" s="10" t="str">
        <f t="shared" si="32"/>
        <v/>
      </c>
      <c r="F156" s="8"/>
      <c r="G156" s="10" t="str">
        <f t="shared" si="33"/>
        <v/>
      </c>
      <c r="H156" s="10" t="str">
        <f t="shared" si="34"/>
        <v/>
      </c>
      <c r="I156" s="10" t="str">
        <f t="shared" si="35"/>
        <v/>
      </c>
      <c r="J156" s="11" t="str">
        <f t="shared" si="36"/>
        <v/>
      </c>
      <c r="K156" s="10" t="str">
        <f t="shared" si="37"/>
        <v/>
      </c>
      <c r="L156" s="12" t="str">
        <f t="shared" si="38"/>
        <v/>
      </c>
      <c r="M156" s="3"/>
      <c r="N156" s="11" t="str">
        <f t="shared" si="39"/>
        <v/>
      </c>
      <c r="O156" s="11" t="str">
        <f>IFERROR(INDEX(tblPricesRaw[Open],MATCH($N156,tblPricesRaw[Key],0)),"")</f>
        <v/>
      </c>
      <c r="P156" s="11" t="str">
        <f>IFERROR(INDEX(tblPricesRaw[High],MATCH($N156,tblPricesRaw[Key],0)),"")</f>
        <v/>
      </c>
      <c r="Q156" s="11" t="str">
        <f>IFERROR(INDEX(tblPricesRaw[Low],MATCH($N156,tblPricesRaw[Key],0)),"")</f>
        <v/>
      </c>
      <c r="R156" s="11" t="str">
        <f>IFERROR(INDEX(tblPricesRaw[Close],MATCH($N156,tblPricesRaw[Key],0)),"")</f>
        <v/>
      </c>
      <c r="S156" s="11" t="str">
        <f>IFERROR(INDEX(tblPricesRaw[PrevClose],MATCH($N156,tblPricesRaw[Key],0)),"")</f>
        <v/>
      </c>
    </row>
    <row r="157" spans="1:19" x14ac:dyDescent="0.3">
      <c r="A157" s="7"/>
      <c r="B157" s="8"/>
      <c r="C157" s="9" t="str">
        <f>IFERROR(INDEX(tblEarningsRaw[EPS_Actual],MATCH($N157,tblEarningsRaw[Key],0)),"")</f>
        <v/>
      </c>
      <c r="D157" s="9" t="str">
        <f>IFERROR(INDEX(tblEarningsRaw[EPS_Estimate],MATCH($N157,tblEarningsRaw[Key],0)),"")</f>
        <v/>
      </c>
      <c r="E157" s="10" t="str">
        <f t="shared" si="32"/>
        <v/>
      </c>
      <c r="F157" s="8"/>
      <c r="G157" s="10" t="str">
        <f t="shared" si="33"/>
        <v/>
      </c>
      <c r="H157" s="10" t="str">
        <f t="shared" si="34"/>
        <v/>
      </c>
      <c r="I157" s="10" t="str">
        <f t="shared" si="35"/>
        <v/>
      </c>
      <c r="J157" s="11" t="str">
        <f t="shared" si="36"/>
        <v/>
      </c>
      <c r="K157" s="10" t="str">
        <f t="shared" si="37"/>
        <v/>
      </c>
      <c r="L157" s="12" t="str">
        <f t="shared" si="38"/>
        <v/>
      </c>
      <c r="M157" s="3"/>
      <c r="N157" s="11" t="str">
        <f t="shared" si="39"/>
        <v/>
      </c>
      <c r="O157" s="11" t="str">
        <f>IFERROR(INDEX(tblPricesRaw[Open],MATCH($N157,tblPricesRaw[Key],0)),"")</f>
        <v/>
      </c>
      <c r="P157" s="11" t="str">
        <f>IFERROR(INDEX(tblPricesRaw[High],MATCH($N157,tblPricesRaw[Key],0)),"")</f>
        <v/>
      </c>
      <c r="Q157" s="11" t="str">
        <f>IFERROR(INDEX(tblPricesRaw[Low],MATCH($N157,tblPricesRaw[Key],0)),"")</f>
        <v/>
      </c>
      <c r="R157" s="11" t="str">
        <f>IFERROR(INDEX(tblPricesRaw[Close],MATCH($N157,tblPricesRaw[Key],0)),"")</f>
        <v/>
      </c>
      <c r="S157" s="11" t="str">
        <f>IFERROR(INDEX(tblPricesRaw[PrevClose],MATCH($N157,tblPricesRaw[Key],0)),"")</f>
        <v/>
      </c>
    </row>
    <row r="158" spans="1:19" x14ac:dyDescent="0.3">
      <c r="A158" s="7"/>
      <c r="B158" s="8"/>
      <c r="C158" s="9" t="str">
        <f>IFERROR(INDEX(tblEarningsRaw[EPS_Actual],MATCH($N158,tblEarningsRaw[Key],0)),"")</f>
        <v/>
      </c>
      <c r="D158" s="9" t="str">
        <f>IFERROR(INDEX(tblEarningsRaw[EPS_Estimate],MATCH($N158,tblEarningsRaw[Key],0)),"")</f>
        <v/>
      </c>
      <c r="E158" s="10" t="str">
        <f t="shared" si="32"/>
        <v/>
      </c>
      <c r="F158" s="8"/>
      <c r="G158" s="10" t="str">
        <f t="shared" si="33"/>
        <v/>
      </c>
      <c r="H158" s="10" t="str">
        <f t="shared" si="34"/>
        <v/>
      </c>
      <c r="I158" s="10" t="str">
        <f t="shared" si="35"/>
        <v/>
      </c>
      <c r="J158" s="11" t="str">
        <f t="shared" si="36"/>
        <v/>
      </c>
      <c r="K158" s="10" t="str">
        <f t="shared" si="37"/>
        <v/>
      </c>
      <c r="L158" s="12" t="str">
        <f t="shared" si="38"/>
        <v/>
      </c>
      <c r="M158" s="3"/>
      <c r="N158" s="11" t="str">
        <f t="shared" si="39"/>
        <v/>
      </c>
      <c r="O158" s="11" t="str">
        <f>IFERROR(INDEX(tblPricesRaw[Open],MATCH($N158,tblPricesRaw[Key],0)),"")</f>
        <v/>
      </c>
      <c r="P158" s="11" t="str">
        <f>IFERROR(INDEX(tblPricesRaw[High],MATCH($N158,tblPricesRaw[Key],0)),"")</f>
        <v/>
      </c>
      <c r="Q158" s="11" t="str">
        <f>IFERROR(INDEX(tblPricesRaw[Low],MATCH($N158,tblPricesRaw[Key],0)),"")</f>
        <v/>
      </c>
      <c r="R158" s="11" t="str">
        <f>IFERROR(INDEX(tblPricesRaw[Close],MATCH($N158,tblPricesRaw[Key],0)),"")</f>
        <v/>
      </c>
      <c r="S158" s="11" t="str">
        <f>IFERROR(INDEX(tblPricesRaw[PrevClose],MATCH($N158,tblPricesRaw[Key],0)),"")</f>
        <v/>
      </c>
    </row>
    <row r="159" spans="1:19" x14ac:dyDescent="0.3">
      <c r="A159" s="7"/>
      <c r="B159" s="8"/>
      <c r="C159" s="9" t="str">
        <f>IFERROR(INDEX(tblEarningsRaw[EPS_Actual],MATCH($N159,tblEarningsRaw[Key],0)),"")</f>
        <v/>
      </c>
      <c r="D159" s="9" t="str">
        <f>IFERROR(INDEX(tblEarningsRaw[EPS_Estimate],MATCH($N159,tblEarningsRaw[Key],0)),"")</f>
        <v/>
      </c>
      <c r="E159" s="10" t="str">
        <f t="shared" si="32"/>
        <v/>
      </c>
      <c r="F159" s="8"/>
      <c r="G159" s="10" t="str">
        <f t="shared" si="33"/>
        <v/>
      </c>
      <c r="H159" s="10" t="str">
        <f t="shared" si="34"/>
        <v/>
      </c>
      <c r="I159" s="10" t="str">
        <f t="shared" si="35"/>
        <v/>
      </c>
      <c r="J159" s="11" t="str">
        <f t="shared" si="36"/>
        <v/>
      </c>
      <c r="K159" s="10" t="str">
        <f t="shared" si="37"/>
        <v/>
      </c>
      <c r="L159" s="12" t="str">
        <f t="shared" si="38"/>
        <v/>
      </c>
      <c r="M159" s="3"/>
      <c r="N159" s="11" t="str">
        <f t="shared" si="39"/>
        <v/>
      </c>
      <c r="O159" s="11" t="str">
        <f>IFERROR(INDEX(tblPricesRaw[Open],MATCH($N159,tblPricesRaw[Key],0)),"")</f>
        <v/>
      </c>
      <c r="P159" s="11" t="str">
        <f>IFERROR(INDEX(tblPricesRaw[High],MATCH($N159,tblPricesRaw[Key],0)),"")</f>
        <v/>
      </c>
      <c r="Q159" s="11" t="str">
        <f>IFERROR(INDEX(tblPricesRaw[Low],MATCH($N159,tblPricesRaw[Key],0)),"")</f>
        <v/>
      </c>
      <c r="R159" s="11" t="str">
        <f>IFERROR(INDEX(tblPricesRaw[Close],MATCH($N159,tblPricesRaw[Key],0)),"")</f>
        <v/>
      </c>
      <c r="S159" s="11" t="str">
        <f>IFERROR(INDEX(tblPricesRaw[PrevClose],MATCH($N159,tblPricesRaw[Key],0)),"")</f>
        <v/>
      </c>
    </row>
    <row r="160" spans="1:19" x14ac:dyDescent="0.3">
      <c r="A160" s="7"/>
      <c r="B160" s="8"/>
      <c r="C160" s="9" t="str">
        <f>IFERROR(INDEX(tblEarningsRaw[EPS_Actual],MATCH($N160,tblEarningsRaw[Key],0)),"")</f>
        <v/>
      </c>
      <c r="D160" s="9" t="str">
        <f>IFERROR(INDEX(tblEarningsRaw[EPS_Estimate],MATCH($N160,tblEarningsRaw[Key],0)),"")</f>
        <v/>
      </c>
      <c r="E160" s="10" t="str">
        <f t="shared" si="32"/>
        <v/>
      </c>
      <c r="F160" s="8"/>
      <c r="G160" s="10" t="str">
        <f t="shared" si="33"/>
        <v/>
      </c>
      <c r="H160" s="10" t="str">
        <f t="shared" si="34"/>
        <v/>
      </c>
      <c r="I160" s="10" t="str">
        <f t="shared" si="35"/>
        <v/>
      </c>
      <c r="J160" s="11" t="str">
        <f t="shared" si="36"/>
        <v/>
      </c>
      <c r="K160" s="10" t="str">
        <f t="shared" si="37"/>
        <v/>
      </c>
      <c r="L160" s="12" t="str">
        <f t="shared" si="38"/>
        <v/>
      </c>
      <c r="M160" s="3"/>
      <c r="N160" s="11" t="str">
        <f t="shared" si="39"/>
        <v/>
      </c>
      <c r="O160" s="11" t="str">
        <f>IFERROR(INDEX(tblPricesRaw[Open],MATCH($N160,tblPricesRaw[Key],0)),"")</f>
        <v/>
      </c>
      <c r="P160" s="11" t="str">
        <f>IFERROR(INDEX(tblPricesRaw[High],MATCH($N160,tblPricesRaw[Key],0)),"")</f>
        <v/>
      </c>
      <c r="Q160" s="11" t="str">
        <f>IFERROR(INDEX(tblPricesRaw[Low],MATCH($N160,tblPricesRaw[Key],0)),"")</f>
        <v/>
      </c>
      <c r="R160" s="11" t="str">
        <f>IFERROR(INDEX(tblPricesRaw[Close],MATCH($N160,tblPricesRaw[Key],0)),"")</f>
        <v/>
      </c>
      <c r="S160" s="11" t="str">
        <f>IFERROR(INDEX(tblPricesRaw[PrevClose],MATCH($N160,tblPricesRaw[Key],0)),"")</f>
        <v/>
      </c>
    </row>
    <row r="161" spans="1:19" x14ac:dyDescent="0.3">
      <c r="A161" s="7"/>
      <c r="B161" s="8"/>
      <c r="C161" s="9" t="str">
        <f>IFERROR(INDEX(tblEarningsRaw[EPS_Actual],MATCH($N161,tblEarningsRaw[Key],0)),"")</f>
        <v/>
      </c>
      <c r="D161" s="9" t="str">
        <f>IFERROR(INDEX(tblEarningsRaw[EPS_Estimate],MATCH($N161,tblEarningsRaw[Key],0)),"")</f>
        <v/>
      </c>
      <c r="E161" s="10" t="str">
        <f t="shared" si="32"/>
        <v/>
      </c>
      <c r="F161" s="8"/>
      <c r="G161" s="10" t="str">
        <f t="shared" si="33"/>
        <v/>
      </c>
      <c r="H161" s="10" t="str">
        <f t="shared" si="34"/>
        <v/>
      </c>
      <c r="I161" s="10" t="str">
        <f t="shared" si="35"/>
        <v/>
      </c>
      <c r="J161" s="11" t="str">
        <f t="shared" si="36"/>
        <v/>
      </c>
      <c r="K161" s="10" t="str">
        <f t="shared" si="37"/>
        <v/>
      </c>
      <c r="L161" s="12" t="str">
        <f t="shared" si="38"/>
        <v/>
      </c>
      <c r="M161" s="3"/>
      <c r="N161" s="11" t="str">
        <f t="shared" si="39"/>
        <v/>
      </c>
      <c r="O161" s="11" t="str">
        <f>IFERROR(INDEX(tblPricesRaw[Open],MATCH($N161,tblPricesRaw[Key],0)),"")</f>
        <v/>
      </c>
      <c r="P161" s="11" t="str">
        <f>IFERROR(INDEX(tblPricesRaw[High],MATCH($N161,tblPricesRaw[Key],0)),"")</f>
        <v/>
      </c>
      <c r="Q161" s="11" t="str">
        <f>IFERROR(INDEX(tblPricesRaw[Low],MATCH($N161,tblPricesRaw[Key],0)),"")</f>
        <v/>
      </c>
      <c r="R161" s="11" t="str">
        <f>IFERROR(INDEX(tblPricesRaw[Close],MATCH($N161,tblPricesRaw[Key],0)),"")</f>
        <v/>
      </c>
      <c r="S161" s="11" t="str">
        <f>IFERROR(INDEX(tblPricesRaw[PrevClose],MATCH($N161,tblPricesRaw[Key],0)),"")</f>
        <v/>
      </c>
    </row>
    <row r="162" spans="1:19" x14ac:dyDescent="0.3">
      <c r="A162" s="7"/>
      <c r="B162" s="8"/>
      <c r="C162" s="9" t="str">
        <f>IFERROR(INDEX(tblEarningsRaw[EPS_Actual],MATCH($N162,tblEarningsRaw[Key],0)),"")</f>
        <v/>
      </c>
      <c r="D162" s="9" t="str">
        <f>IFERROR(INDEX(tblEarningsRaw[EPS_Estimate],MATCH($N162,tblEarningsRaw[Key],0)),"")</f>
        <v/>
      </c>
      <c r="E162" s="10" t="str">
        <f t="shared" si="32"/>
        <v/>
      </c>
      <c r="F162" s="8"/>
      <c r="G162" s="10" t="str">
        <f t="shared" si="33"/>
        <v/>
      </c>
      <c r="H162" s="10" t="str">
        <f t="shared" si="34"/>
        <v/>
      </c>
      <c r="I162" s="10" t="str">
        <f t="shared" si="35"/>
        <v/>
      </c>
      <c r="J162" s="11" t="str">
        <f t="shared" si="36"/>
        <v/>
      </c>
      <c r="K162" s="10" t="str">
        <f t="shared" si="37"/>
        <v/>
      </c>
      <c r="L162" s="12" t="str">
        <f t="shared" si="38"/>
        <v/>
      </c>
      <c r="M162" s="3"/>
      <c r="N162" s="11" t="str">
        <f t="shared" si="39"/>
        <v/>
      </c>
      <c r="O162" s="11" t="str">
        <f>IFERROR(INDEX(tblPricesRaw[Open],MATCH($N162,tblPricesRaw[Key],0)),"")</f>
        <v/>
      </c>
      <c r="P162" s="11" t="str">
        <f>IFERROR(INDEX(tblPricesRaw[High],MATCH($N162,tblPricesRaw[Key],0)),"")</f>
        <v/>
      </c>
      <c r="Q162" s="11" t="str">
        <f>IFERROR(INDEX(tblPricesRaw[Low],MATCH($N162,tblPricesRaw[Key],0)),"")</f>
        <v/>
      </c>
      <c r="R162" s="11" t="str">
        <f>IFERROR(INDEX(tblPricesRaw[Close],MATCH($N162,tblPricesRaw[Key],0)),"")</f>
        <v/>
      </c>
      <c r="S162" s="11" t="str">
        <f>IFERROR(INDEX(tblPricesRaw[PrevClose],MATCH($N162,tblPricesRaw[Key],0)),"")</f>
        <v/>
      </c>
    </row>
    <row r="163" spans="1:19" x14ac:dyDescent="0.3">
      <c r="A163" s="7"/>
      <c r="B163" s="8"/>
      <c r="C163" s="9" t="str">
        <f>IFERROR(INDEX(tblEarningsRaw[EPS_Actual],MATCH($N163,tblEarningsRaw[Key],0)),"")</f>
        <v/>
      </c>
      <c r="D163" s="9" t="str">
        <f>IFERROR(INDEX(tblEarningsRaw[EPS_Estimate],MATCH($N163,tblEarningsRaw[Key],0)),"")</f>
        <v/>
      </c>
      <c r="E163" s="10" t="str">
        <f t="shared" si="32"/>
        <v/>
      </c>
      <c r="F163" s="8"/>
      <c r="G163" s="10" t="str">
        <f t="shared" si="33"/>
        <v/>
      </c>
      <c r="H163" s="10" t="str">
        <f t="shared" si="34"/>
        <v/>
      </c>
      <c r="I163" s="10" t="str">
        <f t="shared" si="35"/>
        <v/>
      </c>
      <c r="J163" s="11" t="str">
        <f t="shared" si="36"/>
        <v/>
      </c>
      <c r="K163" s="10" t="str">
        <f t="shared" si="37"/>
        <v/>
      </c>
      <c r="L163" s="12" t="str">
        <f t="shared" si="38"/>
        <v/>
      </c>
      <c r="M163" s="3"/>
      <c r="N163" s="11" t="str">
        <f t="shared" si="39"/>
        <v/>
      </c>
      <c r="O163" s="11" t="str">
        <f>IFERROR(INDEX(tblPricesRaw[Open],MATCH($N163,tblPricesRaw[Key],0)),"")</f>
        <v/>
      </c>
      <c r="P163" s="11" t="str">
        <f>IFERROR(INDEX(tblPricesRaw[High],MATCH($N163,tblPricesRaw[Key],0)),"")</f>
        <v/>
      </c>
      <c r="Q163" s="11" t="str">
        <f>IFERROR(INDEX(tblPricesRaw[Low],MATCH($N163,tblPricesRaw[Key],0)),"")</f>
        <v/>
      </c>
      <c r="R163" s="11" t="str">
        <f>IFERROR(INDEX(tblPricesRaw[Close],MATCH($N163,tblPricesRaw[Key],0)),"")</f>
        <v/>
      </c>
      <c r="S163" s="11" t="str">
        <f>IFERROR(INDEX(tblPricesRaw[PrevClose],MATCH($N163,tblPricesRaw[Key],0)),"")</f>
        <v/>
      </c>
    </row>
    <row r="164" spans="1:19" x14ac:dyDescent="0.3">
      <c r="A164" s="7"/>
      <c r="B164" s="8"/>
      <c r="C164" s="9" t="str">
        <f>IFERROR(INDEX(tblEarningsRaw[EPS_Actual],MATCH($N164,tblEarningsRaw[Key],0)),"")</f>
        <v/>
      </c>
      <c r="D164" s="9" t="str">
        <f>IFERROR(INDEX(tblEarningsRaw[EPS_Estimate],MATCH($N164,tblEarningsRaw[Key],0)),"")</f>
        <v/>
      </c>
      <c r="E164" s="10" t="str">
        <f t="shared" si="32"/>
        <v/>
      </c>
      <c r="F164" s="8"/>
      <c r="G164" s="10" t="str">
        <f t="shared" si="33"/>
        <v/>
      </c>
      <c r="H164" s="10" t="str">
        <f t="shared" si="34"/>
        <v/>
      </c>
      <c r="I164" s="10" t="str">
        <f t="shared" si="35"/>
        <v/>
      </c>
      <c r="J164" s="11" t="str">
        <f t="shared" si="36"/>
        <v/>
      </c>
      <c r="K164" s="10" t="str">
        <f t="shared" si="37"/>
        <v/>
      </c>
      <c r="L164" s="12" t="str">
        <f t="shared" si="38"/>
        <v/>
      </c>
      <c r="M164" s="3"/>
      <c r="N164" s="11" t="str">
        <f t="shared" si="39"/>
        <v/>
      </c>
      <c r="O164" s="11" t="str">
        <f>IFERROR(INDEX(tblPricesRaw[Open],MATCH($N164,tblPricesRaw[Key],0)),"")</f>
        <v/>
      </c>
      <c r="P164" s="11" t="str">
        <f>IFERROR(INDEX(tblPricesRaw[High],MATCH($N164,tblPricesRaw[Key],0)),"")</f>
        <v/>
      </c>
      <c r="Q164" s="11" t="str">
        <f>IFERROR(INDEX(tblPricesRaw[Low],MATCH($N164,tblPricesRaw[Key],0)),"")</f>
        <v/>
      </c>
      <c r="R164" s="11" t="str">
        <f>IFERROR(INDEX(tblPricesRaw[Close],MATCH($N164,tblPricesRaw[Key],0)),"")</f>
        <v/>
      </c>
      <c r="S164" s="11" t="str">
        <f>IFERROR(INDEX(tblPricesRaw[PrevClose],MATCH($N164,tblPricesRaw[Key],0)),"")</f>
        <v/>
      </c>
    </row>
    <row r="165" spans="1:19" x14ac:dyDescent="0.3">
      <c r="A165" s="7"/>
      <c r="B165" s="8"/>
      <c r="C165" s="9" t="str">
        <f>IFERROR(INDEX(tblEarningsRaw[EPS_Actual],MATCH($N165,tblEarningsRaw[Key],0)),"")</f>
        <v/>
      </c>
      <c r="D165" s="9" t="str">
        <f>IFERROR(INDEX(tblEarningsRaw[EPS_Estimate],MATCH($N165,tblEarningsRaw[Key],0)),"")</f>
        <v/>
      </c>
      <c r="E165" s="10" t="str">
        <f t="shared" ref="E165:E196" si="40">IF(AND(C165&lt;&gt;"",D165&lt;&gt;""), (C165-D165)/ABS(D165), "")</f>
        <v/>
      </c>
      <c r="F165" s="8"/>
      <c r="G165" s="10" t="str">
        <f t="shared" ref="G165:G196" si="41">IF(AND($O165&lt;&gt;"",$S165&lt;&gt;""), ($O165-$S165)/$S165, "")</f>
        <v/>
      </c>
      <c r="H165" s="10" t="str">
        <f t="shared" ref="H165:H196" si="42">IF(AND($R165&lt;&gt;"",$S165&lt;&gt;""), ($R165-$S165)/$S165, "")</f>
        <v/>
      </c>
      <c r="I165" s="10" t="str">
        <f t="shared" ref="I165:I196" si="43">IF(AND($P165&lt;&gt;"",$Q165&lt;&gt;"",$S165&lt;&gt;""), ($P165-$Q165)/$S165, "")</f>
        <v/>
      </c>
      <c r="J165" s="11" t="str">
        <f t="shared" ref="J165:J196" si="44">IF(OR(E165="",H165=""),"",IF(AND(E165&gt;0,H165&gt;0),"利好确认",IF(AND(E165&gt;0,H165&lt;=0),"利好不涨",IF(AND(E165&lt;0,H165&lt;0),"利空确认",IF(AND(E165&lt;0,H165&gt;=0),"利空不跌","中性")))))</f>
        <v/>
      </c>
      <c r="K165" s="10" t="str">
        <f t="shared" ref="K165:K196" si="45">IF(A165="", "", IFERROR(COUNTIFS($A$5:$A$204,A165,$H$5:$H$204,"&gt;0")/COUNTIF($A$5:$A$204,A165),""))</f>
        <v/>
      </c>
      <c r="L165" s="12" t="str">
        <f t="shared" ref="L165:L196" si="46">IF(A165="", "", IF(E165&gt;0.05,1,0) + IF(F165=1,1,0) + IF(H165&gt;0.03,1,0) - IF(J165="利好不涨",2,0) + IF(J165="利空不跌",2,0))</f>
        <v/>
      </c>
      <c r="M165" s="3"/>
      <c r="N165" s="11" t="str">
        <f t="shared" ref="N165:N196" si="47">IF(AND(A165&lt;&gt;"",B165&lt;&gt;""),B165&amp;"|"&amp;TEXT(A165,"yyyy-mm-dd"),"")</f>
        <v/>
      </c>
      <c r="O165" s="11" t="str">
        <f>IFERROR(INDEX(tblPricesRaw[Open],MATCH($N165,tblPricesRaw[Key],0)),"")</f>
        <v/>
      </c>
      <c r="P165" s="11" t="str">
        <f>IFERROR(INDEX(tblPricesRaw[High],MATCH($N165,tblPricesRaw[Key],0)),"")</f>
        <v/>
      </c>
      <c r="Q165" s="11" t="str">
        <f>IFERROR(INDEX(tblPricesRaw[Low],MATCH($N165,tblPricesRaw[Key],0)),"")</f>
        <v/>
      </c>
      <c r="R165" s="11" t="str">
        <f>IFERROR(INDEX(tblPricesRaw[Close],MATCH($N165,tblPricesRaw[Key],0)),"")</f>
        <v/>
      </c>
      <c r="S165" s="11" t="str">
        <f>IFERROR(INDEX(tblPricesRaw[PrevClose],MATCH($N165,tblPricesRaw[Key],0)),"")</f>
        <v/>
      </c>
    </row>
    <row r="166" spans="1:19" x14ac:dyDescent="0.3">
      <c r="A166" s="7"/>
      <c r="B166" s="8"/>
      <c r="C166" s="9" t="str">
        <f>IFERROR(INDEX(tblEarningsRaw[EPS_Actual],MATCH($N166,tblEarningsRaw[Key],0)),"")</f>
        <v/>
      </c>
      <c r="D166" s="9" t="str">
        <f>IFERROR(INDEX(tblEarningsRaw[EPS_Estimate],MATCH($N166,tblEarningsRaw[Key],0)),"")</f>
        <v/>
      </c>
      <c r="E166" s="10" t="str">
        <f t="shared" si="40"/>
        <v/>
      </c>
      <c r="F166" s="8"/>
      <c r="G166" s="10" t="str">
        <f t="shared" si="41"/>
        <v/>
      </c>
      <c r="H166" s="10" t="str">
        <f t="shared" si="42"/>
        <v/>
      </c>
      <c r="I166" s="10" t="str">
        <f t="shared" si="43"/>
        <v/>
      </c>
      <c r="J166" s="11" t="str">
        <f t="shared" si="44"/>
        <v/>
      </c>
      <c r="K166" s="10" t="str">
        <f t="shared" si="45"/>
        <v/>
      </c>
      <c r="L166" s="12" t="str">
        <f t="shared" si="46"/>
        <v/>
      </c>
      <c r="M166" s="3"/>
      <c r="N166" s="11" t="str">
        <f t="shared" si="47"/>
        <v/>
      </c>
      <c r="O166" s="11" t="str">
        <f>IFERROR(INDEX(tblPricesRaw[Open],MATCH($N166,tblPricesRaw[Key],0)),"")</f>
        <v/>
      </c>
      <c r="P166" s="11" t="str">
        <f>IFERROR(INDEX(tblPricesRaw[High],MATCH($N166,tblPricesRaw[Key],0)),"")</f>
        <v/>
      </c>
      <c r="Q166" s="11" t="str">
        <f>IFERROR(INDEX(tblPricesRaw[Low],MATCH($N166,tblPricesRaw[Key],0)),"")</f>
        <v/>
      </c>
      <c r="R166" s="11" t="str">
        <f>IFERROR(INDEX(tblPricesRaw[Close],MATCH($N166,tblPricesRaw[Key],0)),"")</f>
        <v/>
      </c>
      <c r="S166" s="11" t="str">
        <f>IFERROR(INDEX(tblPricesRaw[PrevClose],MATCH($N166,tblPricesRaw[Key],0)),"")</f>
        <v/>
      </c>
    </row>
    <row r="167" spans="1:19" x14ac:dyDescent="0.3">
      <c r="A167" s="7"/>
      <c r="B167" s="8"/>
      <c r="C167" s="9" t="str">
        <f>IFERROR(INDEX(tblEarningsRaw[EPS_Actual],MATCH($N167,tblEarningsRaw[Key],0)),"")</f>
        <v/>
      </c>
      <c r="D167" s="9" t="str">
        <f>IFERROR(INDEX(tblEarningsRaw[EPS_Estimate],MATCH($N167,tblEarningsRaw[Key],0)),"")</f>
        <v/>
      </c>
      <c r="E167" s="10" t="str">
        <f t="shared" si="40"/>
        <v/>
      </c>
      <c r="F167" s="8"/>
      <c r="G167" s="10" t="str">
        <f t="shared" si="41"/>
        <v/>
      </c>
      <c r="H167" s="10" t="str">
        <f t="shared" si="42"/>
        <v/>
      </c>
      <c r="I167" s="10" t="str">
        <f t="shared" si="43"/>
        <v/>
      </c>
      <c r="J167" s="11" t="str">
        <f t="shared" si="44"/>
        <v/>
      </c>
      <c r="K167" s="10" t="str">
        <f t="shared" si="45"/>
        <v/>
      </c>
      <c r="L167" s="12" t="str">
        <f t="shared" si="46"/>
        <v/>
      </c>
      <c r="M167" s="3"/>
      <c r="N167" s="11" t="str">
        <f t="shared" si="47"/>
        <v/>
      </c>
      <c r="O167" s="11" t="str">
        <f>IFERROR(INDEX(tblPricesRaw[Open],MATCH($N167,tblPricesRaw[Key],0)),"")</f>
        <v/>
      </c>
      <c r="P167" s="11" t="str">
        <f>IFERROR(INDEX(tblPricesRaw[High],MATCH($N167,tblPricesRaw[Key],0)),"")</f>
        <v/>
      </c>
      <c r="Q167" s="11" t="str">
        <f>IFERROR(INDEX(tblPricesRaw[Low],MATCH($N167,tblPricesRaw[Key],0)),"")</f>
        <v/>
      </c>
      <c r="R167" s="11" t="str">
        <f>IFERROR(INDEX(tblPricesRaw[Close],MATCH($N167,tblPricesRaw[Key],0)),"")</f>
        <v/>
      </c>
      <c r="S167" s="11" t="str">
        <f>IFERROR(INDEX(tblPricesRaw[PrevClose],MATCH($N167,tblPricesRaw[Key],0)),"")</f>
        <v/>
      </c>
    </row>
    <row r="168" spans="1:19" x14ac:dyDescent="0.3">
      <c r="A168" s="7"/>
      <c r="B168" s="8"/>
      <c r="C168" s="9" t="str">
        <f>IFERROR(INDEX(tblEarningsRaw[EPS_Actual],MATCH($N168,tblEarningsRaw[Key],0)),"")</f>
        <v/>
      </c>
      <c r="D168" s="9" t="str">
        <f>IFERROR(INDEX(tblEarningsRaw[EPS_Estimate],MATCH($N168,tblEarningsRaw[Key],0)),"")</f>
        <v/>
      </c>
      <c r="E168" s="10" t="str">
        <f t="shared" si="40"/>
        <v/>
      </c>
      <c r="F168" s="8"/>
      <c r="G168" s="10" t="str">
        <f t="shared" si="41"/>
        <v/>
      </c>
      <c r="H168" s="10" t="str">
        <f t="shared" si="42"/>
        <v/>
      </c>
      <c r="I168" s="10" t="str">
        <f t="shared" si="43"/>
        <v/>
      </c>
      <c r="J168" s="11" t="str">
        <f t="shared" si="44"/>
        <v/>
      </c>
      <c r="K168" s="10" t="str">
        <f t="shared" si="45"/>
        <v/>
      </c>
      <c r="L168" s="12" t="str">
        <f t="shared" si="46"/>
        <v/>
      </c>
      <c r="M168" s="3"/>
      <c r="N168" s="11" t="str">
        <f t="shared" si="47"/>
        <v/>
      </c>
      <c r="O168" s="11" t="str">
        <f>IFERROR(INDEX(tblPricesRaw[Open],MATCH($N168,tblPricesRaw[Key],0)),"")</f>
        <v/>
      </c>
      <c r="P168" s="11" t="str">
        <f>IFERROR(INDEX(tblPricesRaw[High],MATCH($N168,tblPricesRaw[Key],0)),"")</f>
        <v/>
      </c>
      <c r="Q168" s="11" t="str">
        <f>IFERROR(INDEX(tblPricesRaw[Low],MATCH($N168,tblPricesRaw[Key],0)),"")</f>
        <v/>
      </c>
      <c r="R168" s="11" t="str">
        <f>IFERROR(INDEX(tblPricesRaw[Close],MATCH($N168,tblPricesRaw[Key],0)),"")</f>
        <v/>
      </c>
      <c r="S168" s="11" t="str">
        <f>IFERROR(INDEX(tblPricesRaw[PrevClose],MATCH($N168,tblPricesRaw[Key],0)),"")</f>
        <v/>
      </c>
    </row>
    <row r="169" spans="1:19" x14ac:dyDescent="0.3">
      <c r="A169" s="7"/>
      <c r="B169" s="8"/>
      <c r="C169" s="9" t="str">
        <f>IFERROR(INDEX(tblEarningsRaw[EPS_Actual],MATCH($N169,tblEarningsRaw[Key],0)),"")</f>
        <v/>
      </c>
      <c r="D169" s="9" t="str">
        <f>IFERROR(INDEX(tblEarningsRaw[EPS_Estimate],MATCH($N169,tblEarningsRaw[Key],0)),"")</f>
        <v/>
      </c>
      <c r="E169" s="10" t="str">
        <f t="shared" si="40"/>
        <v/>
      </c>
      <c r="F169" s="8"/>
      <c r="G169" s="10" t="str">
        <f t="shared" si="41"/>
        <v/>
      </c>
      <c r="H169" s="10" t="str">
        <f t="shared" si="42"/>
        <v/>
      </c>
      <c r="I169" s="10" t="str">
        <f t="shared" si="43"/>
        <v/>
      </c>
      <c r="J169" s="11" t="str">
        <f t="shared" si="44"/>
        <v/>
      </c>
      <c r="K169" s="10" t="str">
        <f t="shared" si="45"/>
        <v/>
      </c>
      <c r="L169" s="12" t="str">
        <f t="shared" si="46"/>
        <v/>
      </c>
      <c r="M169" s="3"/>
      <c r="N169" s="11" t="str">
        <f t="shared" si="47"/>
        <v/>
      </c>
      <c r="O169" s="11" t="str">
        <f>IFERROR(INDEX(tblPricesRaw[Open],MATCH($N169,tblPricesRaw[Key],0)),"")</f>
        <v/>
      </c>
      <c r="P169" s="11" t="str">
        <f>IFERROR(INDEX(tblPricesRaw[High],MATCH($N169,tblPricesRaw[Key],0)),"")</f>
        <v/>
      </c>
      <c r="Q169" s="11" t="str">
        <f>IFERROR(INDEX(tblPricesRaw[Low],MATCH($N169,tblPricesRaw[Key],0)),"")</f>
        <v/>
      </c>
      <c r="R169" s="11" t="str">
        <f>IFERROR(INDEX(tblPricesRaw[Close],MATCH($N169,tblPricesRaw[Key],0)),"")</f>
        <v/>
      </c>
      <c r="S169" s="11" t="str">
        <f>IFERROR(INDEX(tblPricesRaw[PrevClose],MATCH($N169,tblPricesRaw[Key],0)),"")</f>
        <v/>
      </c>
    </row>
    <row r="170" spans="1:19" x14ac:dyDescent="0.3">
      <c r="A170" s="7"/>
      <c r="B170" s="8"/>
      <c r="C170" s="9" t="str">
        <f>IFERROR(INDEX(tblEarningsRaw[EPS_Actual],MATCH($N170,tblEarningsRaw[Key],0)),"")</f>
        <v/>
      </c>
      <c r="D170" s="9" t="str">
        <f>IFERROR(INDEX(tblEarningsRaw[EPS_Estimate],MATCH($N170,tblEarningsRaw[Key],0)),"")</f>
        <v/>
      </c>
      <c r="E170" s="10" t="str">
        <f t="shared" si="40"/>
        <v/>
      </c>
      <c r="F170" s="8"/>
      <c r="G170" s="10" t="str">
        <f t="shared" si="41"/>
        <v/>
      </c>
      <c r="H170" s="10" t="str">
        <f t="shared" si="42"/>
        <v/>
      </c>
      <c r="I170" s="10" t="str">
        <f t="shared" si="43"/>
        <v/>
      </c>
      <c r="J170" s="11" t="str">
        <f t="shared" si="44"/>
        <v/>
      </c>
      <c r="K170" s="10" t="str">
        <f t="shared" si="45"/>
        <v/>
      </c>
      <c r="L170" s="12" t="str">
        <f t="shared" si="46"/>
        <v/>
      </c>
      <c r="M170" s="3"/>
      <c r="N170" s="11" t="str">
        <f t="shared" si="47"/>
        <v/>
      </c>
      <c r="O170" s="11" t="str">
        <f>IFERROR(INDEX(tblPricesRaw[Open],MATCH($N170,tblPricesRaw[Key],0)),"")</f>
        <v/>
      </c>
      <c r="P170" s="11" t="str">
        <f>IFERROR(INDEX(tblPricesRaw[High],MATCH($N170,tblPricesRaw[Key],0)),"")</f>
        <v/>
      </c>
      <c r="Q170" s="11" t="str">
        <f>IFERROR(INDEX(tblPricesRaw[Low],MATCH($N170,tblPricesRaw[Key],0)),"")</f>
        <v/>
      </c>
      <c r="R170" s="11" t="str">
        <f>IFERROR(INDEX(tblPricesRaw[Close],MATCH($N170,tblPricesRaw[Key],0)),"")</f>
        <v/>
      </c>
      <c r="S170" s="11" t="str">
        <f>IFERROR(INDEX(tblPricesRaw[PrevClose],MATCH($N170,tblPricesRaw[Key],0)),"")</f>
        <v/>
      </c>
    </row>
    <row r="171" spans="1:19" x14ac:dyDescent="0.3">
      <c r="A171" s="7"/>
      <c r="B171" s="8"/>
      <c r="C171" s="9" t="str">
        <f>IFERROR(INDEX(tblEarningsRaw[EPS_Actual],MATCH($N171,tblEarningsRaw[Key],0)),"")</f>
        <v/>
      </c>
      <c r="D171" s="9" t="str">
        <f>IFERROR(INDEX(tblEarningsRaw[EPS_Estimate],MATCH($N171,tblEarningsRaw[Key],0)),"")</f>
        <v/>
      </c>
      <c r="E171" s="10" t="str">
        <f t="shared" si="40"/>
        <v/>
      </c>
      <c r="F171" s="8"/>
      <c r="G171" s="10" t="str">
        <f t="shared" si="41"/>
        <v/>
      </c>
      <c r="H171" s="10" t="str">
        <f t="shared" si="42"/>
        <v/>
      </c>
      <c r="I171" s="10" t="str">
        <f t="shared" si="43"/>
        <v/>
      </c>
      <c r="J171" s="11" t="str">
        <f t="shared" si="44"/>
        <v/>
      </c>
      <c r="K171" s="10" t="str">
        <f t="shared" si="45"/>
        <v/>
      </c>
      <c r="L171" s="12" t="str">
        <f t="shared" si="46"/>
        <v/>
      </c>
      <c r="M171" s="3"/>
      <c r="N171" s="11" t="str">
        <f t="shared" si="47"/>
        <v/>
      </c>
      <c r="O171" s="11" t="str">
        <f>IFERROR(INDEX(tblPricesRaw[Open],MATCH($N171,tblPricesRaw[Key],0)),"")</f>
        <v/>
      </c>
      <c r="P171" s="11" t="str">
        <f>IFERROR(INDEX(tblPricesRaw[High],MATCH($N171,tblPricesRaw[Key],0)),"")</f>
        <v/>
      </c>
      <c r="Q171" s="11" t="str">
        <f>IFERROR(INDEX(tblPricesRaw[Low],MATCH($N171,tblPricesRaw[Key],0)),"")</f>
        <v/>
      </c>
      <c r="R171" s="11" t="str">
        <f>IFERROR(INDEX(tblPricesRaw[Close],MATCH($N171,tblPricesRaw[Key],0)),"")</f>
        <v/>
      </c>
      <c r="S171" s="11" t="str">
        <f>IFERROR(INDEX(tblPricesRaw[PrevClose],MATCH($N171,tblPricesRaw[Key],0)),"")</f>
        <v/>
      </c>
    </row>
    <row r="172" spans="1:19" x14ac:dyDescent="0.3">
      <c r="A172" s="7"/>
      <c r="B172" s="8"/>
      <c r="C172" s="9" t="str">
        <f>IFERROR(INDEX(tblEarningsRaw[EPS_Actual],MATCH($N172,tblEarningsRaw[Key],0)),"")</f>
        <v/>
      </c>
      <c r="D172" s="9" t="str">
        <f>IFERROR(INDEX(tblEarningsRaw[EPS_Estimate],MATCH($N172,tblEarningsRaw[Key],0)),"")</f>
        <v/>
      </c>
      <c r="E172" s="10" t="str">
        <f t="shared" si="40"/>
        <v/>
      </c>
      <c r="F172" s="8"/>
      <c r="G172" s="10" t="str">
        <f t="shared" si="41"/>
        <v/>
      </c>
      <c r="H172" s="10" t="str">
        <f t="shared" si="42"/>
        <v/>
      </c>
      <c r="I172" s="10" t="str">
        <f t="shared" si="43"/>
        <v/>
      </c>
      <c r="J172" s="11" t="str">
        <f t="shared" si="44"/>
        <v/>
      </c>
      <c r="K172" s="10" t="str">
        <f t="shared" si="45"/>
        <v/>
      </c>
      <c r="L172" s="12" t="str">
        <f t="shared" si="46"/>
        <v/>
      </c>
      <c r="M172" s="3"/>
      <c r="N172" s="11" t="str">
        <f t="shared" si="47"/>
        <v/>
      </c>
      <c r="O172" s="11" t="str">
        <f>IFERROR(INDEX(tblPricesRaw[Open],MATCH($N172,tblPricesRaw[Key],0)),"")</f>
        <v/>
      </c>
      <c r="P172" s="11" t="str">
        <f>IFERROR(INDEX(tblPricesRaw[High],MATCH($N172,tblPricesRaw[Key],0)),"")</f>
        <v/>
      </c>
      <c r="Q172" s="11" t="str">
        <f>IFERROR(INDEX(tblPricesRaw[Low],MATCH($N172,tblPricesRaw[Key],0)),"")</f>
        <v/>
      </c>
      <c r="R172" s="11" t="str">
        <f>IFERROR(INDEX(tblPricesRaw[Close],MATCH($N172,tblPricesRaw[Key],0)),"")</f>
        <v/>
      </c>
      <c r="S172" s="11" t="str">
        <f>IFERROR(INDEX(tblPricesRaw[PrevClose],MATCH($N172,tblPricesRaw[Key],0)),"")</f>
        <v/>
      </c>
    </row>
    <row r="173" spans="1:19" x14ac:dyDescent="0.3">
      <c r="A173" s="7"/>
      <c r="B173" s="8"/>
      <c r="C173" s="9" t="str">
        <f>IFERROR(INDEX(tblEarningsRaw[EPS_Actual],MATCH($N173,tblEarningsRaw[Key],0)),"")</f>
        <v/>
      </c>
      <c r="D173" s="9" t="str">
        <f>IFERROR(INDEX(tblEarningsRaw[EPS_Estimate],MATCH($N173,tblEarningsRaw[Key],0)),"")</f>
        <v/>
      </c>
      <c r="E173" s="10" t="str">
        <f t="shared" si="40"/>
        <v/>
      </c>
      <c r="F173" s="8"/>
      <c r="G173" s="10" t="str">
        <f t="shared" si="41"/>
        <v/>
      </c>
      <c r="H173" s="10" t="str">
        <f t="shared" si="42"/>
        <v/>
      </c>
      <c r="I173" s="10" t="str">
        <f t="shared" si="43"/>
        <v/>
      </c>
      <c r="J173" s="11" t="str">
        <f t="shared" si="44"/>
        <v/>
      </c>
      <c r="K173" s="10" t="str">
        <f t="shared" si="45"/>
        <v/>
      </c>
      <c r="L173" s="12" t="str">
        <f t="shared" si="46"/>
        <v/>
      </c>
      <c r="M173" s="3"/>
      <c r="N173" s="11" t="str">
        <f t="shared" si="47"/>
        <v/>
      </c>
      <c r="O173" s="11" t="str">
        <f>IFERROR(INDEX(tblPricesRaw[Open],MATCH($N173,tblPricesRaw[Key],0)),"")</f>
        <v/>
      </c>
      <c r="P173" s="11" t="str">
        <f>IFERROR(INDEX(tblPricesRaw[High],MATCH($N173,tblPricesRaw[Key],0)),"")</f>
        <v/>
      </c>
      <c r="Q173" s="11" t="str">
        <f>IFERROR(INDEX(tblPricesRaw[Low],MATCH($N173,tblPricesRaw[Key],0)),"")</f>
        <v/>
      </c>
      <c r="R173" s="11" t="str">
        <f>IFERROR(INDEX(tblPricesRaw[Close],MATCH($N173,tblPricesRaw[Key],0)),"")</f>
        <v/>
      </c>
      <c r="S173" s="11" t="str">
        <f>IFERROR(INDEX(tblPricesRaw[PrevClose],MATCH($N173,tblPricesRaw[Key],0)),"")</f>
        <v/>
      </c>
    </row>
    <row r="174" spans="1:19" x14ac:dyDescent="0.3">
      <c r="A174" s="7"/>
      <c r="B174" s="8"/>
      <c r="C174" s="9" t="str">
        <f>IFERROR(INDEX(tblEarningsRaw[EPS_Actual],MATCH($N174,tblEarningsRaw[Key],0)),"")</f>
        <v/>
      </c>
      <c r="D174" s="9" t="str">
        <f>IFERROR(INDEX(tblEarningsRaw[EPS_Estimate],MATCH($N174,tblEarningsRaw[Key],0)),"")</f>
        <v/>
      </c>
      <c r="E174" s="10" t="str">
        <f t="shared" si="40"/>
        <v/>
      </c>
      <c r="F174" s="8"/>
      <c r="G174" s="10" t="str">
        <f t="shared" si="41"/>
        <v/>
      </c>
      <c r="H174" s="10" t="str">
        <f t="shared" si="42"/>
        <v/>
      </c>
      <c r="I174" s="10" t="str">
        <f t="shared" si="43"/>
        <v/>
      </c>
      <c r="J174" s="11" t="str">
        <f t="shared" si="44"/>
        <v/>
      </c>
      <c r="K174" s="10" t="str">
        <f t="shared" si="45"/>
        <v/>
      </c>
      <c r="L174" s="12" t="str">
        <f t="shared" si="46"/>
        <v/>
      </c>
      <c r="M174" s="3"/>
      <c r="N174" s="11" t="str">
        <f t="shared" si="47"/>
        <v/>
      </c>
      <c r="O174" s="11" t="str">
        <f>IFERROR(INDEX(tblPricesRaw[Open],MATCH($N174,tblPricesRaw[Key],0)),"")</f>
        <v/>
      </c>
      <c r="P174" s="11" t="str">
        <f>IFERROR(INDEX(tblPricesRaw[High],MATCH($N174,tblPricesRaw[Key],0)),"")</f>
        <v/>
      </c>
      <c r="Q174" s="11" t="str">
        <f>IFERROR(INDEX(tblPricesRaw[Low],MATCH($N174,tblPricesRaw[Key],0)),"")</f>
        <v/>
      </c>
      <c r="R174" s="11" t="str">
        <f>IFERROR(INDEX(tblPricesRaw[Close],MATCH($N174,tblPricesRaw[Key],0)),"")</f>
        <v/>
      </c>
      <c r="S174" s="11" t="str">
        <f>IFERROR(INDEX(tblPricesRaw[PrevClose],MATCH($N174,tblPricesRaw[Key],0)),"")</f>
        <v/>
      </c>
    </row>
    <row r="175" spans="1:19" x14ac:dyDescent="0.3">
      <c r="A175" s="7"/>
      <c r="B175" s="8"/>
      <c r="C175" s="9" t="str">
        <f>IFERROR(INDEX(tblEarningsRaw[EPS_Actual],MATCH($N175,tblEarningsRaw[Key],0)),"")</f>
        <v/>
      </c>
      <c r="D175" s="9" t="str">
        <f>IFERROR(INDEX(tblEarningsRaw[EPS_Estimate],MATCH($N175,tblEarningsRaw[Key],0)),"")</f>
        <v/>
      </c>
      <c r="E175" s="10" t="str">
        <f t="shared" si="40"/>
        <v/>
      </c>
      <c r="F175" s="8"/>
      <c r="G175" s="10" t="str">
        <f t="shared" si="41"/>
        <v/>
      </c>
      <c r="H175" s="10" t="str">
        <f t="shared" si="42"/>
        <v/>
      </c>
      <c r="I175" s="10" t="str">
        <f t="shared" si="43"/>
        <v/>
      </c>
      <c r="J175" s="11" t="str">
        <f t="shared" si="44"/>
        <v/>
      </c>
      <c r="K175" s="10" t="str">
        <f t="shared" si="45"/>
        <v/>
      </c>
      <c r="L175" s="12" t="str">
        <f t="shared" si="46"/>
        <v/>
      </c>
      <c r="M175" s="3"/>
      <c r="N175" s="11" t="str">
        <f t="shared" si="47"/>
        <v/>
      </c>
      <c r="O175" s="11" t="str">
        <f>IFERROR(INDEX(tblPricesRaw[Open],MATCH($N175,tblPricesRaw[Key],0)),"")</f>
        <v/>
      </c>
      <c r="P175" s="11" t="str">
        <f>IFERROR(INDEX(tblPricesRaw[High],MATCH($N175,tblPricesRaw[Key],0)),"")</f>
        <v/>
      </c>
      <c r="Q175" s="11" t="str">
        <f>IFERROR(INDEX(tblPricesRaw[Low],MATCH($N175,tblPricesRaw[Key],0)),"")</f>
        <v/>
      </c>
      <c r="R175" s="11" t="str">
        <f>IFERROR(INDEX(tblPricesRaw[Close],MATCH($N175,tblPricesRaw[Key],0)),"")</f>
        <v/>
      </c>
      <c r="S175" s="11" t="str">
        <f>IFERROR(INDEX(tblPricesRaw[PrevClose],MATCH($N175,tblPricesRaw[Key],0)),"")</f>
        <v/>
      </c>
    </row>
    <row r="176" spans="1:19" x14ac:dyDescent="0.3">
      <c r="A176" s="7"/>
      <c r="B176" s="8"/>
      <c r="C176" s="9" t="str">
        <f>IFERROR(INDEX(tblEarningsRaw[EPS_Actual],MATCH($N176,tblEarningsRaw[Key],0)),"")</f>
        <v/>
      </c>
      <c r="D176" s="9" t="str">
        <f>IFERROR(INDEX(tblEarningsRaw[EPS_Estimate],MATCH($N176,tblEarningsRaw[Key],0)),"")</f>
        <v/>
      </c>
      <c r="E176" s="10" t="str">
        <f t="shared" si="40"/>
        <v/>
      </c>
      <c r="F176" s="8"/>
      <c r="G176" s="10" t="str">
        <f t="shared" si="41"/>
        <v/>
      </c>
      <c r="H176" s="10" t="str">
        <f t="shared" si="42"/>
        <v/>
      </c>
      <c r="I176" s="10" t="str">
        <f t="shared" si="43"/>
        <v/>
      </c>
      <c r="J176" s="11" t="str">
        <f t="shared" si="44"/>
        <v/>
      </c>
      <c r="K176" s="10" t="str">
        <f t="shared" si="45"/>
        <v/>
      </c>
      <c r="L176" s="12" t="str">
        <f t="shared" si="46"/>
        <v/>
      </c>
      <c r="M176" s="3"/>
      <c r="N176" s="11" t="str">
        <f t="shared" si="47"/>
        <v/>
      </c>
      <c r="O176" s="11" t="str">
        <f>IFERROR(INDEX(tblPricesRaw[Open],MATCH($N176,tblPricesRaw[Key],0)),"")</f>
        <v/>
      </c>
      <c r="P176" s="11" t="str">
        <f>IFERROR(INDEX(tblPricesRaw[High],MATCH($N176,tblPricesRaw[Key],0)),"")</f>
        <v/>
      </c>
      <c r="Q176" s="11" t="str">
        <f>IFERROR(INDEX(tblPricesRaw[Low],MATCH($N176,tblPricesRaw[Key],0)),"")</f>
        <v/>
      </c>
      <c r="R176" s="11" t="str">
        <f>IFERROR(INDEX(tblPricesRaw[Close],MATCH($N176,tblPricesRaw[Key],0)),"")</f>
        <v/>
      </c>
      <c r="S176" s="11" t="str">
        <f>IFERROR(INDEX(tblPricesRaw[PrevClose],MATCH($N176,tblPricesRaw[Key],0)),"")</f>
        <v/>
      </c>
    </row>
    <row r="177" spans="1:19" x14ac:dyDescent="0.3">
      <c r="A177" s="7"/>
      <c r="B177" s="8"/>
      <c r="C177" s="9" t="str">
        <f>IFERROR(INDEX(tblEarningsRaw[EPS_Actual],MATCH($N177,tblEarningsRaw[Key],0)),"")</f>
        <v/>
      </c>
      <c r="D177" s="9" t="str">
        <f>IFERROR(INDEX(tblEarningsRaw[EPS_Estimate],MATCH($N177,tblEarningsRaw[Key],0)),"")</f>
        <v/>
      </c>
      <c r="E177" s="10" t="str">
        <f t="shared" si="40"/>
        <v/>
      </c>
      <c r="F177" s="8"/>
      <c r="G177" s="10" t="str">
        <f t="shared" si="41"/>
        <v/>
      </c>
      <c r="H177" s="10" t="str">
        <f t="shared" si="42"/>
        <v/>
      </c>
      <c r="I177" s="10" t="str">
        <f t="shared" si="43"/>
        <v/>
      </c>
      <c r="J177" s="11" t="str">
        <f t="shared" si="44"/>
        <v/>
      </c>
      <c r="K177" s="10" t="str">
        <f t="shared" si="45"/>
        <v/>
      </c>
      <c r="L177" s="12" t="str">
        <f t="shared" si="46"/>
        <v/>
      </c>
      <c r="M177" s="3"/>
      <c r="N177" s="11" t="str">
        <f t="shared" si="47"/>
        <v/>
      </c>
      <c r="O177" s="11" t="str">
        <f>IFERROR(INDEX(tblPricesRaw[Open],MATCH($N177,tblPricesRaw[Key],0)),"")</f>
        <v/>
      </c>
      <c r="P177" s="11" t="str">
        <f>IFERROR(INDEX(tblPricesRaw[High],MATCH($N177,tblPricesRaw[Key],0)),"")</f>
        <v/>
      </c>
      <c r="Q177" s="11" t="str">
        <f>IFERROR(INDEX(tblPricesRaw[Low],MATCH($N177,tblPricesRaw[Key],0)),"")</f>
        <v/>
      </c>
      <c r="R177" s="11" t="str">
        <f>IFERROR(INDEX(tblPricesRaw[Close],MATCH($N177,tblPricesRaw[Key],0)),"")</f>
        <v/>
      </c>
      <c r="S177" s="11" t="str">
        <f>IFERROR(INDEX(tblPricesRaw[PrevClose],MATCH($N177,tblPricesRaw[Key],0)),"")</f>
        <v/>
      </c>
    </row>
    <row r="178" spans="1:19" x14ac:dyDescent="0.3">
      <c r="A178" s="7"/>
      <c r="B178" s="8"/>
      <c r="C178" s="9" t="str">
        <f>IFERROR(INDEX(tblEarningsRaw[EPS_Actual],MATCH($N178,tblEarningsRaw[Key],0)),"")</f>
        <v/>
      </c>
      <c r="D178" s="9" t="str">
        <f>IFERROR(INDEX(tblEarningsRaw[EPS_Estimate],MATCH($N178,tblEarningsRaw[Key],0)),"")</f>
        <v/>
      </c>
      <c r="E178" s="10" t="str">
        <f t="shared" si="40"/>
        <v/>
      </c>
      <c r="F178" s="8"/>
      <c r="G178" s="10" t="str">
        <f t="shared" si="41"/>
        <v/>
      </c>
      <c r="H178" s="10" t="str">
        <f t="shared" si="42"/>
        <v/>
      </c>
      <c r="I178" s="10" t="str">
        <f t="shared" si="43"/>
        <v/>
      </c>
      <c r="J178" s="11" t="str">
        <f t="shared" si="44"/>
        <v/>
      </c>
      <c r="K178" s="10" t="str">
        <f t="shared" si="45"/>
        <v/>
      </c>
      <c r="L178" s="12" t="str">
        <f t="shared" si="46"/>
        <v/>
      </c>
      <c r="M178" s="3"/>
      <c r="N178" s="11" t="str">
        <f t="shared" si="47"/>
        <v/>
      </c>
      <c r="O178" s="11" t="str">
        <f>IFERROR(INDEX(tblPricesRaw[Open],MATCH($N178,tblPricesRaw[Key],0)),"")</f>
        <v/>
      </c>
      <c r="P178" s="11" t="str">
        <f>IFERROR(INDEX(tblPricesRaw[High],MATCH($N178,tblPricesRaw[Key],0)),"")</f>
        <v/>
      </c>
      <c r="Q178" s="11" t="str">
        <f>IFERROR(INDEX(tblPricesRaw[Low],MATCH($N178,tblPricesRaw[Key],0)),"")</f>
        <v/>
      </c>
      <c r="R178" s="11" t="str">
        <f>IFERROR(INDEX(tblPricesRaw[Close],MATCH($N178,tblPricesRaw[Key],0)),"")</f>
        <v/>
      </c>
      <c r="S178" s="11" t="str">
        <f>IFERROR(INDEX(tblPricesRaw[PrevClose],MATCH($N178,tblPricesRaw[Key],0)),"")</f>
        <v/>
      </c>
    </row>
    <row r="179" spans="1:19" x14ac:dyDescent="0.3">
      <c r="A179" s="7"/>
      <c r="B179" s="8"/>
      <c r="C179" s="9" t="str">
        <f>IFERROR(INDEX(tblEarningsRaw[EPS_Actual],MATCH($N179,tblEarningsRaw[Key],0)),"")</f>
        <v/>
      </c>
      <c r="D179" s="9" t="str">
        <f>IFERROR(INDEX(tblEarningsRaw[EPS_Estimate],MATCH($N179,tblEarningsRaw[Key],0)),"")</f>
        <v/>
      </c>
      <c r="E179" s="10" t="str">
        <f t="shared" si="40"/>
        <v/>
      </c>
      <c r="F179" s="8"/>
      <c r="G179" s="10" t="str">
        <f t="shared" si="41"/>
        <v/>
      </c>
      <c r="H179" s="10" t="str">
        <f t="shared" si="42"/>
        <v/>
      </c>
      <c r="I179" s="10" t="str">
        <f t="shared" si="43"/>
        <v/>
      </c>
      <c r="J179" s="11" t="str">
        <f t="shared" si="44"/>
        <v/>
      </c>
      <c r="K179" s="10" t="str">
        <f t="shared" si="45"/>
        <v/>
      </c>
      <c r="L179" s="12" t="str">
        <f t="shared" si="46"/>
        <v/>
      </c>
      <c r="M179" s="3"/>
      <c r="N179" s="11" t="str">
        <f t="shared" si="47"/>
        <v/>
      </c>
      <c r="O179" s="11" t="str">
        <f>IFERROR(INDEX(tblPricesRaw[Open],MATCH($N179,tblPricesRaw[Key],0)),"")</f>
        <v/>
      </c>
      <c r="P179" s="11" t="str">
        <f>IFERROR(INDEX(tblPricesRaw[High],MATCH($N179,tblPricesRaw[Key],0)),"")</f>
        <v/>
      </c>
      <c r="Q179" s="11" t="str">
        <f>IFERROR(INDEX(tblPricesRaw[Low],MATCH($N179,tblPricesRaw[Key],0)),"")</f>
        <v/>
      </c>
      <c r="R179" s="11" t="str">
        <f>IFERROR(INDEX(tblPricesRaw[Close],MATCH($N179,tblPricesRaw[Key],0)),"")</f>
        <v/>
      </c>
      <c r="S179" s="11" t="str">
        <f>IFERROR(INDEX(tblPricesRaw[PrevClose],MATCH($N179,tblPricesRaw[Key],0)),"")</f>
        <v/>
      </c>
    </row>
    <row r="180" spans="1:19" x14ac:dyDescent="0.3">
      <c r="A180" s="7"/>
      <c r="B180" s="8"/>
      <c r="C180" s="9" t="str">
        <f>IFERROR(INDEX(tblEarningsRaw[EPS_Actual],MATCH($N180,tblEarningsRaw[Key],0)),"")</f>
        <v/>
      </c>
      <c r="D180" s="9" t="str">
        <f>IFERROR(INDEX(tblEarningsRaw[EPS_Estimate],MATCH($N180,tblEarningsRaw[Key],0)),"")</f>
        <v/>
      </c>
      <c r="E180" s="10" t="str">
        <f t="shared" si="40"/>
        <v/>
      </c>
      <c r="F180" s="8"/>
      <c r="G180" s="10" t="str">
        <f t="shared" si="41"/>
        <v/>
      </c>
      <c r="H180" s="10" t="str">
        <f t="shared" si="42"/>
        <v/>
      </c>
      <c r="I180" s="10" t="str">
        <f t="shared" si="43"/>
        <v/>
      </c>
      <c r="J180" s="11" t="str">
        <f t="shared" si="44"/>
        <v/>
      </c>
      <c r="K180" s="10" t="str">
        <f t="shared" si="45"/>
        <v/>
      </c>
      <c r="L180" s="12" t="str">
        <f t="shared" si="46"/>
        <v/>
      </c>
      <c r="M180" s="3"/>
      <c r="N180" s="11" t="str">
        <f t="shared" si="47"/>
        <v/>
      </c>
      <c r="O180" s="11" t="str">
        <f>IFERROR(INDEX(tblPricesRaw[Open],MATCH($N180,tblPricesRaw[Key],0)),"")</f>
        <v/>
      </c>
      <c r="P180" s="11" t="str">
        <f>IFERROR(INDEX(tblPricesRaw[High],MATCH($N180,tblPricesRaw[Key],0)),"")</f>
        <v/>
      </c>
      <c r="Q180" s="11" t="str">
        <f>IFERROR(INDEX(tblPricesRaw[Low],MATCH($N180,tblPricesRaw[Key],0)),"")</f>
        <v/>
      </c>
      <c r="R180" s="11" t="str">
        <f>IFERROR(INDEX(tblPricesRaw[Close],MATCH($N180,tblPricesRaw[Key],0)),"")</f>
        <v/>
      </c>
      <c r="S180" s="11" t="str">
        <f>IFERROR(INDEX(tblPricesRaw[PrevClose],MATCH($N180,tblPricesRaw[Key],0)),"")</f>
        <v/>
      </c>
    </row>
    <row r="181" spans="1:19" x14ac:dyDescent="0.3">
      <c r="A181" s="7"/>
      <c r="B181" s="8"/>
      <c r="C181" s="9" t="str">
        <f>IFERROR(INDEX(tblEarningsRaw[EPS_Actual],MATCH($N181,tblEarningsRaw[Key],0)),"")</f>
        <v/>
      </c>
      <c r="D181" s="9" t="str">
        <f>IFERROR(INDEX(tblEarningsRaw[EPS_Estimate],MATCH($N181,tblEarningsRaw[Key],0)),"")</f>
        <v/>
      </c>
      <c r="E181" s="10" t="str">
        <f t="shared" si="40"/>
        <v/>
      </c>
      <c r="F181" s="8"/>
      <c r="G181" s="10" t="str">
        <f t="shared" si="41"/>
        <v/>
      </c>
      <c r="H181" s="10" t="str">
        <f t="shared" si="42"/>
        <v/>
      </c>
      <c r="I181" s="10" t="str">
        <f t="shared" si="43"/>
        <v/>
      </c>
      <c r="J181" s="11" t="str">
        <f t="shared" si="44"/>
        <v/>
      </c>
      <c r="K181" s="10" t="str">
        <f t="shared" si="45"/>
        <v/>
      </c>
      <c r="L181" s="12" t="str">
        <f t="shared" si="46"/>
        <v/>
      </c>
      <c r="M181" s="3"/>
      <c r="N181" s="11" t="str">
        <f t="shared" si="47"/>
        <v/>
      </c>
      <c r="O181" s="11" t="str">
        <f>IFERROR(INDEX(tblPricesRaw[Open],MATCH($N181,tblPricesRaw[Key],0)),"")</f>
        <v/>
      </c>
      <c r="P181" s="11" t="str">
        <f>IFERROR(INDEX(tblPricesRaw[High],MATCH($N181,tblPricesRaw[Key],0)),"")</f>
        <v/>
      </c>
      <c r="Q181" s="11" t="str">
        <f>IFERROR(INDEX(tblPricesRaw[Low],MATCH($N181,tblPricesRaw[Key],0)),"")</f>
        <v/>
      </c>
      <c r="R181" s="11" t="str">
        <f>IFERROR(INDEX(tblPricesRaw[Close],MATCH($N181,tblPricesRaw[Key],0)),"")</f>
        <v/>
      </c>
      <c r="S181" s="11" t="str">
        <f>IFERROR(INDEX(tblPricesRaw[PrevClose],MATCH($N181,tblPricesRaw[Key],0)),"")</f>
        <v/>
      </c>
    </row>
    <row r="182" spans="1:19" x14ac:dyDescent="0.3">
      <c r="A182" s="7"/>
      <c r="B182" s="8"/>
      <c r="C182" s="9" t="str">
        <f>IFERROR(INDEX(tblEarningsRaw[EPS_Actual],MATCH($N182,tblEarningsRaw[Key],0)),"")</f>
        <v/>
      </c>
      <c r="D182" s="9" t="str">
        <f>IFERROR(INDEX(tblEarningsRaw[EPS_Estimate],MATCH($N182,tblEarningsRaw[Key],0)),"")</f>
        <v/>
      </c>
      <c r="E182" s="10" t="str">
        <f t="shared" si="40"/>
        <v/>
      </c>
      <c r="F182" s="8"/>
      <c r="G182" s="10" t="str">
        <f t="shared" si="41"/>
        <v/>
      </c>
      <c r="H182" s="10" t="str">
        <f t="shared" si="42"/>
        <v/>
      </c>
      <c r="I182" s="10" t="str">
        <f t="shared" si="43"/>
        <v/>
      </c>
      <c r="J182" s="11" t="str">
        <f t="shared" si="44"/>
        <v/>
      </c>
      <c r="K182" s="10" t="str">
        <f t="shared" si="45"/>
        <v/>
      </c>
      <c r="L182" s="12" t="str">
        <f t="shared" si="46"/>
        <v/>
      </c>
      <c r="M182" s="3"/>
      <c r="N182" s="11" t="str">
        <f t="shared" si="47"/>
        <v/>
      </c>
      <c r="O182" s="11" t="str">
        <f>IFERROR(INDEX(tblPricesRaw[Open],MATCH($N182,tblPricesRaw[Key],0)),"")</f>
        <v/>
      </c>
      <c r="P182" s="11" t="str">
        <f>IFERROR(INDEX(tblPricesRaw[High],MATCH($N182,tblPricesRaw[Key],0)),"")</f>
        <v/>
      </c>
      <c r="Q182" s="11" t="str">
        <f>IFERROR(INDEX(tblPricesRaw[Low],MATCH($N182,tblPricesRaw[Key],0)),"")</f>
        <v/>
      </c>
      <c r="R182" s="11" t="str">
        <f>IFERROR(INDEX(tblPricesRaw[Close],MATCH($N182,tblPricesRaw[Key],0)),"")</f>
        <v/>
      </c>
      <c r="S182" s="11" t="str">
        <f>IFERROR(INDEX(tblPricesRaw[PrevClose],MATCH($N182,tblPricesRaw[Key],0)),"")</f>
        <v/>
      </c>
    </row>
    <row r="183" spans="1:19" x14ac:dyDescent="0.3">
      <c r="A183" s="7"/>
      <c r="B183" s="8"/>
      <c r="C183" s="9" t="str">
        <f>IFERROR(INDEX(tblEarningsRaw[EPS_Actual],MATCH($N183,tblEarningsRaw[Key],0)),"")</f>
        <v/>
      </c>
      <c r="D183" s="9" t="str">
        <f>IFERROR(INDEX(tblEarningsRaw[EPS_Estimate],MATCH($N183,tblEarningsRaw[Key],0)),"")</f>
        <v/>
      </c>
      <c r="E183" s="10" t="str">
        <f t="shared" si="40"/>
        <v/>
      </c>
      <c r="F183" s="8"/>
      <c r="G183" s="10" t="str">
        <f t="shared" si="41"/>
        <v/>
      </c>
      <c r="H183" s="10" t="str">
        <f t="shared" si="42"/>
        <v/>
      </c>
      <c r="I183" s="10" t="str">
        <f t="shared" si="43"/>
        <v/>
      </c>
      <c r="J183" s="11" t="str">
        <f t="shared" si="44"/>
        <v/>
      </c>
      <c r="K183" s="10" t="str">
        <f t="shared" si="45"/>
        <v/>
      </c>
      <c r="L183" s="12" t="str">
        <f t="shared" si="46"/>
        <v/>
      </c>
      <c r="M183" s="3"/>
      <c r="N183" s="11" t="str">
        <f t="shared" si="47"/>
        <v/>
      </c>
      <c r="O183" s="11" t="str">
        <f>IFERROR(INDEX(tblPricesRaw[Open],MATCH($N183,tblPricesRaw[Key],0)),"")</f>
        <v/>
      </c>
      <c r="P183" s="11" t="str">
        <f>IFERROR(INDEX(tblPricesRaw[High],MATCH($N183,tblPricesRaw[Key],0)),"")</f>
        <v/>
      </c>
      <c r="Q183" s="11" t="str">
        <f>IFERROR(INDEX(tblPricesRaw[Low],MATCH($N183,tblPricesRaw[Key],0)),"")</f>
        <v/>
      </c>
      <c r="R183" s="11" t="str">
        <f>IFERROR(INDEX(tblPricesRaw[Close],MATCH($N183,tblPricesRaw[Key],0)),"")</f>
        <v/>
      </c>
      <c r="S183" s="11" t="str">
        <f>IFERROR(INDEX(tblPricesRaw[PrevClose],MATCH($N183,tblPricesRaw[Key],0)),"")</f>
        <v/>
      </c>
    </row>
    <row r="184" spans="1:19" x14ac:dyDescent="0.3">
      <c r="A184" s="7"/>
      <c r="B184" s="8"/>
      <c r="C184" s="9" t="str">
        <f>IFERROR(INDEX(tblEarningsRaw[EPS_Actual],MATCH($N184,tblEarningsRaw[Key],0)),"")</f>
        <v/>
      </c>
      <c r="D184" s="9" t="str">
        <f>IFERROR(INDEX(tblEarningsRaw[EPS_Estimate],MATCH($N184,tblEarningsRaw[Key],0)),"")</f>
        <v/>
      </c>
      <c r="E184" s="10" t="str">
        <f t="shared" si="40"/>
        <v/>
      </c>
      <c r="F184" s="8"/>
      <c r="G184" s="10" t="str">
        <f t="shared" si="41"/>
        <v/>
      </c>
      <c r="H184" s="10" t="str">
        <f t="shared" si="42"/>
        <v/>
      </c>
      <c r="I184" s="10" t="str">
        <f t="shared" si="43"/>
        <v/>
      </c>
      <c r="J184" s="11" t="str">
        <f t="shared" si="44"/>
        <v/>
      </c>
      <c r="K184" s="10" t="str">
        <f t="shared" si="45"/>
        <v/>
      </c>
      <c r="L184" s="12" t="str">
        <f t="shared" si="46"/>
        <v/>
      </c>
      <c r="M184" s="3"/>
      <c r="N184" s="11" t="str">
        <f t="shared" si="47"/>
        <v/>
      </c>
      <c r="O184" s="11" t="str">
        <f>IFERROR(INDEX(tblPricesRaw[Open],MATCH($N184,tblPricesRaw[Key],0)),"")</f>
        <v/>
      </c>
      <c r="P184" s="11" t="str">
        <f>IFERROR(INDEX(tblPricesRaw[High],MATCH($N184,tblPricesRaw[Key],0)),"")</f>
        <v/>
      </c>
      <c r="Q184" s="11" t="str">
        <f>IFERROR(INDEX(tblPricesRaw[Low],MATCH($N184,tblPricesRaw[Key],0)),"")</f>
        <v/>
      </c>
      <c r="R184" s="11" t="str">
        <f>IFERROR(INDEX(tblPricesRaw[Close],MATCH($N184,tblPricesRaw[Key],0)),"")</f>
        <v/>
      </c>
      <c r="S184" s="11" t="str">
        <f>IFERROR(INDEX(tblPricesRaw[PrevClose],MATCH($N184,tblPricesRaw[Key],0)),"")</f>
        <v/>
      </c>
    </row>
    <row r="185" spans="1:19" x14ac:dyDescent="0.3">
      <c r="A185" s="7"/>
      <c r="B185" s="8"/>
      <c r="C185" s="9" t="str">
        <f>IFERROR(INDEX(tblEarningsRaw[EPS_Actual],MATCH($N185,tblEarningsRaw[Key],0)),"")</f>
        <v/>
      </c>
      <c r="D185" s="9" t="str">
        <f>IFERROR(INDEX(tblEarningsRaw[EPS_Estimate],MATCH($N185,tblEarningsRaw[Key],0)),"")</f>
        <v/>
      </c>
      <c r="E185" s="10" t="str">
        <f t="shared" si="40"/>
        <v/>
      </c>
      <c r="F185" s="8"/>
      <c r="G185" s="10" t="str">
        <f t="shared" si="41"/>
        <v/>
      </c>
      <c r="H185" s="10" t="str">
        <f t="shared" si="42"/>
        <v/>
      </c>
      <c r="I185" s="10" t="str">
        <f t="shared" si="43"/>
        <v/>
      </c>
      <c r="J185" s="11" t="str">
        <f t="shared" si="44"/>
        <v/>
      </c>
      <c r="K185" s="10" t="str">
        <f t="shared" si="45"/>
        <v/>
      </c>
      <c r="L185" s="12" t="str">
        <f t="shared" si="46"/>
        <v/>
      </c>
      <c r="M185" s="3"/>
      <c r="N185" s="11" t="str">
        <f t="shared" si="47"/>
        <v/>
      </c>
      <c r="O185" s="11" t="str">
        <f>IFERROR(INDEX(tblPricesRaw[Open],MATCH($N185,tblPricesRaw[Key],0)),"")</f>
        <v/>
      </c>
      <c r="P185" s="11" t="str">
        <f>IFERROR(INDEX(tblPricesRaw[High],MATCH($N185,tblPricesRaw[Key],0)),"")</f>
        <v/>
      </c>
      <c r="Q185" s="11" t="str">
        <f>IFERROR(INDEX(tblPricesRaw[Low],MATCH($N185,tblPricesRaw[Key],0)),"")</f>
        <v/>
      </c>
      <c r="R185" s="11" t="str">
        <f>IFERROR(INDEX(tblPricesRaw[Close],MATCH($N185,tblPricesRaw[Key],0)),"")</f>
        <v/>
      </c>
      <c r="S185" s="11" t="str">
        <f>IFERROR(INDEX(tblPricesRaw[PrevClose],MATCH($N185,tblPricesRaw[Key],0)),"")</f>
        <v/>
      </c>
    </row>
    <row r="186" spans="1:19" x14ac:dyDescent="0.3">
      <c r="A186" s="7"/>
      <c r="B186" s="8"/>
      <c r="C186" s="9" t="str">
        <f>IFERROR(INDEX(tblEarningsRaw[EPS_Actual],MATCH($N186,tblEarningsRaw[Key],0)),"")</f>
        <v/>
      </c>
      <c r="D186" s="9" t="str">
        <f>IFERROR(INDEX(tblEarningsRaw[EPS_Estimate],MATCH($N186,tblEarningsRaw[Key],0)),"")</f>
        <v/>
      </c>
      <c r="E186" s="10" t="str">
        <f t="shared" si="40"/>
        <v/>
      </c>
      <c r="F186" s="8"/>
      <c r="G186" s="10" t="str">
        <f t="shared" si="41"/>
        <v/>
      </c>
      <c r="H186" s="10" t="str">
        <f t="shared" si="42"/>
        <v/>
      </c>
      <c r="I186" s="10" t="str">
        <f t="shared" si="43"/>
        <v/>
      </c>
      <c r="J186" s="11" t="str">
        <f t="shared" si="44"/>
        <v/>
      </c>
      <c r="K186" s="10" t="str">
        <f t="shared" si="45"/>
        <v/>
      </c>
      <c r="L186" s="12" t="str">
        <f t="shared" si="46"/>
        <v/>
      </c>
      <c r="M186" s="3"/>
      <c r="N186" s="11" t="str">
        <f t="shared" si="47"/>
        <v/>
      </c>
      <c r="O186" s="11" t="str">
        <f>IFERROR(INDEX(tblPricesRaw[Open],MATCH($N186,tblPricesRaw[Key],0)),"")</f>
        <v/>
      </c>
      <c r="P186" s="11" t="str">
        <f>IFERROR(INDEX(tblPricesRaw[High],MATCH($N186,tblPricesRaw[Key],0)),"")</f>
        <v/>
      </c>
      <c r="Q186" s="11" t="str">
        <f>IFERROR(INDEX(tblPricesRaw[Low],MATCH($N186,tblPricesRaw[Key],0)),"")</f>
        <v/>
      </c>
      <c r="R186" s="11" t="str">
        <f>IFERROR(INDEX(tblPricesRaw[Close],MATCH($N186,tblPricesRaw[Key],0)),"")</f>
        <v/>
      </c>
      <c r="S186" s="11" t="str">
        <f>IFERROR(INDEX(tblPricesRaw[PrevClose],MATCH($N186,tblPricesRaw[Key],0)),"")</f>
        <v/>
      </c>
    </row>
    <row r="187" spans="1:19" x14ac:dyDescent="0.3">
      <c r="A187" s="7"/>
      <c r="B187" s="8"/>
      <c r="C187" s="9" t="str">
        <f>IFERROR(INDEX(tblEarningsRaw[EPS_Actual],MATCH($N187,tblEarningsRaw[Key],0)),"")</f>
        <v/>
      </c>
      <c r="D187" s="9" t="str">
        <f>IFERROR(INDEX(tblEarningsRaw[EPS_Estimate],MATCH($N187,tblEarningsRaw[Key],0)),"")</f>
        <v/>
      </c>
      <c r="E187" s="10" t="str">
        <f t="shared" si="40"/>
        <v/>
      </c>
      <c r="F187" s="8"/>
      <c r="G187" s="10" t="str">
        <f t="shared" si="41"/>
        <v/>
      </c>
      <c r="H187" s="10" t="str">
        <f t="shared" si="42"/>
        <v/>
      </c>
      <c r="I187" s="10" t="str">
        <f t="shared" si="43"/>
        <v/>
      </c>
      <c r="J187" s="11" t="str">
        <f t="shared" si="44"/>
        <v/>
      </c>
      <c r="K187" s="10" t="str">
        <f t="shared" si="45"/>
        <v/>
      </c>
      <c r="L187" s="12" t="str">
        <f t="shared" si="46"/>
        <v/>
      </c>
      <c r="M187" s="3"/>
      <c r="N187" s="11" t="str">
        <f t="shared" si="47"/>
        <v/>
      </c>
      <c r="O187" s="11" t="str">
        <f>IFERROR(INDEX(tblPricesRaw[Open],MATCH($N187,tblPricesRaw[Key],0)),"")</f>
        <v/>
      </c>
      <c r="P187" s="11" t="str">
        <f>IFERROR(INDEX(tblPricesRaw[High],MATCH($N187,tblPricesRaw[Key],0)),"")</f>
        <v/>
      </c>
      <c r="Q187" s="11" t="str">
        <f>IFERROR(INDEX(tblPricesRaw[Low],MATCH($N187,tblPricesRaw[Key],0)),"")</f>
        <v/>
      </c>
      <c r="R187" s="11" t="str">
        <f>IFERROR(INDEX(tblPricesRaw[Close],MATCH($N187,tblPricesRaw[Key],0)),"")</f>
        <v/>
      </c>
      <c r="S187" s="11" t="str">
        <f>IFERROR(INDEX(tblPricesRaw[PrevClose],MATCH($N187,tblPricesRaw[Key],0)),"")</f>
        <v/>
      </c>
    </row>
    <row r="188" spans="1:19" x14ac:dyDescent="0.3">
      <c r="A188" s="7"/>
      <c r="B188" s="8"/>
      <c r="C188" s="9" t="str">
        <f>IFERROR(INDEX(tblEarningsRaw[EPS_Actual],MATCH($N188,tblEarningsRaw[Key],0)),"")</f>
        <v/>
      </c>
      <c r="D188" s="9" t="str">
        <f>IFERROR(INDEX(tblEarningsRaw[EPS_Estimate],MATCH($N188,tblEarningsRaw[Key],0)),"")</f>
        <v/>
      </c>
      <c r="E188" s="10" t="str">
        <f t="shared" si="40"/>
        <v/>
      </c>
      <c r="F188" s="8"/>
      <c r="G188" s="10" t="str">
        <f t="shared" si="41"/>
        <v/>
      </c>
      <c r="H188" s="10" t="str">
        <f t="shared" si="42"/>
        <v/>
      </c>
      <c r="I188" s="10" t="str">
        <f t="shared" si="43"/>
        <v/>
      </c>
      <c r="J188" s="11" t="str">
        <f t="shared" si="44"/>
        <v/>
      </c>
      <c r="K188" s="10" t="str">
        <f t="shared" si="45"/>
        <v/>
      </c>
      <c r="L188" s="12" t="str">
        <f t="shared" si="46"/>
        <v/>
      </c>
      <c r="M188" s="3"/>
      <c r="N188" s="11" t="str">
        <f t="shared" si="47"/>
        <v/>
      </c>
      <c r="O188" s="11" t="str">
        <f>IFERROR(INDEX(tblPricesRaw[Open],MATCH($N188,tblPricesRaw[Key],0)),"")</f>
        <v/>
      </c>
      <c r="P188" s="11" t="str">
        <f>IFERROR(INDEX(tblPricesRaw[High],MATCH($N188,tblPricesRaw[Key],0)),"")</f>
        <v/>
      </c>
      <c r="Q188" s="11" t="str">
        <f>IFERROR(INDEX(tblPricesRaw[Low],MATCH($N188,tblPricesRaw[Key],0)),"")</f>
        <v/>
      </c>
      <c r="R188" s="11" t="str">
        <f>IFERROR(INDEX(tblPricesRaw[Close],MATCH($N188,tblPricesRaw[Key],0)),"")</f>
        <v/>
      </c>
      <c r="S188" s="11" t="str">
        <f>IFERROR(INDEX(tblPricesRaw[PrevClose],MATCH($N188,tblPricesRaw[Key],0)),"")</f>
        <v/>
      </c>
    </row>
    <row r="189" spans="1:19" x14ac:dyDescent="0.3">
      <c r="A189" s="7"/>
      <c r="B189" s="8"/>
      <c r="C189" s="9" t="str">
        <f>IFERROR(INDEX(tblEarningsRaw[EPS_Actual],MATCH($N189,tblEarningsRaw[Key],0)),"")</f>
        <v/>
      </c>
      <c r="D189" s="9" t="str">
        <f>IFERROR(INDEX(tblEarningsRaw[EPS_Estimate],MATCH($N189,tblEarningsRaw[Key],0)),"")</f>
        <v/>
      </c>
      <c r="E189" s="10" t="str">
        <f t="shared" si="40"/>
        <v/>
      </c>
      <c r="F189" s="8"/>
      <c r="G189" s="10" t="str">
        <f t="shared" si="41"/>
        <v/>
      </c>
      <c r="H189" s="10" t="str">
        <f t="shared" si="42"/>
        <v/>
      </c>
      <c r="I189" s="10" t="str">
        <f t="shared" si="43"/>
        <v/>
      </c>
      <c r="J189" s="11" t="str">
        <f t="shared" si="44"/>
        <v/>
      </c>
      <c r="K189" s="10" t="str">
        <f t="shared" si="45"/>
        <v/>
      </c>
      <c r="L189" s="12" t="str">
        <f t="shared" si="46"/>
        <v/>
      </c>
      <c r="M189" s="3"/>
      <c r="N189" s="11" t="str">
        <f t="shared" si="47"/>
        <v/>
      </c>
      <c r="O189" s="11" t="str">
        <f>IFERROR(INDEX(tblPricesRaw[Open],MATCH($N189,tblPricesRaw[Key],0)),"")</f>
        <v/>
      </c>
      <c r="P189" s="11" t="str">
        <f>IFERROR(INDEX(tblPricesRaw[High],MATCH($N189,tblPricesRaw[Key],0)),"")</f>
        <v/>
      </c>
      <c r="Q189" s="11" t="str">
        <f>IFERROR(INDEX(tblPricesRaw[Low],MATCH($N189,tblPricesRaw[Key],0)),"")</f>
        <v/>
      </c>
      <c r="R189" s="11" t="str">
        <f>IFERROR(INDEX(tblPricesRaw[Close],MATCH($N189,tblPricesRaw[Key],0)),"")</f>
        <v/>
      </c>
      <c r="S189" s="11" t="str">
        <f>IFERROR(INDEX(tblPricesRaw[PrevClose],MATCH($N189,tblPricesRaw[Key],0)),"")</f>
        <v/>
      </c>
    </row>
    <row r="190" spans="1:19" x14ac:dyDescent="0.3">
      <c r="A190" s="7"/>
      <c r="B190" s="8"/>
      <c r="C190" s="9" t="str">
        <f>IFERROR(INDEX(tblEarningsRaw[EPS_Actual],MATCH($N190,tblEarningsRaw[Key],0)),"")</f>
        <v/>
      </c>
      <c r="D190" s="9" t="str">
        <f>IFERROR(INDEX(tblEarningsRaw[EPS_Estimate],MATCH($N190,tblEarningsRaw[Key],0)),"")</f>
        <v/>
      </c>
      <c r="E190" s="10" t="str">
        <f t="shared" si="40"/>
        <v/>
      </c>
      <c r="F190" s="8"/>
      <c r="G190" s="10" t="str">
        <f t="shared" si="41"/>
        <v/>
      </c>
      <c r="H190" s="10" t="str">
        <f t="shared" si="42"/>
        <v/>
      </c>
      <c r="I190" s="10" t="str">
        <f t="shared" si="43"/>
        <v/>
      </c>
      <c r="J190" s="11" t="str">
        <f t="shared" si="44"/>
        <v/>
      </c>
      <c r="K190" s="10" t="str">
        <f t="shared" si="45"/>
        <v/>
      </c>
      <c r="L190" s="12" t="str">
        <f t="shared" si="46"/>
        <v/>
      </c>
      <c r="M190" s="3"/>
      <c r="N190" s="11" t="str">
        <f t="shared" si="47"/>
        <v/>
      </c>
      <c r="O190" s="11" t="str">
        <f>IFERROR(INDEX(tblPricesRaw[Open],MATCH($N190,tblPricesRaw[Key],0)),"")</f>
        <v/>
      </c>
      <c r="P190" s="11" t="str">
        <f>IFERROR(INDEX(tblPricesRaw[High],MATCH($N190,tblPricesRaw[Key],0)),"")</f>
        <v/>
      </c>
      <c r="Q190" s="11" t="str">
        <f>IFERROR(INDEX(tblPricesRaw[Low],MATCH($N190,tblPricesRaw[Key],0)),"")</f>
        <v/>
      </c>
      <c r="R190" s="11" t="str">
        <f>IFERROR(INDEX(tblPricesRaw[Close],MATCH($N190,tblPricesRaw[Key],0)),"")</f>
        <v/>
      </c>
      <c r="S190" s="11" t="str">
        <f>IFERROR(INDEX(tblPricesRaw[PrevClose],MATCH($N190,tblPricesRaw[Key],0)),"")</f>
        <v/>
      </c>
    </row>
    <row r="191" spans="1:19" x14ac:dyDescent="0.3">
      <c r="A191" s="7"/>
      <c r="B191" s="8"/>
      <c r="C191" s="9" t="str">
        <f>IFERROR(INDEX(tblEarningsRaw[EPS_Actual],MATCH($N191,tblEarningsRaw[Key],0)),"")</f>
        <v/>
      </c>
      <c r="D191" s="9" t="str">
        <f>IFERROR(INDEX(tblEarningsRaw[EPS_Estimate],MATCH($N191,tblEarningsRaw[Key],0)),"")</f>
        <v/>
      </c>
      <c r="E191" s="10" t="str">
        <f t="shared" si="40"/>
        <v/>
      </c>
      <c r="F191" s="8"/>
      <c r="G191" s="10" t="str">
        <f t="shared" si="41"/>
        <v/>
      </c>
      <c r="H191" s="10" t="str">
        <f t="shared" si="42"/>
        <v/>
      </c>
      <c r="I191" s="10" t="str">
        <f t="shared" si="43"/>
        <v/>
      </c>
      <c r="J191" s="11" t="str">
        <f t="shared" si="44"/>
        <v/>
      </c>
      <c r="K191" s="10" t="str">
        <f t="shared" si="45"/>
        <v/>
      </c>
      <c r="L191" s="12" t="str">
        <f t="shared" si="46"/>
        <v/>
      </c>
      <c r="M191" s="3"/>
      <c r="N191" s="11" t="str">
        <f t="shared" si="47"/>
        <v/>
      </c>
      <c r="O191" s="11" t="str">
        <f>IFERROR(INDEX(tblPricesRaw[Open],MATCH($N191,tblPricesRaw[Key],0)),"")</f>
        <v/>
      </c>
      <c r="P191" s="11" t="str">
        <f>IFERROR(INDEX(tblPricesRaw[High],MATCH($N191,tblPricesRaw[Key],0)),"")</f>
        <v/>
      </c>
      <c r="Q191" s="11" t="str">
        <f>IFERROR(INDEX(tblPricesRaw[Low],MATCH($N191,tblPricesRaw[Key],0)),"")</f>
        <v/>
      </c>
      <c r="R191" s="11" t="str">
        <f>IFERROR(INDEX(tblPricesRaw[Close],MATCH($N191,tblPricesRaw[Key],0)),"")</f>
        <v/>
      </c>
      <c r="S191" s="11" t="str">
        <f>IFERROR(INDEX(tblPricesRaw[PrevClose],MATCH($N191,tblPricesRaw[Key],0)),"")</f>
        <v/>
      </c>
    </row>
    <row r="192" spans="1:19" x14ac:dyDescent="0.3">
      <c r="A192" s="7"/>
      <c r="B192" s="8"/>
      <c r="C192" s="9" t="str">
        <f>IFERROR(INDEX(tblEarningsRaw[EPS_Actual],MATCH($N192,tblEarningsRaw[Key],0)),"")</f>
        <v/>
      </c>
      <c r="D192" s="9" t="str">
        <f>IFERROR(INDEX(tblEarningsRaw[EPS_Estimate],MATCH($N192,tblEarningsRaw[Key],0)),"")</f>
        <v/>
      </c>
      <c r="E192" s="10" t="str">
        <f t="shared" si="40"/>
        <v/>
      </c>
      <c r="F192" s="8"/>
      <c r="G192" s="10" t="str">
        <f t="shared" si="41"/>
        <v/>
      </c>
      <c r="H192" s="10" t="str">
        <f t="shared" si="42"/>
        <v/>
      </c>
      <c r="I192" s="10" t="str">
        <f t="shared" si="43"/>
        <v/>
      </c>
      <c r="J192" s="11" t="str">
        <f t="shared" si="44"/>
        <v/>
      </c>
      <c r="K192" s="10" t="str">
        <f t="shared" si="45"/>
        <v/>
      </c>
      <c r="L192" s="12" t="str">
        <f t="shared" si="46"/>
        <v/>
      </c>
      <c r="M192" s="3"/>
      <c r="N192" s="11" t="str">
        <f t="shared" si="47"/>
        <v/>
      </c>
      <c r="O192" s="11" t="str">
        <f>IFERROR(INDEX(tblPricesRaw[Open],MATCH($N192,tblPricesRaw[Key],0)),"")</f>
        <v/>
      </c>
      <c r="P192" s="11" t="str">
        <f>IFERROR(INDEX(tblPricesRaw[High],MATCH($N192,tblPricesRaw[Key],0)),"")</f>
        <v/>
      </c>
      <c r="Q192" s="11" t="str">
        <f>IFERROR(INDEX(tblPricesRaw[Low],MATCH($N192,tblPricesRaw[Key],0)),"")</f>
        <v/>
      </c>
      <c r="R192" s="11" t="str">
        <f>IFERROR(INDEX(tblPricesRaw[Close],MATCH($N192,tblPricesRaw[Key],0)),"")</f>
        <v/>
      </c>
      <c r="S192" s="11" t="str">
        <f>IFERROR(INDEX(tblPricesRaw[PrevClose],MATCH($N192,tblPricesRaw[Key],0)),"")</f>
        <v/>
      </c>
    </row>
    <row r="193" spans="1:19" x14ac:dyDescent="0.3">
      <c r="A193" s="7"/>
      <c r="B193" s="8"/>
      <c r="C193" s="9" t="str">
        <f>IFERROR(INDEX(tblEarningsRaw[EPS_Actual],MATCH($N193,tblEarningsRaw[Key],0)),"")</f>
        <v/>
      </c>
      <c r="D193" s="9" t="str">
        <f>IFERROR(INDEX(tblEarningsRaw[EPS_Estimate],MATCH($N193,tblEarningsRaw[Key],0)),"")</f>
        <v/>
      </c>
      <c r="E193" s="10" t="str">
        <f t="shared" si="40"/>
        <v/>
      </c>
      <c r="F193" s="8"/>
      <c r="G193" s="10" t="str">
        <f t="shared" si="41"/>
        <v/>
      </c>
      <c r="H193" s="10" t="str">
        <f t="shared" si="42"/>
        <v/>
      </c>
      <c r="I193" s="10" t="str">
        <f t="shared" si="43"/>
        <v/>
      </c>
      <c r="J193" s="11" t="str">
        <f t="shared" si="44"/>
        <v/>
      </c>
      <c r="K193" s="10" t="str">
        <f t="shared" si="45"/>
        <v/>
      </c>
      <c r="L193" s="12" t="str">
        <f t="shared" si="46"/>
        <v/>
      </c>
      <c r="M193" s="3"/>
      <c r="N193" s="11" t="str">
        <f t="shared" si="47"/>
        <v/>
      </c>
      <c r="O193" s="11" t="str">
        <f>IFERROR(INDEX(tblPricesRaw[Open],MATCH($N193,tblPricesRaw[Key],0)),"")</f>
        <v/>
      </c>
      <c r="P193" s="11" t="str">
        <f>IFERROR(INDEX(tblPricesRaw[High],MATCH($N193,tblPricesRaw[Key],0)),"")</f>
        <v/>
      </c>
      <c r="Q193" s="11" t="str">
        <f>IFERROR(INDEX(tblPricesRaw[Low],MATCH($N193,tblPricesRaw[Key],0)),"")</f>
        <v/>
      </c>
      <c r="R193" s="11" t="str">
        <f>IFERROR(INDEX(tblPricesRaw[Close],MATCH($N193,tblPricesRaw[Key],0)),"")</f>
        <v/>
      </c>
      <c r="S193" s="11" t="str">
        <f>IFERROR(INDEX(tblPricesRaw[PrevClose],MATCH($N193,tblPricesRaw[Key],0)),"")</f>
        <v/>
      </c>
    </row>
    <row r="194" spans="1:19" x14ac:dyDescent="0.3">
      <c r="A194" s="7"/>
      <c r="B194" s="8"/>
      <c r="C194" s="9" t="str">
        <f>IFERROR(INDEX(tblEarningsRaw[EPS_Actual],MATCH($N194,tblEarningsRaw[Key],0)),"")</f>
        <v/>
      </c>
      <c r="D194" s="9" t="str">
        <f>IFERROR(INDEX(tblEarningsRaw[EPS_Estimate],MATCH($N194,tblEarningsRaw[Key],0)),"")</f>
        <v/>
      </c>
      <c r="E194" s="10" t="str">
        <f t="shared" si="40"/>
        <v/>
      </c>
      <c r="F194" s="8"/>
      <c r="G194" s="10" t="str">
        <f t="shared" si="41"/>
        <v/>
      </c>
      <c r="H194" s="10" t="str">
        <f t="shared" si="42"/>
        <v/>
      </c>
      <c r="I194" s="10" t="str">
        <f t="shared" si="43"/>
        <v/>
      </c>
      <c r="J194" s="11" t="str">
        <f t="shared" si="44"/>
        <v/>
      </c>
      <c r="K194" s="10" t="str">
        <f t="shared" si="45"/>
        <v/>
      </c>
      <c r="L194" s="12" t="str">
        <f t="shared" si="46"/>
        <v/>
      </c>
      <c r="M194" s="3"/>
      <c r="N194" s="11" t="str">
        <f t="shared" si="47"/>
        <v/>
      </c>
      <c r="O194" s="11" t="str">
        <f>IFERROR(INDEX(tblPricesRaw[Open],MATCH($N194,tblPricesRaw[Key],0)),"")</f>
        <v/>
      </c>
      <c r="P194" s="11" t="str">
        <f>IFERROR(INDEX(tblPricesRaw[High],MATCH($N194,tblPricesRaw[Key],0)),"")</f>
        <v/>
      </c>
      <c r="Q194" s="11" t="str">
        <f>IFERROR(INDEX(tblPricesRaw[Low],MATCH($N194,tblPricesRaw[Key],0)),"")</f>
        <v/>
      </c>
      <c r="R194" s="11" t="str">
        <f>IFERROR(INDEX(tblPricesRaw[Close],MATCH($N194,tblPricesRaw[Key],0)),"")</f>
        <v/>
      </c>
      <c r="S194" s="11" t="str">
        <f>IFERROR(INDEX(tblPricesRaw[PrevClose],MATCH($N194,tblPricesRaw[Key],0)),"")</f>
        <v/>
      </c>
    </row>
    <row r="195" spans="1:19" x14ac:dyDescent="0.3">
      <c r="A195" s="7"/>
      <c r="B195" s="8"/>
      <c r="C195" s="9" t="str">
        <f>IFERROR(INDEX(tblEarningsRaw[EPS_Actual],MATCH($N195,tblEarningsRaw[Key],0)),"")</f>
        <v/>
      </c>
      <c r="D195" s="9" t="str">
        <f>IFERROR(INDEX(tblEarningsRaw[EPS_Estimate],MATCH($N195,tblEarningsRaw[Key],0)),"")</f>
        <v/>
      </c>
      <c r="E195" s="10" t="str">
        <f t="shared" si="40"/>
        <v/>
      </c>
      <c r="F195" s="8"/>
      <c r="G195" s="10" t="str">
        <f t="shared" si="41"/>
        <v/>
      </c>
      <c r="H195" s="10" t="str">
        <f t="shared" si="42"/>
        <v/>
      </c>
      <c r="I195" s="10" t="str">
        <f t="shared" si="43"/>
        <v/>
      </c>
      <c r="J195" s="11" t="str">
        <f t="shared" si="44"/>
        <v/>
      </c>
      <c r="K195" s="10" t="str">
        <f t="shared" si="45"/>
        <v/>
      </c>
      <c r="L195" s="12" t="str">
        <f t="shared" si="46"/>
        <v/>
      </c>
      <c r="M195" s="3"/>
      <c r="N195" s="11" t="str">
        <f t="shared" si="47"/>
        <v/>
      </c>
      <c r="O195" s="11" t="str">
        <f>IFERROR(INDEX(tblPricesRaw[Open],MATCH($N195,tblPricesRaw[Key],0)),"")</f>
        <v/>
      </c>
      <c r="P195" s="11" t="str">
        <f>IFERROR(INDEX(tblPricesRaw[High],MATCH($N195,tblPricesRaw[Key],0)),"")</f>
        <v/>
      </c>
      <c r="Q195" s="11" t="str">
        <f>IFERROR(INDEX(tblPricesRaw[Low],MATCH($N195,tblPricesRaw[Key],0)),"")</f>
        <v/>
      </c>
      <c r="R195" s="11" t="str">
        <f>IFERROR(INDEX(tblPricesRaw[Close],MATCH($N195,tblPricesRaw[Key],0)),"")</f>
        <v/>
      </c>
      <c r="S195" s="11" t="str">
        <f>IFERROR(INDEX(tblPricesRaw[PrevClose],MATCH($N195,tblPricesRaw[Key],0)),"")</f>
        <v/>
      </c>
    </row>
    <row r="196" spans="1:19" x14ac:dyDescent="0.3">
      <c r="A196" s="7"/>
      <c r="B196" s="8"/>
      <c r="C196" s="9" t="str">
        <f>IFERROR(INDEX(tblEarningsRaw[EPS_Actual],MATCH($N196,tblEarningsRaw[Key],0)),"")</f>
        <v/>
      </c>
      <c r="D196" s="9" t="str">
        <f>IFERROR(INDEX(tblEarningsRaw[EPS_Estimate],MATCH($N196,tblEarningsRaw[Key],0)),"")</f>
        <v/>
      </c>
      <c r="E196" s="10" t="str">
        <f t="shared" si="40"/>
        <v/>
      </c>
      <c r="F196" s="8"/>
      <c r="G196" s="10" t="str">
        <f t="shared" si="41"/>
        <v/>
      </c>
      <c r="H196" s="10" t="str">
        <f t="shared" si="42"/>
        <v/>
      </c>
      <c r="I196" s="10" t="str">
        <f t="shared" si="43"/>
        <v/>
      </c>
      <c r="J196" s="11" t="str">
        <f t="shared" si="44"/>
        <v/>
      </c>
      <c r="K196" s="10" t="str">
        <f t="shared" si="45"/>
        <v/>
      </c>
      <c r="L196" s="12" t="str">
        <f t="shared" si="46"/>
        <v/>
      </c>
      <c r="M196" s="3"/>
      <c r="N196" s="11" t="str">
        <f t="shared" si="47"/>
        <v/>
      </c>
      <c r="O196" s="11" t="str">
        <f>IFERROR(INDEX(tblPricesRaw[Open],MATCH($N196,tblPricesRaw[Key],0)),"")</f>
        <v/>
      </c>
      <c r="P196" s="11" t="str">
        <f>IFERROR(INDEX(tblPricesRaw[High],MATCH($N196,tblPricesRaw[Key],0)),"")</f>
        <v/>
      </c>
      <c r="Q196" s="11" t="str">
        <f>IFERROR(INDEX(tblPricesRaw[Low],MATCH($N196,tblPricesRaw[Key],0)),"")</f>
        <v/>
      </c>
      <c r="R196" s="11" t="str">
        <f>IFERROR(INDEX(tblPricesRaw[Close],MATCH($N196,tblPricesRaw[Key],0)),"")</f>
        <v/>
      </c>
      <c r="S196" s="11" t="str">
        <f>IFERROR(INDEX(tblPricesRaw[PrevClose],MATCH($N196,tblPricesRaw[Key],0)),"")</f>
        <v/>
      </c>
    </row>
    <row r="197" spans="1:19" x14ac:dyDescent="0.3">
      <c r="A197" s="7"/>
      <c r="B197" s="8"/>
      <c r="C197" s="9" t="str">
        <f>IFERROR(INDEX(tblEarningsRaw[EPS_Actual],MATCH($N197,tblEarningsRaw[Key],0)),"")</f>
        <v/>
      </c>
      <c r="D197" s="9" t="str">
        <f>IFERROR(INDEX(tblEarningsRaw[EPS_Estimate],MATCH($N197,tblEarningsRaw[Key],0)),"")</f>
        <v/>
      </c>
      <c r="E197" s="10" t="str">
        <f t="shared" ref="E197:E204" si="48">IF(AND(C197&lt;&gt;"",D197&lt;&gt;""), (C197-D197)/ABS(D197), "")</f>
        <v/>
      </c>
      <c r="F197" s="8"/>
      <c r="G197" s="10" t="str">
        <f t="shared" ref="G197:G204" si="49">IF(AND($O197&lt;&gt;"",$S197&lt;&gt;""), ($O197-$S197)/$S197, "")</f>
        <v/>
      </c>
      <c r="H197" s="10" t="str">
        <f t="shared" ref="H197:H204" si="50">IF(AND($R197&lt;&gt;"",$S197&lt;&gt;""), ($R197-$S197)/$S197, "")</f>
        <v/>
      </c>
      <c r="I197" s="10" t="str">
        <f t="shared" ref="I197:I204" si="51">IF(AND($P197&lt;&gt;"",$Q197&lt;&gt;"",$S197&lt;&gt;""), ($P197-$Q197)/$S197, "")</f>
        <v/>
      </c>
      <c r="J197" s="11" t="str">
        <f t="shared" ref="J197:J204" si="52">IF(OR(E197="",H197=""),"",IF(AND(E197&gt;0,H197&gt;0),"利好确认",IF(AND(E197&gt;0,H197&lt;=0),"利好不涨",IF(AND(E197&lt;0,H197&lt;0),"利空确认",IF(AND(E197&lt;0,H197&gt;=0),"利空不跌","中性")))))</f>
        <v/>
      </c>
      <c r="K197" s="10" t="str">
        <f t="shared" ref="K197:K204" si="53">IF(A197="", "", IFERROR(COUNTIFS($A$5:$A$204,A197,$H$5:$H$204,"&gt;0")/COUNTIF($A$5:$A$204,A197),""))</f>
        <v/>
      </c>
      <c r="L197" s="12" t="str">
        <f t="shared" ref="L197:L204" si="54">IF(A197="", "", IF(E197&gt;0.05,1,0) + IF(F197=1,1,0) + IF(H197&gt;0.03,1,0) - IF(J197="利好不涨",2,0) + IF(J197="利空不跌",2,0))</f>
        <v/>
      </c>
      <c r="M197" s="3"/>
      <c r="N197" s="11" t="str">
        <f t="shared" ref="N197:N204" si="55">IF(AND(A197&lt;&gt;"",B197&lt;&gt;""),B197&amp;"|"&amp;TEXT(A197,"yyyy-mm-dd"),"")</f>
        <v/>
      </c>
      <c r="O197" s="11" t="str">
        <f>IFERROR(INDEX(tblPricesRaw[Open],MATCH($N197,tblPricesRaw[Key],0)),"")</f>
        <v/>
      </c>
      <c r="P197" s="11" t="str">
        <f>IFERROR(INDEX(tblPricesRaw[High],MATCH($N197,tblPricesRaw[Key],0)),"")</f>
        <v/>
      </c>
      <c r="Q197" s="11" t="str">
        <f>IFERROR(INDEX(tblPricesRaw[Low],MATCH($N197,tblPricesRaw[Key],0)),"")</f>
        <v/>
      </c>
      <c r="R197" s="11" t="str">
        <f>IFERROR(INDEX(tblPricesRaw[Close],MATCH($N197,tblPricesRaw[Key],0)),"")</f>
        <v/>
      </c>
      <c r="S197" s="11" t="str">
        <f>IFERROR(INDEX(tblPricesRaw[PrevClose],MATCH($N197,tblPricesRaw[Key],0)),"")</f>
        <v/>
      </c>
    </row>
    <row r="198" spans="1:19" x14ac:dyDescent="0.3">
      <c r="A198" s="7"/>
      <c r="B198" s="8"/>
      <c r="C198" s="9" t="str">
        <f>IFERROR(INDEX(tblEarningsRaw[EPS_Actual],MATCH($N198,tblEarningsRaw[Key],0)),"")</f>
        <v/>
      </c>
      <c r="D198" s="9" t="str">
        <f>IFERROR(INDEX(tblEarningsRaw[EPS_Estimate],MATCH($N198,tblEarningsRaw[Key],0)),"")</f>
        <v/>
      </c>
      <c r="E198" s="10" t="str">
        <f t="shared" si="48"/>
        <v/>
      </c>
      <c r="F198" s="8"/>
      <c r="G198" s="10" t="str">
        <f t="shared" si="49"/>
        <v/>
      </c>
      <c r="H198" s="10" t="str">
        <f t="shared" si="50"/>
        <v/>
      </c>
      <c r="I198" s="10" t="str">
        <f t="shared" si="51"/>
        <v/>
      </c>
      <c r="J198" s="11" t="str">
        <f t="shared" si="52"/>
        <v/>
      </c>
      <c r="K198" s="10" t="str">
        <f t="shared" si="53"/>
        <v/>
      </c>
      <c r="L198" s="12" t="str">
        <f t="shared" si="54"/>
        <v/>
      </c>
      <c r="M198" s="3"/>
      <c r="N198" s="11" t="str">
        <f t="shared" si="55"/>
        <v/>
      </c>
      <c r="O198" s="11" t="str">
        <f>IFERROR(INDEX(tblPricesRaw[Open],MATCH($N198,tblPricesRaw[Key],0)),"")</f>
        <v/>
      </c>
      <c r="P198" s="11" t="str">
        <f>IFERROR(INDEX(tblPricesRaw[High],MATCH($N198,tblPricesRaw[Key],0)),"")</f>
        <v/>
      </c>
      <c r="Q198" s="11" t="str">
        <f>IFERROR(INDEX(tblPricesRaw[Low],MATCH($N198,tblPricesRaw[Key],0)),"")</f>
        <v/>
      </c>
      <c r="R198" s="11" t="str">
        <f>IFERROR(INDEX(tblPricesRaw[Close],MATCH($N198,tblPricesRaw[Key],0)),"")</f>
        <v/>
      </c>
      <c r="S198" s="11" t="str">
        <f>IFERROR(INDEX(tblPricesRaw[PrevClose],MATCH($N198,tblPricesRaw[Key],0)),"")</f>
        <v/>
      </c>
    </row>
    <row r="199" spans="1:19" x14ac:dyDescent="0.3">
      <c r="A199" s="7"/>
      <c r="B199" s="8"/>
      <c r="C199" s="9" t="str">
        <f>IFERROR(INDEX(tblEarningsRaw[EPS_Actual],MATCH($N199,tblEarningsRaw[Key],0)),"")</f>
        <v/>
      </c>
      <c r="D199" s="9" t="str">
        <f>IFERROR(INDEX(tblEarningsRaw[EPS_Estimate],MATCH($N199,tblEarningsRaw[Key],0)),"")</f>
        <v/>
      </c>
      <c r="E199" s="10" t="str">
        <f t="shared" si="48"/>
        <v/>
      </c>
      <c r="F199" s="8"/>
      <c r="G199" s="10" t="str">
        <f t="shared" si="49"/>
        <v/>
      </c>
      <c r="H199" s="10" t="str">
        <f t="shared" si="50"/>
        <v/>
      </c>
      <c r="I199" s="10" t="str">
        <f t="shared" si="51"/>
        <v/>
      </c>
      <c r="J199" s="11" t="str">
        <f t="shared" si="52"/>
        <v/>
      </c>
      <c r="K199" s="10" t="str">
        <f t="shared" si="53"/>
        <v/>
      </c>
      <c r="L199" s="12" t="str">
        <f t="shared" si="54"/>
        <v/>
      </c>
      <c r="M199" s="3"/>
      <c r="N199" s="11" t="str">
        <f t="shared" si="55"/>
        <v/>
      </c>
      <c r="O199" s="11" t="str">
        <f>IFERROR(INDEX(tblPricesRaw[Open],MATCH($N199,tblPricesRaw[Key],0)),"")</f>
        <v/>
      </c>
      <c r="P199" s="11" t="str">
        <f>IFERROR(INDEX(tblPricesRaw[High],MATCH($N199,tblPricesRaw[Key],0)),"")</f>
        <v/>
      </c>
      <c r="Q199" s="11" t="str">
        <f>IFERROR(INDEX(tblPricesRaw[Low],MATCH($N199,tblPricesRaw[Key],0)),"")</f>
        <v/>
      </c>
      <c r="R199" s="11" t="str">
        <f>IFERROR(INDEX(tblPricesRaw[Close],MATCH($N199,tblPricesRaw[Key],0)),"")</f>
        <v/>
      </c>
      <c r="S199" s="11" t="str">
        <f>IFERROR(INDEX(tblPricesRaw[PrevClose],MATCH($N199,tblPricesRaw[Key],0)),"")</f>
        <v/>
      </c>
    </row>
    <row r="200" spans="1:19" x14ac:dyDescent="0.3">
      <c r="A200" s="7"/>
      <c r="B200" s="8"/>
      <c r="C200" s="9" t="str">
        <f>IFERROR(INDEX(tblEarningsRaw[EPS_Actual],MATCH($N200,tblEarningsRaw[Key],0)),"")</f>
        <v/>
      </c>
      <c r="D200" s="9" t="str">
        <f>IFERROR(INDEX(tblEarningsRaw[EPS_Estimate],MATCH($N200,tblEarningsRaw[Key],0)),"")</f>
        <v/>
      </c>
      <c r="E200" s="10" t="str">
        <f t="shared" si="48"/>
        <v/>
      </c>
      <c r="F200" s="8"/>
      <c r="G200" s="10" t="str">
        <f t="shared" si="49"/>
        <v/>
      </c>
      <c r="H200" s="10" t="str">
        <f t="shared" si="50"/>
        <v/>
      </c>
      <c r="I200" s="10" t="str">
        <f t="shared" si="51"/>
        <v/>
      </c>
      <c r="J200" s="11" t="str">
        <f t="shared" si="52"/>
        <v/>
      </c>
      <c r="K200" s="10" t="str">
        <f t="shared" si="53"/>
        <v/>
      </c>
      <c r="L200" s="12" t="str">
        <f t="shared" si="54"/>
        <v/>
      </c>
      <c r="M200" s="3"/>
      <c r="N200" s="11" t="str">
        <f t="shared" si="55"/>
        <v/>
      </c>
      <c r="O200" s="11" t="str">
        <f>IFERROR(INDEX(tblPricesRaw[Open],MATCH($N200,tblPricesRaw[Key],0)),"")</f>
        <v/>
      </c>
      <c r="P200" s="11" t="str">
        <f>IFERROR(INDEX(tblPricesRaw[High],MATCH($N200,tblPricesRaw[Key],0)),"")</f>
        <v/>
      </c>
      <c r="Q200" s="11" t="str">
        <f>IFERROR(INDEX(tblPricesRaw[Low],MATCH($N200,tblPricesRaw[Key],0)),"")</f>
        <v/>
      </c>
      <c r="R200" s="11" t="str">
        <f>IFERROR(INDEX(tblPricesRaw[Close],MATCH($N200,tblPricesRaw[Key],0)),"")</f>
        <v/>
      </c>
      <c r="S200" s="11" t="str">
        <f>IFERROR(INDEX(tblPricesRaw[PrevClose],MATCH($N200,tblPricesRaw[Key],0)),"")</f>
        <v/>
      </c>
    </row>
    <row r="201" spans="1:19" x14ac:dyDescent="0.3">
      <c r="A201" s="7"/>
      <c r="B201" s="8"/>
      <c r="C201" s="9" t="str">
        <f>IFERROR(INDEX(tblEarningsRaw[EPS_Actual],MATCH($N201,tblEarningsRaw[Key],0)),"")</f>
        <v/>
      </c>
      <c r="D201" s="9" t="str">
        <f>IFERROR(INDEX(tblEarningsRaw[EPS_Estimate],MATCH($N201,tblEarningsRaw[Key],0)),"")</f>
        <v/>
      </c>
      <c r="E201" s="10" t="str">
        <f t="shared" si="48"/>
        <v/>
      </c>
      <c r="F201" s="8"/>
      <c r="G201" s="10" t="str">
        <f t="shared" si="49"/>
        <v/>
      </c>
      <c r="H201" s="10" t="str">
        <f t="shared" si="50"/>
        <v/>
      </c>
      <c r="I201" s="10" t="str">
        <f t="shared" si="51"/>
        <v/>
      </c>
      <c r="J201" s="11" t="str">
        <f t="shared" si="52"/>
        <v/>
      </c>
      <c r="K201" s="10" t="str">
        <f t="shared" si="53"/>
        <v/>
      </c>
      <c r="L201" s="12" t="str">
        <f t="shared" si="54"/>
        <v/>
      </c>
      <c r="M201" s="3"/>
      <c r="N201" s="11" t="str">
        <f t="shared" si="55"/>
        <v/>
      </c>
      <c r="O201" s="11" t="str">
        <f>IFERROR(INDEX(tblPricesRaw[Open],MATCH($N201,tblPricesRaw[Key],0)),"")</f>
        <v/>
      </c>
      <c r="P201" s="11" t="str">
        <f>IFERROR(INDEX(tblPricesRaw[High],MATCH($N201,tblPricesRaw[Key],0)),"")</f>
        <v/>
      </c>
      <c r="Q201" s="11" t="str">
        <f>IFERROR(INDEX(tblPricesRaw[Low],MATCH($N201,tblPricesRaw[Key],0)),"")</f>
        <v/>
      </c>
      <c r="R201" s="11" t="str">
        <f>IFERROR(INDEX(tblPricesRaw[Close],MATCH($N201,tblPricesRaw[Key],0)),"")</f>
        <v/>
      </c>
      <c r="S201" s="11" t="str">
        <f>IFERROR(INDEX(tblPricesRaw[PrevClose],MATCH($N201,tblPricesRaw[Key],0)),"")</f>
        <v/>
      </c>
    </row>
    <row r="202" spans="1:19" x14ac:dyDescent="0.3">
      <c r="A202" s="7"/>
      <c r="B202" s="8"/>
      <c r="C202" s="9" t="str">
        <f>IFERROR(INDEX(tblEarningsRaw[EPS_Actual],MATCH($N202,tblEarningsRaw[Key],0)),"")</f>
        <v/>
      </c>
      <c r="D202" s="9" t="str">
        <f>IFERROR(INDEX(tblEarningsRaw[EPS_Estimate],MATCH($N202,tblEarningsRaw[Key],0)),"")</f>
        <v/>
      </c>
      <c r="E202" s="10" t="str">
        <f t="shared" si="48"/>
        <v/>
      </c>
      <c r="F202" s="8"/>
      <c r="G202" s="10" t="str">
        <f t="shared" si="49"/>
        <v/>
      </c>
      <c r="H202" s="10" t="str">
        <f t="shared" si="50"/>
        <v/>
      </c>
      <c r="I202" s="10" t="str">
        <f t="shared" si="51"/>
        <v/>
      </c>
      <c r="J202" s="11" t="str">
        <f t="shared" si="52"/>
        <v/>
      </c>
      <c r="K202" s="10" t="str">
        <f t="shared" si="53"/>
        <v/>
      </c>
      <c r="L202" s="12" t="str">
        <f t="shared" si="54"/>
        <v/>
      </c>
      <c r="M202" s="3"/>
      <c r="N202" s="11" t="str">
        <f t="shared" si="55"/>
        <v/>
      </c>
      <c r="O202" s="11" t="str">
        <f>IFERROR(INDEX(tblPricesRaw[Open],MATCH($N202,tblPricesRaw[Key],0)),"")</f>
        <v/>
      </c>
      <c r="P202" s="11" t="str">
        <f>IFERROR(INDEX(tblPricesRaw[High],MATCH($N202,tblPricesRaw[Key],0)),"")</f>
        <v/>
      </c>
      <c r="Q202" s="11" t="str">
        <f>IFERROR(INDEX(tblPricesRaw[Low],MATCH($N202,tblPricesRaw[Key],0)),"")</f>
        <v/>
      </c>
      <c r="R202" s="11" t="str">
        <f>IFERROR(INDEX(tblPricesRaw[Close],MATCH($N202,tblPricesRaw[Key],0)),"")</f>
        <v/>
      </c>
      <c r="S202" s="11" t="str">
        <f>IFERROR(INDEX(tblPricesRaw[PrevClose],MATCH($N202,tblPricesRaw[Key],0)),"")</f>
        <v/>
      </c>
    </row>
    <row r="203" spans="1:19" x14ac:dyDescent="0.3">
      <c r="A203" s="7"/>
      <c r="B203" s="8"/>
      <c r="C203" s="9" t="str">
        <f>IFERROR(INDEX(tblEarningsRaw[EPS_Actual],MATCH($N203,tblEarningsRaw[Key],0)),"")</f>
        <v/>
      </c>
      <c r="D203" s="9" t="str">
        <f>IFERROR(INDEX(tblEarningsRaw[EPS_Estimate],MATCH($N203,tblEarningsRaw[Key],0)),"")</f>
        <v/>
      </c>
      <c r="E203" s="10" t="str">
        <f t="shared" si="48"/>
        <v/>
      </c>
      <c r="F203" s="8"/>
      <c r="G203" s="10" t="str">
        <f t="shared" si="49"/>
        <v/>
      </c>
      <c r="H203" s="10" t="str">
        <f t="shared" si="50"/>
        <v/>
      </c>
      <c r="I203" s="10" t="str">
        <f t="shared" si="51"/>
        <v/>
      </c>
      <c r="J203" s="11" t="str">
        <f t="shared" si="52"/>
        <v/>
      </c>
      <c r="K203" s="10" t="str">
        <f t="shared" si="53"/>
        <v/>
      </c>
      <c r="L203" s="12" t="str">
        <f t="shared" si="54"/>
        <v/>
      </c>
      <c r="M203" s="3"/>
      <c r="N203" s="11" t="str">
        <f t="shared" si="55"/>
        <v/>
      </c>
      <c r="O203" s="11" t="str">
        <f>IFERROR(INDEX(tblPricesRaw[Open],MATCH($N203,tblPricesRaw[Key],0)),"")</f>
        <v/>
      </c>
      <c r="P203" s="11" t="str">
        <f>IFERROR(INDEX(tblPricesRaw[High],MATCH($N203,tblPricesRaw[Key],0)),"")</f>
        <v/>
      </c>
      <c r="Q203" s="11" t="str">
        <f>IFERROR(INDEX(tblPricesRaw[Low],MATCH($N203,tblPricesRaw[Key],0)),"")</f>
        <v/>
      </c>
      <c r="R203" s="11" t="str">
        <f>IFERROR(INDEX(tblPricesRaw[Close],MATCH($N203,tblPricesRaw[Key],0)),"")</f>
        <v/>
      </c>
      <c r="S203" s="11" t="str">
        <f>IFERROR(INDEX(tblPricesRaw[PrevClose],MATCH($N203,tblPricesRaw[Key],0)),"")</f>
        <v/>
      </c>
    </row>
    <row r="204" spans="1:19" x14ac:dyDescent="0.3">
      <c r="A204" s="7"/>
      <c r="B204" s="8"/>
      <c r="C204" s="9" t="str">
        <f>IFERROR(INDEX(tblEarningsRaw[EPS_Actual],MATCH($N204,tblEarningsRaw[Key],0)),"")</f>
        <v/>
      </c>
      <c r="D204" s="9" t="str">
        <f>IFERROR(INDEX(tblEarningsRaw[EPS_Estimate],MATCH($N204,tblEarningsRaw[Key],0)),"")</f>
        <v/>
      </c>
      <c r="E204" s="10" t="str">
        <f t="shared" si="48"/>
        <v/>
      </c>
      <c r="F204" s="8"/>
      <c r="G204" s="10" t="str">
        <f t="shared" si="49"/>
        <v/>
      </c>
      <c r="H204" s="10" t="str">
        <f t="shared" si="50"/>
        <v/>
      </c>
      <c r="I204" s="10" t="str">
        <f t="shared" si="51"/>
        <v/>
      </c>
      <c r="J204" s="11" t="str">
        <f t="shared" si="52"/>
        <v/>
      </c>
      <c r="K204" s="10" t="str">
        <f t="shared" si="53"/>
        <v/>
      </c>
      <c r="L204" s="12" t="str">
        <f t="shared" si="54"/>
        <v/>
      </c>
      <c r="M204" s="3"/>
      <c r="N204" s="11" t="str">
        <f t="shared" si="55"/>
        <v/>
      </c>
      <c r="O204" s="11" t="str">
        <f>IFERROR(INDEX(tblPricesRaw[Open],MATCH($N204,tblPricesRaw[Key],0)),"")</f>
        <v/>
      </c>
      <c r="P204" s="11" t="str">
        <f>IFERROR(INDEX(tblPricesRaw[High],MATCH($N204,tblPricesRaw[Key],0)),"")</f>
        <v/>
      </c>
      <c r="Q204" s="11" t="str">
        <f>IFERROR(INDEX(tblPricesRaw[Low],MATCH($N204,tblPricesRaw[Key],0)),"")</f>
        <v/>
      </c>
      <c r="R204" s="11" t="str">
        <f>IFERROR(INDEX(tblPricesRaw[Close],MATCH($N204,tblPricesRaw[Key],0)),"")</f>
        <v/>
      </c>
      <c r="S204" s="11" t="str">
        <f>IFERROR(INDEX(tblPricesRaw[PrevClose],MATCH($N204,tblPricesRaw[Key],0)),"")</f>
        <v/>
      </c>
    </row>
  </sheetData>
  <mergeCells count="2">
    <mergeCell ref="A2:M2"/>
    <mergeCell ref="A1:M1"/>
  </mergeCells>
  <phoneticPr fontId="8" type="noConversion"/>
  <conditionalFormatting sqref="J5:J204">
    <cfRule type="expression" dxfId="3" priority="1">
      <formula>J5="利好不涨"</formula>
    </cfRule>
    <cfRule type="expression" dxfId="2" priority="2">
      <formula>J5="利空不跌"</formula>
    </cfRule>
    <cfRule type="expression" dxfId="1" priority="3">
      <formula>J5="利好确认"</formula>
    </cfRule>
    <cfRule type="expression" dxfId="0" priority="4">
      <formula>J5="利空确认"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1F3-20D9-4836-A873-E6EEE7CC6E53}">
  <dimension ref="A1:H29"/>
  <sheetViews>
    <sheetView workbookViewId="0">
      <selection activeCell="F32" sqref="F32"/>
    </sheetView>
  </sheetViews>
  <sheetFormatPr defaultRowHeight="14.4" x14ac:dyDescent="0.3"/>
  <cols>
    <col min="1" max="1" width="18.88671875" bestFit="1" customWidth="1"/>
    <col min="2" max="2" width="9" bestFit="1" customWidth="1"/>
    <col min="3" max="3" width="13.88671875" bestFit="1" customWidth="1"/>
    <col min="4" max="4" width="13.44140625" bestFit="1" customWidth="1"/>
    <col min="5" max="5" width="15.77734375" bestFit="1" customWidth="1"/>
    <col min="6" max="6" width="18.5546875" bestFit="1" customWidth="1"/>
    <col min="7" max="7" width="21" bestFit="1" customWidth="1"/>
    <col min="8" max="8" width="13.77734375" bestFit="1" customWidth="1"/>
  </cols>
  <sheetData>
    <row r="1" spans="1:8" x14ac:dyDescent="0.3">
      <c r="A1" t="s">
        <v>36</v>
      </c>
      <c r="B1" t="s">
        <v>18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3">
      <c r="A2" t="s">
        <v>91</v>
      </c>
      <c r="B2" t="s">
        <v>21</v>
      </c>
      <c r="C2" s="16">
        <v>46022</v>
      </c>
      <c r="D2">
        <v>2.84</v>
      </c>
      <c r="E2">
        <v>2.7256999999999998</v>
      </c>
      <c r="H2">
        <v>4.1933999999999996</v>
      </c>
    </row>
    <row r="3" spans="1:8" x14ac:dyDescent="0.3">
      <c r="A3" t="s">
        <v>92</v>
      </c>
      <c r="B3" t="s">
        <v>21</v>
      </c>
      <c r="C3" s="16">
        <v>45930</v>
      </c>
      <c r="D3">
        <v>1.85</v>
      </c>
      <c r="E3">
        <v>1.8075000000000001</v>
      </c>
      <c r="H3">
        <v>2.3513000000000002</v>
      </c>
    </row>
    <row r="4" spans="1:8" x14ac:dyDescent="0.3">
      <c r="A4" t="s">
        <v>93</v>
      </c>
      <c r="B4" t="s">
        <v>21</v>
      </c>
      <c r="C4" s="16">
        <v>45838</v>
      </c>
      <c r="D4">
        <v>1.57</v>
      </c>
      <c r="E4">
        <v>1.4625999999999999</v>
      </c>
      <c r="H4">
        <v>7.3430999999999997</v>
      </c>
    </row>
    <row r="5" spans="1:8" x14ac:dyDescent="0.3">
      <c r="A5" t="s">
        <v>94</v>
      </c>
      <c r="B5" t="s">
        <v>21</v>
      </c>
      <c r="C5" s="16">
        <v>45747</v>
      </c>
      <c r="D5">
        <v>1.65</v>
      </c>
      <c r="E5">
        <v>1.6596</v>
      </c>
      <c r="H5">
        <v>-0.57850000000000001</v>
      </c>
    </row>
    <row r="6" spans="1:8" x14ac:dyDescent="0.3">
      <c r="A6" t="s">
        <v>95</v>
      </c>
      <c r="B6" t="s">
        <v>23</v>
      </c>
      <c r="C6" s="16">
        <v>46022</v>
      </c>
      <c r="D6">
        <v>4.1399999999999997</v>
      </c>
      <c r="E6">
        <v>4.0345000000000004</v>
      </c>
      <c r="H6">
        <v>2.6149</v>
      </c>
    </row>
    <row r="7" spans="1:8" x14ac:dyDescent="0.3">
      <c r="A7" t="s">
        <v>96</v>
      </c>
      <c r="B7" t="s">
        <v>23</v>
      </c>
      <c r="C7" s="16">
        <v>45930</v>
      </c>
      <c r="D7">
        <v>4.13</v>
      </c>
      <c r="E7">
        <v>3.7391000000000001</v>
      </c>
      <c r="H7">
        <v>10.4544</v>
      </c>
    </row>
    <row r="8" spans="1:8" x14ac:dyDescent="0.3">
      <c r="A8" t="s">
        <v>97</v>
      </c>
      <c r="B8" t="s">
        <v>23</v>
      </c>
      <c r="C8" s="16">
        <v>45838</v>
      </c>
      <c r="D8">
        <v>3.65</v>
      </c>
      <c r="E8">
        <v>3.4367999999999999</v>
      </c>
      <c r="H8">
        <v>6.2034000000000002</v>
      </c>
    </row>
    <row r="9" spans="1:8" x14ac:dyDescent="0.3">
      <c r="A9" t="s">
        <v>98</v>
      </c>
      <c r="B9" t="s">
        <v>23</v>
      </c>
      <c r="C9" s="16">
        <v>45747</v>
      </c>
      <c r="D9">
        <v>3.46</v>
      </c>
      <c r="E9">
        <v>3.2846000000000002</v>
      </c>
      <c r="H9">
        <v>5.3400999999999996</v>
      </c>
    </row>
    <row r="10" spans="1:8" x14ac:dyDescent="0.3">
      <c r="A10" t="s">
        <v>99</v>
      </c>
      <c r="B10" t="s">
        <v>25</v>
      </c>
      <c r="C10" s="16">
        <v>46022</v>
      </c>
      <c r="D10">
        <v>2.82</v>
      </c>
      <c r="E10">
        <v>2.7063000000000001</v>
      </c>
      <c r="H10">
        <v>4.2012999999999998</v>
      </c>
    </row>
    <row r="11" spans="1:8" x14ac:dyDescent="0.3">
      <c r="A11" t="s">
        <v>100</v>
      </c>
      <c r="B11" t="s">
        <v>25</v>
      </c>
      <c r="C11" s="16">
        <v>45930</v>
      </c>
      <c r="D11">
        <v>3.1</v>
      </c>
      <c r="E11">
        <v>2.3954</v>
      </c>
      <c r="H11">
        <v>29.4147</v>
      </c>
    </row>
    <row r="12" spans="1:8" x14ac:dyDescent="0.3">
      <c r="A12" t="s">
        <v>101</v>
      </c>
      <c r="B12" t="s">
        <v>25</v>
      </c>
      <c r="C12" s="16">
        <v>45838</v>
      </c>
      <c r="D12">
        <v>2.31</v>
      </c>
      <c r="E12">
        <v>2.25</v>
      </c>
      <c r="H12">
        <v>2.6667000000000001</v>
      </c>
    </row>
    <row r="13" spans="1:8" x14ac:dyDescent="0.3">
      <c r="A13" t="s">
        <v>102</v>
      </c>
      <c r="B13" t="s">
        <v>25</v>
      </c>
      <c r="C13" s="16">
        <v>45747</v>
      </c>
      <c r="D13">
        <v>2.27</v>
      </c>
      <c r="E13">
        <v>2.0726</v>
      </c>
      <c r="H13">
        <v>9.5243000000000002</v>
      </c>
    </row>
    <row r="14" spans="1:8" x14ac:dyDescent="0.3">
      <c r="A14" t="s">
        <v>103</v>
      </c>
      <c r="B14" t="s">
        <v>27</v>
      </c>
      <c r="C14" s="16">
        <v>46022</v>
      </c>
      <c r="D14">
        <v>1.95</v>
      </c>
      <c r="E14">
        <v>2.0110000000000001</v>
      </c>
      <c r="H14">
        <v>-3.0333000000000001</v>
      </c>
    </row>
    <row r="15" spans="1:8" x14ac:dyDescent="0.3">
      <c r="A15" t="s">
        <v>104</v>
      </c>
      <c r="B15" t="s">
        <v>27</v>
      </c>
      <c r="C15" s="16">
        <v>45930</v>
      </c>
      <c r="D15">
        <v>1.95</v>
      </c>
      <c r="E15">
        <v>1.605</v>
      </c>
      <c r="H15">
        <v>21.4953</v>
      </c>
    </row>
    <row r="16" spans="1:8" x14ac:dyDescent="0.3">
      <c r="A16" t="s">
        <v>105</v>
      </c>
      <c r="B16" t="s">
        <v>27</v>
      </c>
      <c r="C16" s="16">
        <v>45838</v>
      </c>
      <c r="D16">
        <v>1.68</v>
      </c>
      <c r="E16">
        <v>1.3545</v>
      </c>
      <c r="H16">
        <v>24.030999999999999</v>
      </c>
    </row>
    <row r="17" spans="1:8" x14ac:dyDescent="0.3">
      <c r="A17" t="s">
        <v>106</v>
      </c>
      <c r="B17" t="s">
        <v>27</v>
      </c>
      <c r="C17" s="16">
        <v>45747</v>
      </c>
      <c r="D17">
        <v>1.59</v>
      </c>
      <c r="E17">
        <v>1.3893</v>
      </c>
      <c r="H17">
        <v>14.446099999999999</v>
      </c>
    </row>
    <row r="18" spans="1:8" x14ac:dyDescent="0.3">
      <c r="A18" t="s">
        <v>107</v>
      </c>
      <c r="B18" t="s">
        <v>29</v>
      </c>
      <c r="C18" s="16">
        <v>46022</v>
      </c>
      <c r="D18">
        <v>8.8800000000000008</v>
      </c>
      <c r="E18">
        <v>8.3992000000000004</v>
      </c>
      <c r="H18">
        <v>5.7244000000000002</v>
      </c>
    </row>
    <row r="19" spans="1:8" x14ac:dyDescent="0.3">
      <c r="A19" t="s">
        <v>108</v>
      </c>
      <c r="B19" t="s">
        <v>29</v>
      </c>
      <c r="C19" s="16">
        <v>45930</v>
      </c>
      <c r="D19">
        <v>7.25</v>
      </c>
      <c r="E19">
        <v>6.8244999999999996</v>
      </c>
      <c r="H19">
        <v>6.2348999999999997</v>
      </c>
    </row>
    <row r="20" spans="1:8" x14ac:dyDescent="0.3">
      <c r="A20" t="s">
        <v>109</v>
      </c>
      <c r="B20" t="s">
        <v>29</v>
      </c>
      <c r="C20" s="16">
        <v>45838</v>
      </c>
      <c r="D20">
        <v>7.14</v>
      </c>
      <c r="E20">
        <v>6.0351999999999997</v>
      </c>
      <c r="H20">
        <v>18.305900000000001</v>
      </c>
    </row>
    <row r="21" spans="1:8" x14ac:dyDescent="0.3">
      <c r="A21" t="s">
        <v>110</v>
      </c>
      <c r="B21" t="s">
        <v>29</v>
      </c>
      <c r="C21" s="16">
        <v>45747</v>
      </c>
      <c r="D21">
        <v>6.43</v>
      </c>
      <c r="E21">
        <v>5.3859000000000004</v>
      </c>
      <c r="H21">
        <v>19.3858</v>
      </c>
    </row>
    <row r="22" spans="1:8" x14ac:dyDescent="0.3">
      <c r="A22" t="s">
        <v>111</v>
      </c>
      <c r="B22" t="s">
        <v>31</v>
      </c>
      <c r="C22" s="16">
        <v>46022</v>
      </c>
      <c r="D22">
        <v>1.3</v>
      </c>
      <c r="E22">
        <v>1.2746</v>
      </c>
      <c r="H22">
        <v>1.9927999999999999</v>
      </c>
    </row>
    <row r="23" spans="1:8" x14ac:dyDescent="0.3">
      <c r="A23" t="s">
        <v>112</v>
      </c>
      <c r="B23" t="s">
        <v>31</v>
      </c>
      <c r="C23" s="16">
        <v>45930</v>
      </c>
      <c r="D23">
        <v>1.05</v>
      </c>
      <c r="E23">
        <v>1.0281</v>
      </c>
      <c r="H23">
        <v>2.1301000000000001</v>
      </c>
    </row>
    <row r="24" spans="1:8" x14ac:dyDescent="0.3">
      <c r="A24" t="s">
        <v>113</v>
      </c>
      <c r="B24" t="s">
        <v>31</v>
      </c>
      <c r="C24" s="16">
        <v>45838</v>
      </c>
      <c r="D24">
        <v>0.96</v>
      </c>
      <c r="E24">
        <v>0.95209999999999995</v>
      </c>
      <c r="H24">
        <v>0.82969999999999999</v>
      </c>
    </row>
    <row r="25" spans="1:8" x14ac:dyDescent="0.3">
      <c r="A25" t="s">
        <v>114</v>
      </c>
      <c r="B25" t="s">
        <v>31</v>
      </c>
      <c r="C25" s="16">
        <v>45747</v>
      </c>
      <c r="D25">
        <v>0.89</v>
      </c>
      <c r="E25">
        <v>0.86050000000000004</v>
      </c>
      <c r="H25">
        <v>3.4281999999999999</v>
      </c>
    </row>
    <row r="26" spans="1:8" x14ac:dyDescent="0.3">
      <c r="A26" t="s">
        <v>115</v>
      </c>
      <c r="B26" t="s">
        <v>33</v>
      </c>
      <c r="C26" s="16">
        <v>46022</v>
      </c>
      <c r="D26">
        <v>0.5</v>
      </c>
      <c r="E26">
        <v>0.45590000000000003</v>
      </c>
      <c r="H26">
        <v>9.6731999999999996</v>
      </c>
    </row>
    <row r="27" spans="1:8" x14ac:dyDescent="0.3">
      <c r="A27" t="s">
        <v>116</v>
      </c>
      <c r="B27" t="s">
        <v>33</v>
      </c>
      <c r="C27" s="16">
        <v>45930</v>
      </c>
      <c r="D27">
        <v>0.5</v>
      </c>
      <c r="E27">
        <v>0.55859999999999999</v>
      </c>
      <c r="H27">
        <v>-10.490500000000001</v>
      </c>
    </row>
    <row r="28" spans="1:8" x14ac:dyDescent="0.3">
      <c r="A28" t="s">
        <v>117</v>
      </c>
      <c r="B28" t="s">
        <v>33</v>
      </c>
      <c r="C28" s="16">
        <v>45838</v>
      </c>
      <c r="D28">
        <v>0.4</v>
      </c>
      <c r="E28">
        <v>0.43730000000000002</v>
      </c>
      <c r="H28">
        <v>-8.5296000000000003</v>
      </c>
    </row>
    <row r="29" spans="1:8" x14ac:dyDescent="0.3">
      <c r="A29" t="s">
        <v>118</v>
      </c>
      <c r="B29" t="s">
        <v>33</v>
      </c>
      <c r="C29" s="16">
        <v>45747</v>
      </c>
      <c r="D29">
        <v>0.27</v>
      </c>
      <c r="E29">
        <v>0.39900000000000002</v>
      </c>
      <c r="H29">
        <v>-32.330800000000004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554B-BF16-48E9-979A-2BA9D1824F33}">
  <dimension ref="A1:H7"/>
  <sheetViews>
    <sheetView workbookViewId="0">
      <selection activeCell="A2" sqref="A2"/>
    </sheetView>
  </sheetViews>
  <sheetFormatPr defaultRowHeight="14.4" x14ac:dyDescent="0.3"/>
  <cols>
    <col min="1" max="1" width="8" bestFit="1" customWidth="1"/>
    <col min="2" max="2" width="9.5546875" bestFit="1" customWidth="1"/>
    <col min="3" max="3" width="4.33203125" bestFit="1" customWidth="1"/>
    <col min="4" max="4" width="6.33203125" bestFit="1" customWidth="1"/>
    <col min="5" max="5" width="5.5546875" bestFit="1" customWidth="1"/>
    <col min="6" max="6" width="5.109375" bestFit="1" customWidth="1"/>
    <col min="7" max="7" width="6.33203125" bestFit="1" customWidth="1"/>
    <col min="8" max="8" width="10.21875" bestFit="1" customWidth="1"/>
  </cols>
  <sheetData>
    <row r="1" spans="1:8" x14ac:dyDescent="0.3">
      <c r="A1" s="17" t="s">
        <v>2128</v>
      </c>
      <c r="B1" s="17"/>
      <c r="C1" s="17"/>
      <c r="D1" s="17"/>
      <c r="E1" s="17"/>
      <c r="F1" s="17"/>
      <c r="G1" s="17"/>
      <c r="H1" s="17"/>
    </row>
    <row r="3" spans="1:8" x14ac:dyDescent="0.3">
      <c r="A3" s="17"/>
      <c r="B3" s="17"/>
      <c r="C3" s="17"/>
    </row>
    <row r="4" spans="1:8" x14ac:dyDescent="0.3">
      <c r="A4" s="17"/>
      <c r="B4" s="17"/>
      <c r="C4" s="17"/>
    </row>
    <row r="5" spans="1:8" x14ac:dyDescent="0.3">
      <c r="A5" s="17"/>
      <c r="B5" s="17"/>
      <c r="C5" s="17"/>
    </row>
    <row r="6" spans="1:8" x14ac:dyDescent="0.3">
      <c r="A6" s="17"/>
      <c r="B6" s="17"/>
      <c r="C6" s="17"/>
    </row>
    <row r="7" spans="1:8" x14ac:dyDescent="0.3">
      <c r="A7" s="17"/>
      <c r="B7" s="17"/>
      <c r="C7" s="17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"/>
  <sheetViews>
    <sheetView workbookViewId="0">
      <selection activeCell="B42" sqref="B42"/>
    </sheetView>
  </sheetViews>
  <sheetFormatPr defaultRowHeight="14.4" x14ac:dyDescent="0.3"/>
  <cols>
    <col min="1" max="1" width="120" customWidth="1"/>
    <col min="2" max="6" width="10" customWidth="1"/>
  </cols>
  <sheetData>
    <row r="1" spans="1:6" ht="19.2" customHeight="1" x14ac:dyDescent="0.3">
      <c r="A1" s="22" t="s">
        <v>67</v>
      </c>
      <c r="B1" s="20"/>
      <c r="C1" s="20"/>
      <c r="D1" s="20"/>
      <c r="E1" s="20"/>
      <c r="F1" s="20"/>
    </row>
    <row r="3" spans="1:6" x14ac:dyDescent="0.3">
      <c r="A3" s="13" t="s">
        <v>68</v>
      </c>
    </row>
    <row r="4" spans="1:6" x14ac:dyDescent="0.3">
      <c r="A4" s="13" t="s">
        <v>69</v>
      </c>
    </row>
    <row r="5" spans="1:6" x14ac:dyDescent="0.3">
      <c r="A5" s="13" t="s">
        <v>70</v>
      </c>
    </row>
    <row r="6" spans="1:6" x14ac:dyDescent="0.3">
      <c r="A6" s="13" t="s">
        <v>71</v>
      </c>
    </row>
    <row r="7" spans="1:6" x14ac:dyDescent="0.3">
      <c r="A7" s="13" t="s">
        <v>72</v>
      </c>
    </row>
    <row r="8" spans="1:6" x14ac:dyDescent="0.3">
      <c r="A8" s="13" t="s">
        <v>73</v>
      </c>
    </row>
    <row r="9" spans="1:6" x14ac:dyDescent="0.3">
      <c r="A9" s="13" t="s">
        <v>6</v>
      </c>
    </row>
    <row r="10" spans="1:6" x14ac:dyDescent="0.3">
      <c r="A10" s="13" t="s">
        <v>74</v>
      </c>
    </row>
    <row r="12" spans="1:6" x14ac:dyDescent="0.3">
      <c r="A12" s="14" t="s">
        <v>75</v>
      </c>
    </row>
    <row r="13" spans="1:6" ht="223.95" customHeight="1" x14ac:dyDescent="0.3">
      <c r="A13" s="15" t="s">
        <v>90</v>
      </c>
    </row>
    <row r="14" spans="1:6" ht="12" customHeight="1" x14ac:dyDescent="0.3"/>
    <row r="15" spans="1:6" ht="12" customHeight="1" x14ac:dyDescent="0.3"/>
    <row r="16" spans="1:6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spans="1:1" ht="12" customHeight="1" x14ac:dyDescent="0.3"/>
    <row r="34" spans="1:1" ht="12" customHeight="1" x14ac:dyDescent="0.3"/>
    <row r="35" spans="1:1" ht="12" customHeight="1" x14ac:dyDescent="0.3">
      <c r="A35" s="14" t="s">
        <v>76</v>
      </c>
    </row>
    <row r="36" spans="1:1" ht="264" customHeight="1" x14ac:dyDescent="0.3">
      <c r="A36" s="15" t="s">
        <v>119</v>
      </c>
    </row>
    <row r="37" spans="1:1" ht="12" customHeight="1" x14ac:dyDescent="0.3"/>
    <row r="38" spans="1:1" ht="12" customHeight="1" x14ac:dyDescent="0.3"/>
    <row r="39" spans="1:1" ht="12" customHeight="1" x14ac:dyDescent="0.3"/>
    <row r="40" spans="1:1" ht="12" customHeight="1" x14ac:dyDescent="0.3"/>
    <row r="41" spans="1:1" ht="12" customHeight="1" x14ac:dyDescent="0.3"/>
    <row r="42" spans="1:1" ht="12" customHeight="1" x14ac:dyDescent="0.3"/>
    <row r="43" spans="1:1" ht="12" customHeight="1" x14ac:dyDescent="0.3"/>
    <row r="44" spans="1:1" ht="12" customHeight="1" x14ac:dyDescent="0.3"/>
    <row r="45" spans="1:1" ht="12" customHeight="1" x14ac:dyDescent="0.3"/>
    <row r="46" spans="1:1" ht="12" customHeight="1" x14ac:dyDescent="0.3"/>
    <row r="47" spans="1:1" ht="12" customHeight="1" x14ac:dyDescent="0.3"/>
    <row r="48" spans="1:1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</sheetData>
  <mergeCells count="1">
    <mergeCell ref="A1:F1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sqref="A1:E1"/>
    </sheetView>
  </sheetViews>
  <sheetFormatPr defaultRowHeight="14.4" x14ac:dyDescent="0.3"/>
  <cols>
    <col min="1" max="1" width="110" customWidth="1"/>
    <col min="2" max="5" width="10" customWidth="1"/>
  </cols>
  <sheetData>
    <row r="1" spans="1:5" ht="22.35" customHeight="1" x14ac:dyDescent="0.3">
      <c r="A1" s="19" t="s">
        <v>77</v>
      </c>
      <c r="B1" s="20"/>
      <c r="C1" s="20"/>
      <c r="D1" s="20"/>
      <c r="E1" s="20"/>
    </row>
    <row r="3" spans="1:5" x14ac:dyDescent="0.3">
      <c r="A3" s="13" t="s">
        <v>78</v>
      </c>
    </row>
    <row r="4" spans="1:5" x14ac:dyDescent="0.3">
      <c r="A4" s="13" t="s">
        <v>79</v>
      </c>
    </row>
    <row r="5" spans="1:5" x14ac:dyDescent="0.3">
      <c r="A5" s="13" t="s">
        <v>80</v>
      </c>
    </row>
    <row r="6" spans="1:5" x14ac:dyDescent="0.3">
      <c r="A6" s="13" t="s">
        <v>81</v>
      </c>
    </row>
    <row r="7" spans="1:5" x14ac:dyDescent="0.3">
      <c r="A7" s="13" t="s">
        <v>82</v>
      </c>
    </row>
    <row r="8" spans="1:5" x14ac:dyDescent="0.3">
      <c r="A8" s="13" t="s">
        <v>83</v>
      </c>
    </row>
    <row r="9" spans="1:5" x14ac:dyDescent="0.3">
      <c r="A9" s="13" t="s">
        <v>84</v>
      </c>
    </row>
    <row r="12" spans="1:5" x14ac:dyDescent="0.3">
      <c r="A12" s="14" t="s">
        <v>85</v>
      </c>
    </row>
    <row r="13" spans="1:5" x14ac:dyDescent="0.3">
      <c r="A13" s="13" t="s">
        <v>86</v>
      </c>
    </row>
    <row r="14" spans="1:5" x14ac:dyDescent="0.3">
      <c r="A14" s="13" t="s">
        <v>87</v>
      </c>
    </row>
    <row r="15" spans="1:5" x14ac:dyDescent="0.3">
      <c r="A15" s="13" t="s">
        <v>88</v>
      </c>
    </row>
    <row r="16" spans="1:5" x14ac:dyDescent="0.3">
      <c r="A16" s="13" t="s">
        <v>89</v>
      </c>
    </row>
  </sheetData>
  <mergeCells count="1">
    <mergeCell ref="A1:E1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484F0-F315-4760-B597-061C3790F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Settings</vt:lpstr>
      <vt:lpstr>Tickers</vt:lpstr>
      <vt:lpstr>EarningsRaw</vt:lpstr>
      <vt:lpstr>PricesRaw</vt:lpstr>
      <vt:lpstr>Tracker</vt:lpstr>
      <vt:lpstr>qEarningsRaw</vt:lpstr>
      <vt:lpstr>qPricesRaw</vt:lpstr>
      <vt:lpstr>PQ_M_Code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Fu</dc:creator>
  <cp:lastModifiedBy>Xuan Fu</cp:lastModifiedBy>
  <dcterms:created xsi:type="dcterms:W3CDTF">2026-02-25T03:20:55Z</dcterms:created>
  <dcterms:modified xsi:type="dcterms:W3CDTF">2026-02-25T09:44:26Z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FD60B3E4-5A2A-4ACB-AE6D-692A20995EC8</vt:lpwstr>
  </property>
</Properties>
</file>