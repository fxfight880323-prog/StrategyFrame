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815" windowHeight="4452" activeTab="1"/>
  </bookViews>
  <sheets>
    <sheet name="0_Dashboard" sheetId="1" r:id="rId1"/>
    <sheet name="1_Macro_Liquidity" sheetId="2" r:id="rId2"/>
    <sheet name="2_RealRate_Valuation" sheetId="3" r:id="rId3"/>
    <sheet name="3_TGA_RRP" sheetId="4" r:id="rId4"/>
    <sheet name="4_Micro_Fundamentals" sheetId="5" r:id="rId5"/>
    <sheet name="5_Price_A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<sst xmlns="http://schemas.openxmlformats.org/spreadsheetml/2006/main" count="1355" uniqueCount="135">
  <si>
    <t>Market Dashboard（美股读盘框架）</t>
  </si>
  <si>
    <t>把宏观流动性 × 微观基本面 × 价格行动落地为“可每周更新”的评分体系。</t>
  </si>
  <si>
    <t>模块</t>
  </si>
  <si>
    <t>指标</t>
  </si>
  <si>
    <t>当前值(链接/输入)</t>
  </si>
  <si>
    <t>环比</t>
  </si>
  <si>
    <t>阈值/规则</t>
  </si>
  <si>
    <t>状态(公式)</t>
  </si>
  <si>
    <t>得分(公式)</t>
  </si>
  <si>
    <t>注释</t>
  </si>
  <si>
    <t>流动性</t>
  </si>
  <si>
    <t>宏观政策得分(合计)</t>
  </si>
  <si>
    <t/>
  </si>
  <si>
    <t>&gt;=2宽松; 0-1中性; &lt;0收紧</t>
  </si>
  <si>
    <t>点阵图/中性利率/分歧/不确定性</t>
  </si>
  <si>
    <t>实际利率得分(最近)</t>
  </si>
  <si>
    <t>10Y TIPS &lt;=0.75→+1</t>
  </si>
  <si>
    <t>实际利率下行利好成长</t>
  </si>
  <si>
    <t>TGA得分(最近)</t>
  </si>
  <si>
    <t>TGA&lt;8500→+1</t>
  </si>
  <si>
    <t>TGA下降=释放流动性</t>
  </si>
  <si>
    <t>基本面</t>
  </si>
  <si>
    <t>Mag7得分(加权)</t>
  </si>
  <si>
    <t>&gt;=0.3强; 0-0.29中; &lt;0弱</t>
  </si>
  <si>
    <t>超预期+利润率+FCF</t>
  </si>
  <si>
    <t>情绪</t>
  </si>
  <si>
    <t>利好不涨比例</t>
  </si>
  <si>
    <t>&lt;30%健康; 30-45%警惕; &gt;45%风险</t>
  </si>
  <si>
    <t>Good news, bad reaction</t>
  </si>
  <si>
    <t>利空不跌比例</t>
  </si>
  <si>
    <t>&gt;25%偏底部; &lt;10%偏顶部</t>
  </si>
  <si>
    <t>Bad news, good reaction</t>
  </si>
  <si>
    <t>广度</t>
  </si>
  <si>
    <t>板块联动均值</t>
  </si>
  <si>
    <t>&gt;0.60广度好; 0.4-0.6一般; &lt;0.4差</t>
  </si>
  <si>
    <t>龙头带动板块</t>
  </si>
  <si>
    <t>总分（-6 到 +6）</t>
  </si>
  <si>
    <t>流动性总分</t>
  </si>
  <si>
    <t>业绩/基本面得分</t>
  </si>
  <si>
    <t>市场状态（矩阵输出）</t>
  </si>
  <si>
    <t>使用说明（快速）</t>
  </si>
  <si>
    <t>1) 先在 Sheet1/2/3 填宏观与流动性；2) Sheet4 填Mag7财报核心数字；3) Sheet5 记录“利好不涨/利空不跌”；4) 回到本页看总分与市场状态。</t>
  </si>
  <si>
    <t>宏观流动性（美联储与点阵图）</t>
  </si>
  <si>
    <t>输入每次FOMC更新后的关键数字；用“评分”给宏观方向打分（+1/0/-1）。</t>
  </si>
  <si>
    <t>更新日期（本行）</t>
  </si>
  <si>
    <t>2026-02-10</t>
  </si>
  <si>
    <t>最新值(输入)</t>
  </si>
  <si>
    <t>上次值(输入)</t>
  </si>
  <si>
    <t>变化(公式)</t>
  </si>
  <si>
    <t>阈值/参考(输入)</t>
  </si>
  <si>
    <t>评分(公式)</t>
  </si>
  <si>
    <t>解读/备注</t>
  </si>
  <si>
    <t>数据来源(可选)</t>
  </si>
  <si>
    <t>2026年末点阵图中值(%)</t>
  </si>
  <si>
    <t>下降→偏鸽</t>
  </si>
  <si>
    <t>关注“降到哪”而非“降多少”</t>
  </si>
  <si>
    <t>长期中性利率(%)</t>
  </si>
  <si>
    <t>锚点</t>
  </si>
  <si>
    <t>中性利率若上修→估值中枢下移风险</t>
  </si>
  <si>
    <t>预计不降息官员数</t>
  </si>
  <si>
    <t>分歧</t>
  </si>
  <si>
    <t>人数上升→政策不确定性↑</t>
  </si>
  <si>
    <t>主席更替/政策不确定性(0-2)</t>
  </si>
  <si>
    <t>0低 1中 2高</t>
  </si>
  <si>
    <t>换届年可上调风险折价</t>
  </si>
  <si>
    <t>宏观政策得分（合计）</t>
  </si>
  <si>
    <t>实际利率与估值（Real Rate）</t>
  </si>
  <si>
    <t>输入10Y TIPS（实际利率）与指数表现，用阈值判断成长股估值环境。</t>
  </si>
  <si>
    <t>监控区间：0.50%–0.75%（适度限制性）</t>
  </si>
  <si>
    <t>日期</t>
  </si>
  <si>
    <t>10Y TIPS(%) 输入</t>
  </si>
  <si>
    <t>1M前 输入</t>
  </si>
  <si>
    <t>阈值上限(%) 输入</t>
  </si>
  <si>
    <t>备注</t>
  </si>
  <si>
    <t>来源</t>
  </si>
  <si>
    <t>0.75</t>
  </si>
  <si>
    <t>实际利率得分（最近一行）</t>
  </si>
  <si>
    <t>TGA 与 RRP（财政流动性）</t>
  </si>
  <si>
    <t>TGA下降=释放流动性；RRP见底时“弹性”通常更大。</t>
  </si>
  <si>
    <t>TGA(亿美元) 输入</t>
  </si>
  <si>
    <t>上期TGA 输入</t>
  </si>
  <si>
    <t>TGA变化(公式)</t>
  </si>
  <si>
    <t>目标余额(亿美元) 输入</t>
  </si>
  <si>
    <t>8500</t>
  </si>
  <si>
    <t>RRP监控（可选）</t>
  </si>
  <si>
    <t>RRP(亿美元) 输入</t>
  </si>
  <si>
    <t>上期RRP 输入</t>
  </si>
  <si>
    <t>RRP变化(公式)</t>
  </si>
  <si>
    <t>“见底”阈值(亿美元) 输入</t>
  </si>
  <si>
    <t>1000</t>
  </si>
  <si>
    <t>微观基本面（Mag 7）</t>
  </si>
  <si>
    <t>每季财报后更新：EPS增速、AI占比、CapEx强度、利润率、FCF。用红线规则识别风险。</t>
  </si>
  <si>
    <t>提示：成本增速 &gt; 营收增速通常触发“杀估值”；利润率( Margin )指引更关键。</t>
  </si>
  <si>
    <t>Ticker</t>
  </si>
  <si>
    <t>公司</t>
  </si>
  <si>
    <t>EPS YoY(%) 输入</t>
  </si>
  <si>
    <t>预期EPS(%) 输入</t>
  </si>
  <si>
    <t>Surprise(公式)</t>
  </si>
  <si>
    <t>AI收入占比(%) 输入</t>
  </si>
  <si>
    <t>CapEx/Rev(%) 输入</t>
  </si>
  <si>
    <t>Margin QoQ(pp) 输入</t>
  </si>
  <si>
    <t>FCF YoY(%) 输入</t>
  </si>
  <si>
    <t>AAPL</t>
  </si>
  <si>
    <t>Apple</t>
  </si>
  <si>
    <t>MSFT</t>
  </si>
  <si>
    <t>Microsoft</t>
  </si>
  <si>
    <t>NVDA</t>
  </si>
  <si>
    <t>NVIDIA</t>
  </si>
  <si>
    <t>GOOGL</t>
  </si>
  <si>
    <t>Alphabet</t>
  </si>
  <si>
    <t>AMZN</t>
  </si>
  <si>
    <t>Amazon</t>
  </si>
  <si>
    <t>META</t>
  </si>
  <si>
    <t>Meta</t>
  </si>
  <si>
    <t>TSLA</t>
  </si>
  <si>
    <t>Tesla</t>
  </si>
  <si>
    <t>Mag7综合得分（按“超预期+利润率+FCF”粗略打分，可自行改权重）</t>
  </si>
  <si>
    <t>Surprise</t>
  </si>
  <si>
    <t>Margin QoQ</t>
  </si>
  <si>
    <t>FCF YoY</t>
  </si>
  <si>
    <t>单股得分(公式)</t>
  </si>
  <si>
    <t>权重(输入)</t>
  </si>
  <si>
    <t>加权得分(公式)</t>
  </si>
  <si>
    <t>0.1429</t>
  </si>
  <si>
    <t>权重合计</t>
  </si>
  <si>
    <t>Mag7得分（加权）</t>
  </si>
  <si>
    <t>价格行动（财报后反应）</t>
  </si>
  <si>
    <t>记录“利好不涨 / 利空不跌”频率与板块联动性，用作牛熊转换最敏感信号。</t>
  </si>
  <si>
    <t>EPS结果</t>
  </si>
  <si>
    <t>指引结果</t>
  </si>
  <si>
    <t>开盘反应</t>
  </si>
  <si>
    <t>收盘反应</t>
  </si>
  <si>
    <t>类型(公式)</t>
  </si>
  <si>
    <t>板块联动(0-1) 输入</t>
  </si>
  <si>
    <t>统计（最近80条记录）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</si>
</sst>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FF"/>
      <name val="宋体"/>
      <charset val="134"/>
      <scheme val="minor"/>
    </font>
    <font>
      <b/>
      <sz val="11"/>
      <color rgb="FF9C0006"/>
      <name val="宋体"/>
      <charset val="134"/>
      <scheme val="minor"/>
    </font>
    <font>
      <sz val="11"/>
      <color rgb="FF008000"/>
      <name val="宋体"/>
      <charset val="134"/>
      <scheme val="minor"/>
    </font>
    <font>
      <b/>
      <sz val="14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10" fontId="0" fillId="0" borderId="1" xfId="0" applyNumberFormat="1" applyBorder="1"/>
    <xf numFmtId="2" fontId="0" fillId="0" borderId="1" xfId="0" applyNumberFormat="1" applyBorder="1"/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4" borderId="1" xfId="0" applyFont="1" applyFill="1" applyBorder="1"/>
    <xf numFmtId="0" fontId="0" fillId="0" borderId="1" xfId="0" applyBorder="1"/>
    <xf numFmtId="0" fontId="3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10Y TIPS（实际利率）走势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'2_RealRate_Valuation'!$B$5</c:f>
              <c:strCache>
                <c:ptCount val="1"/>
                <c:pt idx="0">
                  <c:v>10Y TIPS(%) 输入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'2_RealRate_Valuation'!$A$6:$A$35</c:f>
              <c:strCache>
                <c:ptCount val="3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'2_RealRate_Valuation'!$B$6:$B$35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日期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实际利率(%)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5b51146-38fd-4e57-86c1-c92d38eee38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TGA余额走势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'3_TGA_RRP'!$B$5</c:f>
              <c:strCache>
                <c:ptCount val="1"/>
                <c:pt idx="0">
                  <c:v>TGA(亿美元) 输入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'3_TGA_RRP'!$A$6:$A$35</c:f>
              <c:strCache>
                <c:ptCount val="3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'3_TGA_RRP'!$B$6:$B$35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日期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TGA(亿美元)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761f0af-65bc-4c93-8729-4237e4e07ce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4</xdr:row>
      <xdr:rowOff>0</xdr:rowOff>
    </xdr:from>
    <xdr:ext cx="6480000" cy="3293340"/>
    <xdr:graphicFrame>
      <xdr:nvGraphicFramePr>
        <xdr:cNvPr id="2" name="Chart 1"/>
        <xdr:cNvGraphicFramePr/>
      </xdr:nvGraphicFramePr>
      <xdr:xfrm>
        <a:off x="9532620" y="807720"/>
        <a:ext cx="6479540" cy="3293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4</xdr:row>
      <xdr:rowOff>0</xdr:rowOff>
    </xdr:from>
    <xdr:ext cx="6480000" cy="3293340"/>
    <xdr:graphicFrame>
      <xdr:nvGraphicFramePr>
        <xdr:cNvPr id="2" name="Chart 1"/>
        <xdr:cNvGraphicFramePr/>
      </xdr:nvGraphicFramePr>
      <xdr:xfrm>
        <a:off x="9806940" y="807720"/>
        <a:ext cx="6479540" cy="3293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showGridLines="0" workbookViewId="0">
      <pane ySplit="4" topLeftCell="A5" activePane="bottomLeft" state="frozen"/>
      <selection/>
      <selection pane="bottomLeft" activeCell="B17" sqref="B17"/>
    </sheetView>
  </sheetViews>
  <sheetFormatPr defaultColWidth="9" defaultRowHeight="14.4" outlineLevelCol="7"/>
  <cols>
    <col min="1" max="1" width="14" customWidth="1"/>
    <col min="2" max="2" width="22" customWidth="1"/>
    <col min="3" max="3" width="14" customWidth="1"/>
    <col min="4" max="4" width="10" customWidth="1"/>
    <col min="5" max="5" width="18" customWidth="1"/>
    <col min="6" max="6" width="12" customWidth="1"/>
    <col min="7" max="7" width="10" customWidth="1"/>
    <col min="8" max="8" width="30" customWidth="1"/>
  </cols>
  <sheetData>
    <row r="1" ht="20.4" spans="1:8">
      <c r="A1" s="1" t="s">
        <v>0</v>
      </c>
    </row>
    <row r="2" spans="1:8">
      <c r="A2" s="2" t="s">
        <v>1</v>
      </c>
    </row>
    <row r="5" ht="28.8" spans="1:8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ht="28.8" spans="1:8">
      <c r="A6" s="5" t="s">
        <v>10</v>
      </c>
      <c r="B6" s="6" t="s">
        <v>11</v>
      </c>
      <c r="C6" s="17">
        <f>'1_Macro_Liquidity'!H11</f>
        <v>0</v>
      </c>
      <c r="D6" s="5" t="s">
        <v>12</v>
      </c>
      <c r="E6" s="5" t="s">
        <v>13</v>
      </c>
      <c r="F6" s="5" t="str">
        <f>IF(C6="","",IF(C6&gt;=2,"宽松",IF(C6&gt;=0,"中性","收紧")))</f>
        <v>中性</v>
      </c>
      <c r="G6" s="12">
        <f>IF(C6="","",IF(C6&gt;=2,1,IF(C6&gt;=0,0,-1)))</f>
        <v>0</v>
      </c>
      <c r="H6" s="6" t="s">
        <v>14</v>
      </c>
    </row>
    <row r="7" ht="28.8" spans="1:8">
      <c r="A7" s="5" t="s">
        <v>10</v>
      </c>
      <c r="B7" s="6" t="s">
        <v>15</v>
      </c>
      <c r="C7" s="17" t="str">
        <f>'2_RealRate_Valuation'!B37</f>
        <v/>
      </c>
      <c r="D7" s="5" t="s">
        <v>12</v>
      </c>
      <c r="E7" s="5" t="s">
        <v>16</v>
      </c>
      <c r="F7" s="5" t="str">
        <f>IF(C7="","",IF(C7=1,"宽松",IF(C7=0,"中性","收紧")))</f>
        <v/>
      </c>
      <c r="G7" s="12" t="str">
        <f>C7</f>
        <v/>
      </c>
      <c r="H7" s="6" t="s">
        <v>17</v>
      </c>
    </row>
    <row r="8" spans="1:8">
      <c r="A8" s="5" t="s">
        <v>10</v>
      </c>
      <c r="B8" s="6" t="s">
        <v>18</v>
      </c>
      <c r="C8" s="17" t="str">
        <f>IFERROR(LOOKUP(2,1/('3_TGA_RRP'!F6:F35&lt;&gt;""),'3_TGA_RRP'!F6:F35),"")</f>
        <v/>
      </c>
      <c r="D8" s="5" t="s">
        <v>12</v>
      </c>
      <c r="E8" s="5" t="s">
        <v>19</v>
      </c>
      <c r="F8" s="5" t="str">
        <f>IF(C8="","",IF(C8=1,"释放",IF(C8=0,"中性","收缩")))</f>
        <v/>
      </c>
      <c r="G8" s="12" t="str">
        <f>C8</f>
        <v/>
      </c>
      <c r="H8" s="6" t="s">
        <v>20</v>
      </c>
    </row>
    <row r="9" ht="28.8" spans="1:8">
      <c r="A9" s="5" t="s">
        <v>21</v>
      </c>
      <c r="B9" s="6" t="s">
        <v>22</v>
      </c>
      <c r="C9" s="17">
        <f>'4_Micro_Fundamentals'!G25</f>
        <v>1.0003</v>
      </c>
      <c r="D9" s="5" t="s">
        <v>12</v>
      </c>
      <c r="E9" s="5" t="s">
        <v>23</v>
      </c>
      <c r="F9" s="5" t="str">
        <f>IF(C9="","",IF(C9&gt;=0.3,"强",IF(C9&gt;=0,"中","弱")))</f>
        <v>强</v>
      </c>
      <c r="G9" s="12">
        <f>IF(C9="","",IF(C9&gt;=0.3,1,IF(C9&gt;=0,0,-1)))</f>
        <v>1</v>
      </c>
      <c r="H9" s="6" t="s">
        <v>24</v>
      </c>
    </row>
    <row r="10" ht="28.8" spans="1:8">
      <c r="A10" s="5" t="s">
        <v>25</v>
      </c>
      <c r="B10" s="6" t="s">
        <v>26</v>
      </c>
      <c r="C10" s="18">
        <f>'5_Price_Action'!B89</f>
        <v>0</v>
      </c>
      <c r="D10" s="5" t="s">
        <v>12</v>
      </c>
      <c r="E10" s="5" t="s">
        <v>27</v>
      </c>
      <c r="F10" s="5" t="str">
        <f>IF(C10="","",IF(C10&lt;0.3,"健康",IF(C10&lt;0.45,"警惕","风险")))</f>
        <v>健康</v>
      </c>
      <c r="G10" s="12">
        <f>IF(C10="","",IF(C10&lt;0.3,1,IF(C10&lt;0.45,0,-1)))</f>
        <v>1</v>
      </c>
      <c r="H10" s="6" t="s">
        <v>28</v>
      </c>
    </row>
    <row r="11" ht="28.8" spans="1:8">
      <c r="A11" s="5" t="s">
        <v>25</v>
      </c>
      <c r="B11" s="6" t="s">
        <v>29</v>
      </c>
      <c r="C11" s="18">
        <f>'5_Price_Action'!B90</f>
        <v>0</v>
      </c>
      <c r="D11" s="5" t="s">
        <v>12</v>
      </c>
      <c r="E11" s="5" t="s">
        <v>30</v>
      </c>
      <c r="F11" s="5" t="str">
        <f>IF(C11="","",IF(C11&gt;0.25,"偏底部",IF(C11&gt;0.1,"中性","偏顶部")))</f>
        <v>偏顶部</v>
      </c>
      <c r="G11" s="12">
        <f>IF(C11="","",IF(C11&gt;0.25,1,IF(C11&gt;0.1,0,-1)))</f>
        <v>-1</v>
      </c>
      <c r="H11" s="6" t="s">
        <v>31</v>
      </c>
    </row>
    <row r="12" ht="28.8" spans="1:8">
      <c r="A12" s="5" t="s">
        <v>32</v>
      </c>
      <c r="B12" s="6" t="s">
        <v>33</v>
      </c>
      <c r="C12" s="17" t="str">
        <f>'5_Price_Action'!B91</f>
        <v/>
      </c>
      <c r="D12" s="5" t="s">
        <v>12</v>
      </c>
      <c r="E12" s="5" t="s">
        <v>34</v>
      </c>
      <c r="F12" s="5" t="str">
        <f>IF(C12="","",IF(C12&gt;0.6,"良好",IF(C12&gt;0.4,"一般","较差")))</f>
        <v/>
      </c>
      <c r="G12" s="12" t="str">
        <f>IF(C12="","",IF(C12&gt;0.6,1,IF(C12&gt;0.4,0,-1)))</f>
        <v/>
      </c>
      <c r="H12" s="6" t="s">
        <v>35</v>
      </c>
    </row>
    <row r="14" ht="28.8" spans="1:8">
      <c r="A14" s="19" t="s">
        <v>36</v>
      </c>
      <c r="B14" s="20">
        <f>SUM(G6:G12)</f>
        <v>1</v>
      </c>
    </row>
    <row r="15" spans="1:8">
      <c r="A15" s="19" t="s">
        <v>37</v>
      </c>
      <c r="B15" s="21">
        <f>SUM(G6:G8)</f>
        <v>0</v>
      </c>
    </row>
    <row r="16" ht="28.8" spans="1:8">
      <c r="A16" s="19" t="s">
        <v>38</v>
      </c>
      <c r="B16" s="21">
        <f>G9</f>
        <v>1</v>
      </c>
    </row>
    <row r="17" ht="28.8" spans="1:2">
      <c r="A17" s="19" t="s">
        <v>39</v>
      </c>
      <c r="B17" s="22" t="str">
        <f>_xlfn.LET(_xlpm.liq,B15,_xlpm.fund,B16,_xlpm.liqState,IF(_xlpm.liq&gt;=2,"宽松",IF(_xlpm.liq&lt;=0,"收紧","中性")),IF(AND(_xlpm.liqState="宽松",_xlpm.fund=1),"主升浪",IF(AND(_xlpm.liqState="宽松",_xlpm.fund&lt;=0),"震荡",IF(AND(_xlpm.liqState="收紧",_xlpm.fund=1),"分化","双杀"))))</f>
        <v>分化</v>
      </c>
    </row>
    <row r="19" spans="1:2">
      <c r="A19" s="7" t="s">
        <v>40</v>
      </c>
    </row>
    <row r="20" spans="1:2">
      <c r="A20" s="23" t="s">
        <v>41</v>
      </c>
    </row>
  </sheetData>
  <mergeCells count="4">
    <mergeCell ref="A1:H1"/>
    <mergeCell ref="A2:H2"/>
    <mergeCell ref="A19:H19"/>
    <mergeCell ref="A20:H20"/>
  </mergeCells>
  <conditionalFormatting sqref="B17">
    <cfRule type="expression" dxfId="0" priority="1">
      <formula>B17="主升浪"</formula>
    </cfRule>
    <cfRule type="expression" dxfId="1" priority="2">
      <formula>B17="震荡"</formula>
    </cfRule>
    <cfRule type="expression" dxfId="2" priority="3">
      <formula>B17="分化"</formula>
    </cfRule>
    <cfRule type="expression" dxfId="3" priority="4">
      <formula>B17="双杀"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showGridLines="0" tabSelected="1" workbookViewId="0">
      <pane ySplit="3" topLeftCell="A4" activePane="bottomLeft" state="frozen"/>
      <selection/>
      <selection pane="bottomLeft" activeCell="B6" sqref="B6"/>
    </sheetView>
  </sheetViews>
  <sheetFormatPr defaultColWidth="9" defaultRowHeight="14.4" outlineLevelCol="7"/>
  <cols>
    <col min="1" max="1" width="18" customWidth="1"/>
    <col min="2" max="3" width="14" customWidth="1"/>
    <col min="4" max="4" width="10" customWidth="1"/>
    <col min="5" max="6" width="12" customWidth="1"/>
    <col min="7" max="7" width="34" customWidth="1"/>
    <col min="8" max="8" width="12" customWidth="1"/>
  </cols>
  <sheetData>
    <row r="1" ht="20.4" spans="1:8">
      <c r="A1" s="1" t="s">
        <v>42</v>
      </c>
    </row>
    <row r="2" spans="1:8">
      <c r="A2" s="2" t="s">
        <v>43</v>
      </c>
    </row>
    <row r="3" spans="1:8">
      <c r="A3" t="s">
        <v>44</v>
      </c>
      <c r="B3" s="14" t="s">
        <v>45</v>
      </c>
    </row>
    <row r="5" ht="28.8" spans="1:8">
      <c r="A5" s="3" t="s">
        <v>3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</row>
    <row r="6" ht="28.8" spans="1:8">
      <c r="A6" s="6" t="s">
        <v>53</v>
      </c>
      <c r="B6" s="14" t="s">
        <v>12</v>
      </c>
      <c r="C6" s="14" t="s">
        <v>12</v>
      </c>
      <c r="D6" s="15" t="str">
        <f>IF(OR(B6="",C6=""),"",B6-C6)</f>
        <v/>
      </c>
      <c r="E6" s="14" t="s">
        <v>54</v>
      </c>
      <c r="F6" s="15" t="str">
        <f>IF(B6="","",IF(D6&lt;0,1,IF(D6&gt;0,-1,0)))</f>
        <v/>
      </c>
      <c r="G6" s="6" t="s">
        <v>55</v>
      </c>
      <c r="H6" s="14" t="s">
        <v>12</v>
      </c>
    </row>
    <row r="7" spans="1:8">
      <c r="A7" s="6" t="s">
        <v>56</v>
      </c>
      <c r="B7" s="14" t="s">
        <v>12</v>
      </c>
      <c r="C7" s="14" t="s">
        <v>12</v>
      </c>
      <c r="D7" s="15" t="str">
        <f>IF(OR(B7="",C7=""),"",B7-C7)</f>
        <v/>
      </c>
      <c r="E7" s="14" t="s">
        <v>57</v>
      </c>
      <c r="F7" s="15" t="str">
        <f>IF(B7="","",IF(D7&gt;0,-1,IF(D7&lt;0,1,0)))</f>
        <v/>
      </c>
      <c r="G7" s="6" t="s">
        <v>58</v>
      </c>
      <c r="H7" s="14" t="s">
        <v>12</v>
      </c>
    </row>
    <row r="8" spans="1:8">
      <c r="A8" s="6" t="s">
        <v>59</v>
      </c>
      <c r="B8" s="14" t="s">
        <v>12</v>
      </c>
      <c r="C8" s="14" t="s">
        <v>12</v>
      </c>
      <c r="D8" s="15" t="str">
        <f>IF(OR(B8="",C8=""),"",B8-C8)</f>
        <v/>
      </c>
      <c r="E8" s="14" t="s">
        <v>60</v>
      </c>
      <c r="F8" s="15" t="str">
        <f>IF(B8="","",IF(D8&gt;0,-1,IF(D8&lt;0,1,0)))</f>
        <v/>
      </c>
      <c r="G8" s="6" t="s">
        <v>61</v>
      </c>
      <c r="H8" s="14" t="s">
        <v>12</v>
      </c>
    </row>
    <row r="9" ht="28.8" spans="1:8">
      <c r="A9" s="6" t="s">
        <v>62</v>
      </c>
      <c r="B9" s="14" t="s">
        <v>12</v>
      </c>
      <c r="C9" s="14" t="s">
        <v>12</v>
      </c>
      <c r="D9" s="15" t="str">
        <f>IF(OR(B9="",C9=""),"",B9-C9)</f>
        <v/>
      </c>
      <c r="E9" s="14" t="s">
        <v>63</v>
      </c>
      <c r="F9" s="15" t="str">
        <f>IF(B9="","",IF(B9&gt;=2,-1,IF(B9=1,0,1)))</f>
        <v/>
      </c>
      <c r="G9" s="6" t="s">
        <v>64</v>
      </c>
      <c r="H9" s="14" t="s">
        <v>12</v>
      </c>
    </row>
    <row r="11" spans="1:8">
      <c r="G11" s="16" t="s">
        <v>65</v>
      </c>
      <c r="H11" s="13">
        <f>SUM(F6:F9)</f>
        <v>0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showGridLines="0" workbookViewId="0">
      <pane ySplit="4" topLeftCell="A5" activePane="bottomLeft" state="frozen"/>
      <selection/>
      <selection pane="bottomLeft" activeCell="B5" sqref="B5"/>
    </sheetView>
  </sheetViews>
  <sheetFormatPr defaultColWidth="9" defaultRowHeight="14.4" outlineLevelCol="7"/>
  <cols>
    <col min="1" max="1" width="16" customWidth="1"/>
    <col min="2" max="5" width="14" customWidth="1"/>
    <col min="6" max="6" width="12" customWidth="1"/>
    <col min="7" max="7" width="34" customWidth="1"/>
    <col min="8" max="8" width="12" customWidth="1"/>
  </cols>
  <sheetData>
    <row r="1" ht="20.4" spans="1:8">
      <c r="A1" s="1" t="s">
        <v>66</v>
      </c>
    </row>
    <row r="2" spans="1:8">
      <c r="A2" s="2" t="s">
        <v>67</v>
      </c>
    </row>
    <row r="3" spans="1:8">
      <c r="A3" s="7" t="s">
        <v>68</v>
      </c>
    </row>
    <row r="5" ht="28.8" spans="1:8">
      <c r="A5" s="3" t="s">
        <v>69</v>
      </c>
      <c r="B5" s="3" t="s">
        <v>70</v>
      </c>
      <c r="C5" s="3" t="s">
        <v>71</v>
      </c>
      <c r="D5" s="3" t="s">
        <v>48</v>
      </c>
      <c r="E5" s="3" t="s">
        <v>72</v>
      </c>
      <c r="F5" s="3" t="s">
        <v>50</v>
      </c>
      <c r="G5" s="3" t="s">
        <v>73</v>
      </c>
      <c r="H5" s="3" t="s">
        <v>74</v>
      </c>
    </row>
    <row r="6" spans="1:8">
      <c r="A6" s="14" t="s">
        <v>12</v>
      </c>
      <c r="B6" s="14" t="s">
        <v>12</v>
      </c>
      <c r="C6" s="14" t="s">
        <v>12</v>
      </c>
      <c r="D6" s="15" t="str">
        <f t="shared" ref="D6:D35" si="0">IF(OR(B6="",C6=""),"",B6-C6)</f>
        <v/>
      </c>
      <c r="E6" s="14" t="s">
        <v>75</v>
      </c>
      <c r="F6" s="15" t="str">
        <f t="shared" ref="F6:F35" si="1">IF(B6="","",IF(B6&lt;=E6,1,IF(B6&lt;=E6+0.25,0,-1)))</f>
        <v/>
      </c>
      <c r="G6" s="6" t="s">
        <v>12</v>
      </c>
      <c r="H6" s="14" t="s">
        <v>12</v>
      </c>
    </row>
    <row r="7" spans="1:8">
      <c r="A7" s="14" t="s">
        <v>12</v>
      </c>
      <c r="B7" s="14" t="s">
        <v>12</v>
      </c>
      <c r="C7" s="14" t="s">
        <v>12</v>
      </c>
      <c r="D7" s="15" t="str">
        <f t="shared" si="0"/>
        <v/>
      </c>
      <c r="E7" s="14" t="s">
        <v>75</v>
      </c>
      <c r="F7" s="15" t="str">
        <f t="shared" si="1"/>
        <v/>
      </c>
      <c r="G7" s="6" t="s">
        <v>12</v>
      </c>
      <c r="H7" s="14" t="s">
        <v>12</v>
      </c>
    </row>
    <row r="8" spans="1:8">
      <c r="A8" s="14" t="s">
        <v>12</v>
      </c>
      <c r="B8" s="14" t="s">
        <v>12</v>
      </c>
      <c r="C8" s="14" t="s">
        <v>12</v>
      </c>
      <c r="D8" s="15" t="str">
        <f t="shared" si="0"/>
        <v/>
      </c>
      <c r="E8" s="14" t="s">
        <v>75</v>
      </c>
      <c r="F8" s="15" t="str">
        <f t="shared" si="1"/>
        <v/>
      </c>
      <c r="G8" s="6" t="s">
        <v>12</v>
      </c>
      <c r="H8" s="14" t="s">
        <v>12</v>
      </c>
    </row>
    <row r="9" spans="1:8">
      <c r="A9" s="14" t="s">
        <v>12</v>
      </c>
      <c r="B9" s="14" t="s">
        <v>12</v>
      </c>
      <c r="C9" s="14" t="s">
        <v>12</v>
      </c>
      <c r="D9" s="15" t="str">
        <f t="shared" si="0"/>
        <v/>
      </c>
      <c r="E9" s="14" t="s">
        <v>75</v>
      </c>
      <c r="F9" s="15" t="str">
        <f t="shared" si="1"/>
        <v/>
      </c>
      <c r="G9" s="6" t="s">
        <v>12</v>
      </c>
      <c r="H9" s="14" t="s">
        <v>12</v>
      </c>
    </row>
    <row r="10" spans="1:8">
      <c r="A10" s="14" t="s">
        <v>12</v>
      </c>
      <c r="B10" s="14" t="s">
        <v>12</v>
      </c>
      <c r="C10" s="14" t="s">
        <v>12</v>
      </c>
      <c r="D10" s="15" t="str">
        <f t="shared" si="0"/>
        <v/>
      </c>
      <c r="E10" s="14" t="s">
        <v>75</v>
      </c>
      <c r="F10" s="15" t="str">
        <f t="shared" si="1"/>
        <v/>
      </c>
      <c r="G10" s="6" t="s">
        <v>12</v>
      </c>
      <c r="H10" s="14" t="s">
        <v>12</v>
      </c>
    </row>
    <row r="11" spans="1:8">
      <c r="A11" s="14" t="s">
        <v>12</v>
      </c>
      <c r="B11" s="14" t="s">
        <v>12</v>
      </c>
      <c r="C11" s="14" t="s">
        <v>12</v>
      </c>
      <c r="D11" s="15" t="str">
        <f t="shared" si="0"/>
        <v/>
      </c>
      <c r="E11" s="14" t="s">
        <v>75</v>
      </c>
      <c r="F11" s="15" t="str">
        <f t="shared" si="1"/>
        <v/>
      </c>
      <c r="G11" s="6" t="s">
        <v>12</v>
      </c>
      <c r="H11" s="14" t="s">
        <v>12</v>
      </c>
    </row>
    <row r="12" spans="1:8">
      <c r="A12" s="14" t="s">
        <v>12</v>
      </c>
      <c r="B12" s="14" t="s">
        <v>12</v>
      </c>
      <c r="C12" s="14" t="s">
        <v>12</v>
      </c>
      <c r="D12" s="15" t="str">
        <f t="shared" si="0"/>
        <v/>
      </c>
      <c r="E12" s="14" t="s">
        <v>75</v>
      </c>
      <c r="F12" s="15" t="str">
        <f t="shared" si="1"/>
        <v/>
      </c>
      <c r="G12" s="6" t="s">
        <v>12</v>
      </c>
      <c r="H12" s="14" t="s">
        <v>12</v>
      </c>
    </row>
    <row r="13" spans="1:8">
      <c r="A13" s="14" t="s">
        <v>12</v>
      </c>
      <c r="B13" s="14" t="s">
        <v>12</v>
      </c>
      <c r="C13" s="14" t="s">
        <v>12</v>
      </c>
      <c r="D13" s="15" t="str">
        <f t="shared" si="0"/>
        <v/>
      </c>
      <c r="E13" s="14" t="s">
        <v>75</v>
      </c>
      <c r="F13" s="15" t="str">
        <f t="shared" si="1"/>
        <v/>
      </c>
      <c r="G13" s="6" t="s">
        <v>12</v>
      </c>
      <c r="H13" s="14" t="s">
        <v>12</v>
      </c>
    </row>
    <row r="14" spans="1:8">
      <c r="A14" s="14" t="s">
        <v>12</v>
      </c>
      <c r="B14" s="14" t="s">
        <v>12</v>
      </c>
      <c r="C14" s="14" t="s">
        <v>12</v>
      </c>
      <c r="D14" s="15" t="str">
        <f t="shared" si="0"/>
        <v/>
      </c>
      <c r="E14" s="14" t="s">
        <v>75</v>
      </c>
      <c r="F14" s="15" t="str">
        <f t="shared" si="1"/>
        <v/>
      </c>
      <c r="G14" s="6" t="s">
        <v>12</v>
      </c>
      <c r="H14" s="14" t="s">
        <v>12</v>
      </c>
    </row>
    <row r="15" spans="1:8">
      <c r="A15" s="14" t="s">
        <v>12</v>
      </c>
      <c r="B15" s="14" t="s">
        <v>12</v>
      </c>
      <c r="C15" s="14" t="s">
        <v>12</v>
      </c>
      <c r="D15" s="15" t="str">
        <f t="shared" si="0"/>
        <v/>
      </c>
      <c r="E15" s="14" t="s">
        <v>75</v>
      </c>
      <c r="F15" s="15" t="str">
        <f t="shared" si="1"/>
        <v/>
      </c>
      <c r="G15" s="6" t="s">
        <v>12</v>
      </c>
      <c r="H15" s="14" t="s">
        <v>12</v>
      </c>
    </row>
    <row r="16" spans="1:8">
      <c r="A16" s="14" t="s">
        <v>12</v>
      </c>
      <c r="B16" s="14" t="s">
        <v>12</v>
      </c>
      <c r="C16" s="14" t="s">
        <v>12</v>
      </c>
      <c r="D16" s="15" t="str">
        <f t="shared" si="0"/>
        <v/>
      </c>
      <c r="E16" s="14" t="s">
        <v>75</v>
      </c>
      <c r="F16" s="15" t="str">
        <f t="shared" si="1"/>
        <v/>
      </c>
      <c r="G16" s="6" t="s">
        <v>12</v>
      </c>
      <c r="H16" s="14" t="s">
        <v>12</v>
      </c>
    </row>
    <row r="17" spans="1:8">
      <c r="A17" s="14" t="s">
        <v>12</v>
      </c>
      <c r="B17" s="14" t="s">
        <v>12</v>
      </c>
      <c r="C17" s="14" t="s">
        <v>12</v>
      </c>
      <c r="D17" s="15" t="str">
        <f t="shared" si="0"/>
        <v/>
      </c>
      <c r="E17" s="14" t="s">
        <v>75</v>
      </c>
      <c r="F17" s="15" t="str">
        <f t="shared" si="1"/>
        <v/>
      </c>
      <c r="G17" s="6" t="s">
        <v>12</v>
      </c>
      <c r="H17" s="14" t="s">
        <v>12</v>
      </c>
    </row>
    <row r="18" spans="1:8">
      <c r="A18" s="14" t="s">
        <v>12</v>
      </c>
      <c r="B18" s="14" t="s">
        <v>12</v>
      </c>
      <c r="C18" s="14" t="s">
        <v>12</v>
      </c>
      <c r="D18" s="15" t="str">
        <f t="shared" si="0"/>
        <v/>
      </c>
      <c r="E18" s="14" t="s">
        <v>75</v>
      </c>
      <c r="F18" s="15" t="str">
        <f t="shared" si="1"/>
        <v/>
      </c>
      <c r="G18" s="6" t="s">
        <v>12</v>
      </c>
      <c r="H18" s="14" t="s">
        <v>12</v>
      </c>
    </row>
    <row r="19" spans="1:8">
      <c r="A19" s="14" t="s">
        <v>12</v>
      </c>
      <c r="B19" s="14" t="s">
        <v>12</v>
      </c>
      <c r="C19" s="14" t="s">
        <v>12</v>
      </c>
      <c r="D19" s="15" t="str">
        <f t="shared" si="0"/>
        <v/>
      </c>
      <c r="E19" s="14" t="s">
        <v>75</v>
      </c>
      <c r="F19" s="15" t="str">
        <f t="shared" si="1"/>
        <v/>
      </c>
      <c r="G19" s="6" t="s">
        <v>12</v>
      </c>
      <c r="H19" s="14" t="s">
        <v>12</v>
      </c>
    </row>
    <row r="20" spans="1:8">
      <c r="A20" s="14" t="s">
        <v>12</v>
      </c>
      <c r="B20" s="14" t="s">
        <v>12</v>
      </c>
      <c r="C20" s="14" t="s">
        <v>12</v>
      </c>
      <c r="D20" s="15" t="str">
        <f t="shared" si="0"/>
        <v/>
      </c>
      <c r="E20" s="14" t="s">
        <v>75</v>
      </c>
      <c r="F20" s="15" t="str">
        <f t="shared" si="1"/>
        <v/>
      </c>
      <c r="G20" s="6" t="s">
        <v>12</v>
      </c>
      <c r="H20" s="14" t="s">
        <v>12</v>
      </c>
    </row>
    <row r="21" spans="1:8">
      <c r="A21" s="14" t="s">
        <v>12</v>
      </c>
      <c r="B21" s="14" t="s">
        <v>12</v>
      </c>
      <c r="C21" s="14" t="s">
        <v>12</v>
      </c>
      <c r="D21" s="15" t="str">
        <f t="shared" si="0"/>
        <v/>
      </c>
      <c r="E21" s="14" t="s">
        <v>75</v>
      </c>
      <c r="F21" s="15" t="str">
        <f t="shared" si="1"/>
        <v/>
      </c>
      <c r="G21" s="6" t="s">
        <v>12</v>
      </c>
      <c r="H21" s="14" t="s">
        <v>12</v>
      </c>
    </row>
    <row r="22" spans="1:8">
      <c r="A22" s="14" t="s">
        <v>12</v>
      </c>
      <c r="B22" s="14" t="s">
        <v>12</v>
      </c>
      <c r="C22" s="14" t="s">
        <v>12</v>
      </c>
      <c r="D22" s="15" t="str">
        <f t="shared" si="0"/>
        <v/>
      </c>
      <c r="E22" s="14" t="s">
        <v>75</v>
      </c>
      <c r="F22" s="15" t="str">
        <f t="shared" si="1"/>
        <v/>
      </c>
      <c r="G22" s="6" t="s">
        <v>12</v>
      </c>
      <c r="H22" s="14" t="s">
        <v>12</v>
      </c>
    </row>
    <row r="23" spans="1:8">
      <c r="A23" s="14" t="s">
        <v>12</v>
      </c>
      <c r="B23" s="14" t="s">
        <v>12</v>
      </c>
      <c r="C23" s="14" t="s">
        <v>12</v>
      </c>
      <c r="D23" s="15" t="str">
        <f t="shared" si="0"/>
        <v/>
      </c>
      <c r="E23" s="14" t="s">
        <v>75</v>
      </c>
      <c r="F23" s="15" t="str">
        <f t="shared" si="1"/>
        <v/>
      </c>
      <c r="G23" s="6" t="s">
        <v>12</v>
      </c>
      <c r="H23" s="14" t="s">
        <v>12</v>
      </c>
    </row>
    <row r="24" spans="1:8">
      <c r="A24" s="14" t="s">
        <v>12</v>
      </c>
      <c r="B24" s="14" t="s">
        <v>12</v>
      </c>
      <c r="C24" s="14" t="s">
        <v>12</v>
      </c>
      <c r="D24" s="15" t="str">
        <f t="shared" si="0"/>
        <v/>
      </c>
      <c r="E24" s="14" t="s">
        <v>75</v>
      </c>
      <c r="F24" s="15" t="str">
        <f t="shared" si="1"/>
        <v/>
      </c>
      <c r="G24" s="6" t="s">
        <v>12</v>
      </c>
      <c r="H24" s="14" t="s">
        <v>12</v>
      </c>
    </row>
    <row r="25" spans="1:8">
      <c r="A25" s="14" t="s">
        <v>12</v>
      </c>
      <c r="B25" s="14" t="s">
        <v>12</v>
      </c>
      <c r="C25" s="14" t="s">
        <v>12</v>
      </c>
      <c r="D25" s="15" t="str">
        <f t="shared" si="0"/>
        <v/>
      </c>
      <c r="E25" s="14" t="s">
        <v>75</v>
      </c>
      <c r="F25" s="15" t="str">
        <f t="shared" si="1"/>
        <v/>
      </c>
      <c r="G25" s="6" t="s">
        <v>12</v>
      </c>
      <c r="H25" s="14" t="s">
        <v>12</v>
      </c>
    </row>
    <row r="26" spans="1:8">
      <c r="A26" s="14" t="s">
        <v>12</v>
      </c>
      <c r="B26" s="14" t="s">
        <v>12</v>
      </c>
      <c r="C26" s="14" t="s">
        <v>12</v>
      </c>
      <c r="D26" s="15" t="str">
        <f t="shared" si="0"/>
        <v/>
      </c>
      <c r="E26" s="14" t="s">
        <v>75</v>
      </c>
      <c r="F26" s="15" t="str">
        <f t="shared" si="1"/>
        <v/>
      </c>
      <c r="G26" s="6" t="s">
        <v>12</v>
      </c>
      <c r="H26" s="14" t="s">
        <v>12</v>
      </c>
    </row>
    <row r="27" spans="1:8">
      <c r="A27" s="14" t="s">
        <v>12</v>
      </c>
      <c r="B27" s="14" t="s">
        <v>12</v>
      </c>
      <c r="C27" s="14" t="s">
        <v>12</v>
      </c>
      <c r="D27" s="15" t="str">
        <f t="shared" si="0"/>
        <v/>
      </c>
      <c r="E27" s="14" t="s">
        <v>75</v>
      </c>
      <c r="F27" s="15" t="str">
        <f t="shared" si="1"/>
        <v/>
      </c>
      <c r="G27" s="6" t="s">
        <v>12</v>
      </c>
      <c r="H27" s="14" t="s">
        <v>12</v>
      </c>
    </row>
    <row r="28" spans="1:8">
      <c r="A28" s="14" t="s">
        <v>12</v>
      </c>
      <c r="B28" s="14" t="s">
        <v>12</v>
      </c>
      <c r="C28" s="14" t="s">
        <v>12</v>
      </c>
      <c r="D28" s="15" t="str">
        <f t="shared" si="0"/>
        <v/>
      </c>
      <c r="E28" s="14" t="s">
        <v>75</v>
      </c>
      <c r="F28" s="15" t="str">
        <f t="shared" si="1"/>
        <v/>
      </c>
      <c r="G28" s="6" t="s">
        <v>12</v>
      </c>
      <c r="H28" s="14" t="s">
        <v>12</v>
      </c>
    </row>
    <row r="29" spans="1:8">
      <c r="A29" s="14" t="s">
        <v>12</v>
      </c>
      <c r="B29" s="14" t="s">
        <v>12</v>
      </c>
      <c r="C29" s="14" t="s">
        <v>12</v>
      </c>
      <c r="D29" s="15" t="str">
        <f t="shared" si="0"/>
        <v/>
      </c>
      <c r="E29" s="14" t="s">
        <v>75</v>
      </c>
      <c r="F29" s="15" t="str">
        <f t="shared" si="1"/>
        <v/>
      </c>
      <c r="G29" s="6" t="s">
        <v>12</v>
      </c>
      <c r="H29" s="14" t="s">
        <v>12</v>
      </c>
    </row>
    <row r="30" spans="1:8">
      <c r="A30" s="14" t="s">
        <v>12</v>
      </c>
      <c r="B30" s="14" t="s">
        <v>12</v>
      </c>
      <c r="C30" s="14" t="s">
        <v>12</v>
      </c>
      <c r="D30" s="15" t="str">
        <f t="shared" si="0"/>
        <v/>
      </c>
      <c r="E30" s="14" t="s">
        <v>75</v>
      </c>
      <c r="F30" s="15" t="str">
        <f t="shared" si="1"/>
        <v/>
      </c>
      <c r="G30" s="6" t="s">
        <v>12</v>
      </c>
      <c r="H30" s="14" t="s">
        <v>12</v>
      </c>
    </row>
    <row r="31" spans="1:8">
      <c r="A31" s="14" t="s">
        <v>12</v>
      </c>
      <c r="B31" s="14" t="s">
        <v>12</v>
      </c>
      <c r="C31" s="14" t="s">
        <v>12</v>
      </c>
      <c r="D31" s="15" t="str">
        <f t="shared" si="0"/>
        <v/>
      </c>
      <c r="E31" s="14" t="s">
        <v>75</v>
      </c>
      <c r="F31" s="15" t="str">
        <f t="shared" si="1"/>
        <v/>
      </c>
      <c r="G31" s="6" t="s">
        <v>12</v>
      </c>
      <c r="H31" s="14" t="s">
        <v>12</v>
      </c>
    </row>
    <row r="32" spans="1:8">
      <c r="A32" s="14" t="s">
        <v>12</v>
      </c>
      <c r="B32" s="14" t="s">
        <v>12</v>
      </c>
      <c r="C32" s="14" t="s">
        <v>12</v>
      </c>
      <c r="D32" s="15" t="str">
        <f t="shared" si="0"/>
        <v/>
      </c>
      <c r="E32" s="14" t="s">
        <v>75</v>
      </c>
      <c r="F32" s="15" t="str">
        <f t="shared" si="1"/>
        <v/>
      </c>
      <c r="G32" s="6" t="s">
        <v>12</v>
      </c>
      <c r="H32" s="14" t="s">
        <v>12</v>
      </c>
    </row>
    <row r="33" spans="1:8">
      <c r="A33" s="14" t="s">
        <v>12</v>
      </c>
      <c r="B33" s="14" t="s">
        <v>12</v>
      </c>
      <c r="C33" s="14" t="s">
        <v>12</v>
      </c>
      <c r="D33" s="15" t="str">
        <f t="shared" si="0"/>
        <v/>
      </c>
      <c r="E33" s="14" t="s">
        <v>75</v>
      </c>
      <c r="F33" s="15" t="str">
        <f t="shared" si="1"/>
        <v/>
      </c>
      <c r="G33" s="6" t="s">
        <v>12</v>
      </c>
      <c r="H33" s="14" t="s">
        <v>12</v>
      </c>
    </row>
    <row r="34" spans="1:8">
      <c r="A34" s="14" t="s">
        <v>12</v>
      </c>
      <c r="B34" s="14" t="s">
        <v>12</v>
      </c>
      <c r="C34" s="14" t="s">
        <v>12</v>
      </c>
      <c r="D34" s="15" t="str">
        <f t="shared" si="0"/>
        <v/>
      </c>
      <c r="E34" s="14" t="s">
        <v>75</v>
      </c>
      <c r="F34" s="15" t="str">
        <f t="shared" si="1"/>
        <v/>
      </c>
      <c r="G34" s="6" t="s">
        <v>12</v>
      </c>
      <c r="H34" s="14" t="s">
        <v>12</v>
      </c>
    </row>
    <row r="35" spans="1:8">
      <c r="A35" s="14" t="s">
        <v>12</v>
      </c>
      <c r="B35" s="14" t="s">
        <v>12</v>
      </c>
      <c r="C35" s="14" t="s">
        <v>12</v>
      </c>
      <c r="D35" s="15" t="str">
        <f t="shared" si="0"/>
        <v/>
      </c>
      <c r="E35" s="14" t="s">
        <v>75</v>
      </c>
      <c r="F35" s="15" t="str">
        <f t="shared" si="1"/>
        <v/>
      </c>
      <c r="G35" s="6" t="s">
        <v>12</v>
      </c>
      <c r="H35" s="14" t="s">
        <v>12</v>
      </c>
    </row>
    <row r="37" spans="1:8">
      <c r="A37" s="8" t="s">
        <v>76</v>
      </c>
      <c r="B37" s="13" t="str">
        <f>IFERROR(LOOKUP(2,1/(F6:F35&lt;&gt;""),F6:F35),"")</f>
        <v/>
      </c>
    </row>
  </sheetData>
  <mergeCells count="3">
    <mergeCell ref="A1:H1"/>
    <mergeCell ref="A2:H2"/>
    <mergeCell ref="A3:H3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showGridLines="0" workbookViewId="0">
      <pane ySplit="4" topLeftCell="A5" activePane="bottomLeft" state="frozen"/>
      <selection/>
      <selection pane="bottomLeft" activeCell="B8" sqref="B8"/>
    </sheetView>
  </sheetViews>
  <sheetFormatPr defaultColWidth="9" defaultRowHeight="14.4" outlineLevelCol="7"/>
  <cols>
    <col min="1" max="1" width="14" customWidth="1"/>
    <col min="2" max="3" width="16" customWidth="1"/>
    <col min="4" max="5" width="14" customWidth="1"/>
    <col min="6" max="6" width="12" customWidth="1"/>
    <col min="7" max="7" width="36" customWidth="1"/>
    <col min="8" max="8" width="12" customWidth="1"/>
  </cols>
  <sheetData>
    <row r="1" ht="20.4" spans="1:8">
      <c r="A1" s="1" t="s">
        <v>77</v>
      </c>
    </row>
    <row r="2" spans="1:8">
      <c r="A2" s="2" t="s">
        <v>78</v>
      </c>
    </row>
    <row r="5" ht="28.8" spans="1:8">
      <c r="A5" s="3" t="s">
        <v>69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50</v>
      </c>
      <c r="G5" s="3" t="s">
        <v>73</v>
      </c>
      <c r="H5" s="3" t="s">
        <v>74</v>
      </c>
    </row>
    <row r="6" spans="1:8">
      <c r="A6" s="14" t="s">
        <v>12</v>
      </c>
      <c r="B6" s="14" t="s">
        <v>12</v>
      </c>
      <c r="C6" s="14" t="s">
        <v>12</v>
      </c>
      <c r="D6" s="15" t="str">
        <f t="shared" ref="D6:D35" si="0">IF(OR(B6="",C6=""),"",B6-C6)</f>
        <v/>
      </c>
      <c r="E6" s="14" t="s">
        <v>83</v>
      </c>
      <c r="F6" s="15" t="str">
        <f t="shared" ref="F6:F35" si="1">IF(B6="","",IF(B6&lt;=E6,1,IF(B6&lt;=E6+300,0,-1)))</f>
        <v/>
      </c>
      <c r="G6" s="6" t="s">
        <v>12</v>
      </c>
      <c r="H6" s="14" t="s">
        <v>12</v>
      </c>
    </row>
    <row r="7" spans="1:8">
      <c r="A7" s="14" t="s">
        <v>12</v>
      </c>
      <c r="B7" s="14" t="s">
        <v>12</v>
      </c>
      <c r="C7" s="14" t="s">
        <v>12</v>
      </c>
      <c r="D7" s="15" t="str">
        <f t="shared" si="0"/>
        <v/>
      </c>
      <c r="E7" s="14" t="s">
        <v>83</v>
      </c>
      <c r="F7" s="15" t="str">
        <f t="shared" si="1"/>
        <v/>
      </c>
      <c r="G7" s="6" t="s">
        <v>12</v>
      </c>
      <c r="H7" s="14" t="s">
        <v>12</v>
      </c>
    </row>
    <row r="8" spans="1:8">
      <c r="A8" s="14" t="s">
        <v>12</v>
      </c>
      <c r="B8" s="14" t="s">
        <v>12</v>
      </c>
      <c r="C8" s="14" t="s">
        <v>12</v>
      </c>
      <c r="D8" s="15" t="str">
        <f t="shared" si="0"/>
        <v/>
      </c>
      <c r="E8" s="14" t="s">
        <v>83</v>
      </c>
      <c r="F8" s="15" t="str">
        <f t="shared" si="1"/>
        <v/>
      </c>
      <c r="G8" s="6" t="s">
        <v>12</v>
      </c>
      <c r="H8" s="14" t="s">
        <v>12</v>
      </c>
    </row>
    <row r="9" spans="1:8">
      <c r="A9" s="14" t="s">
        <v>12</v>
      </c>
      <c r="B9" s="14" t="s">
        <v>12</v>
      </c>
      <c r="C9" s="14" t="s">
        <v>12</v>
      </c>
      <c r="D9" s="15" t="str">
        <f t="shared" si="0"/>
        <v/>
      </c>
      <c r="E9" s="14" t="s">
        <v>83</v>
      </c>
      <c r="F9" s="15" t="str">
        <f t="shared" si="1"/>
        <v/>
      </c>
      <c r="G9" s="6" t="s">
        <v>12</v>
      </c>
      <c r="H9" s="14" t="s">
        <v>12</v>
      </c>
    </row>
    <row r="10" spans="1:8">
      <c r="A10" s="14" t="s">
        <v>12</v>
      </c>
      <c r="B10" s="14" t="s">
        <v>12</v>
      </c>
      <c r="C10" s="14" t="s">
        <v>12</v>
      </c>
      <c r="D10" s="15" t="str">
        <f t="shared" si="0"/>
        <v/>
      </c>
      <c r="E10" s="14" t="s">
        <v>83</v>
      </c>
      <c r="F10" s="15" t="str">
        <f t="shared" si="1"/>
        <v/>
      </c>
      <c r="G10" s="6" t="s">
        <v>12</v>
      </c>
      <c r="H10" s="14" t="s">
        <v>12</v>
      </c>
    </row>
    <row r="11" spans="1:8">
      <c r="A11" s="14" t="s">
        <v>12</v>
      </c>
      <c r="B11" s="14" t="s">
        <v>12</v>
      </c>
      <c r="C11" s="14" t="s">
        <v>12</v>
      </c>
      <c r="D11" s="15" t="str">
        <f t="shared" si="0"/>
        <v/>
      </c>
      <c r="E11" s="14" t="s">
        <v>83</v>
      </c>
      <c r="F11" s="15" t="str">
        <f t="shared" si="1"/>
        <v/>
      </c>
      <c r="G11" s="6" t="s">
        <v>12</v>
      </c>
      <c r="H11" s="14" t="s">
        <v>12</v>
      </c>
    </row>
    <row r="12" spans="1:8">
      <c r="A12" s="14" t="s">
        <v>12</v>
      </c>
      <c r="B12" s="14" t="s">
        <v>12</v>
      </c>
      <c r="C12" s="14" t="s">
        <v>12</v>
      </c>
      <c r="D12" s="15" t="str">
        <f t="shared" si="0"/>
        <v/>
      </c>
      <c r="E12" s="14" t="s">
        <v>83</v>
      </c>
      <c r="F12" s="15" t="str">
        <f t="shared" si="1"/>
        <v/>
      </c>
      <c r="G12" s="6" t="s">
        <v>12</v>
      </c>
      <c r="H12" s="14" t="s">
        <v>12</v>
      </c>
    </row>
    <row r="13" spans="1:8">
      <c r="A13" s="14" t="s">
        <v>12</v>
      </c>
      <c r="B13" s="14" t="s">
        <v>12</v>
      </c>
      <c r="C13" s="14" t="s">
        <v>12</v>
      </c>
      <c r="D13" s="15" t="str">
        <f t="shared" si="0"/>
        <v/>
      </c>
      <c r="E13" s="14" t="s">
        <v>83</v>
      </c>
      <c r="F13" s="15" t="str">
        <f t="shared" si="1"/>
        <v/>
      </c>
      <c r="G13" s="6" t="s">
        <v>12</v>
      </c>
      <c r="H13" s="14" t="s">
        <v>12</v>
      </c>
    </row>
    <row r="14" spans="1:8">
      <c r="A14" s="14" t="s">
        <v>12</v>
      </c>
      <c r="B14" s="14" t="s">
        <v>12</v>
      </c>
      <c r="C14" s="14" t="s">
        <v>12</v>
      </c>
      <c r="D14" s="15" t="str">
        <f t="shared" si="0"/>
        <v/>
      </c>
      <c r="E14" s="14" t="s">
        <v>83</v>
      </c>
      <c r="F14" s="15" t="str">
        <f t="shared" si="1"/>
        <v/>
      </c>
      <c r="G14" s="6" t="s">
        <v>12</v>
      </c>
      <c r="H14" s="14" t="s">
        <v>12</v>
      </c>
    </row>
    <row r="15" spans="1:8">
      <c r="A15" s="14" t="s">
        <v>12</v>
      </c>
      <c r="B15" s="14" t="s">
        <v>12</v>
      </c>
      <c r="C15" s="14" t="s">
        <v>12</v>
      </c>
      <c r="D15" s="15" t="str">
        <f t="shared" si="0"/>
        <v/>
      </c>
      <c r="E15" s="14" t="s">
        <v>83</v>
      </c>
      <c r="F15" s="15" t="str">
        <f t="shared" si="1"/>
        <v/>
      </c>
      <c r="G15" s="6" t="s">
        <v>12</v>
      </c>
      <c r="H15" s="14" t="s">
        <v>12</v>
      </c>
    </row>
    <row r="16" spans="1:8">
      <c r="A16" s="14" t="s">
        <v>12</v>
      </c>
      <c r="B16" s="14" t="s">
        <v>12</v>
      </c>
      <c r="C16" s="14" t="s">
        <v>12</v>
      </c>
      <c r="D16" s="15" t="str">
        <f t="shared" si="0"/>
        <v/>
      </c>
      <c r="E16" s="14" t="s">
        <v>83</v>
      </c>
      <c r="F16" s="15" t="str">
        <f t="shared" si="1"/>
        <v/>
      </c>
      <c r="G16" s="6" t="s">
        <v>12</v>
      </c>
      <c r="H16" s="14" t="s">
        <v>12</v>
      </c>
    </row>
    <row r="17" spans="1:8">
      <c r="A17" s="14" t="s">
        <v>12</v>
      </c>
      <c r="B17" s="14" t="s">
        <v>12</v>
      </c>
      <c r="C17" s="14" t="s">
        <v>12</v>
      </c>
      <c r="D17" s="15" t="str">
        <f t="shared" si="0"/>
        <v/>
      </c>
      <c r="E17" s="14" t="s">
        <v>83</v>
      </c>
      <c r="F17" s="15" t="str">
        <f t="shared" si="1"/>
        <v/>
      </c>
      <c r="G17" s="6" t="s">
        <v>12</v>
      </c>
      <c r="H17" s="14" t="s">
        <v>12</v>
      </c>
    </row>
    <row r="18" spans="1:8">
      <c r="A18" s="14" t="s">
        <v>12</v>
      </c>
      <c r="B18" s="14" t="s">
        <v>12</v>
      </c>
      <c r="C18" s="14" t="s">
        <v>12</v>
      </c>
      <c r="D18" s="15" t="str">
        <f t="shared" si="0"/>
        <v/>
      </c>
      <c r="E18" s="14" t="s">
        <v>83</v>
      </c>
      <c r="F18" s="15" t="str">
        <f t="shared" si="1"/>
        <v/>
      </c>
      <c r="G18" s="6" t="s">
        <v>12</v>
      </c>
      <c r="H18" s="14" t="s">
        <v>12</v>
      </c>
    </row>
    <row r="19" spans="1:8">
      <c r="A19" s="14" t="s">
        <v>12</v>
      </c>
      <c r="B19" s="14" t="s">
        <v>12</v>
      </c>
      <c r="C19" s="14" t="s">
        <v>12</v>
      </c>
      <c r="D19" s="15" t="str">
        <f t="shared" si="0"/>
        <v/>
      </c>
      <c r="E19" s="14" t="s">
        <v>83</v>
      </c>
      <c r="F19" s="15" t="str">
        <f t="shared" si="1"/>
        <v/>
      </c>
      <c r="G19" s="6" t="s">
        <v>12</v>
      </c>
      <c r="H19" s="14" t="s">
        <v>12</v>
      </c>
    </row>
    <row r="20" spans="1:8">
      <c r="A20" s="14" t="s">
        <v>12</v>
      </c>
      <c r="B20" s="14" t="s">
        <v>12</v>
      </c>
      <c r="C20" s="14" t="s">
        <v>12</v>
      </c>
      <c r="D20" s="15" t="str">
        <f t="shared" si="0"/>
        <v/>
      </c>
      <c r="E20" s="14" t="s">
        <v>83</v>
      </c>
      <c r="F20" s="15" t="str">
        <f t="shared" si="1"/>
        <v/>
      </c>
      <c r="G20" s="6" t="s">
        <v>12</v>
      </c>
      <c r="H20" s="14" t="s">
        <v>12</v>
      </c>
    </row>
    <row r="21" spans="1:8">
      <c r="A21" s="14" t="s">
        <v>12</v>
      </c>
      <c r="B21" s="14" t="s">
        <v>12</v>
      </c>
      <c r="C21" s="14" t="s">
        <v>12</v>
      </c>
      <c r="D21" s="15" t="str">
        <f t="shared" si="0"/>
        <v/>
      </c>
      <c r="E21" s="14" t="s">
        <v>83</v>
      </c>
      <c r="F21" s="15" t="str">
        <f t="shared" si="1"/>
        <v/>
      </c>
      <c r="G21" s="6" t="s">
        <v>12</v>
      </c>
      <c r="H21" s="14" t="s">
        <v>12</v>
      </c>
    </row>
    <row r="22" spans="1:8">
      <c r="A22" s="14" t="s">
        <v>12</v>
      </c>
      <c r="B22" s="14" t="s">
        <v>12</v>
      </c>
      <c r="C22" s="14" t="s">
        <v>12</v>
      </c>
      <c r="D22" s="15" t="str">
        <f t="shared" si="0"/>
        <v/>
      </c>
      <c r="E22" s="14" t="s">
        <v>83</v>
      </c>
      <c r="F22" s="15" t="str">
        <f t="shared" si="1"/>
        <v/>
      </c>
      <c r="G22" s="6" t="s">
        <v>12</v>
      </c>
      <c r="H22" s="14" t="s">
        <v>12</v>
      </c>
    </row>
    <row r="23" spans="1:8">
      <c r="A23" s="14" t="s">
        <v>12</v>
      </c>
      <c r="B23" s="14" t="s">
        <v>12</v>
      </c>
      <c r="C23" s="14" t="s">
        <v>12</v>
      </c>
      <c r="D23" s="15" t="str">
        <f t="shared" si="0"/>
        <v/>
      </c>
      <c r="E23" s="14" t="s">
        <v>83</v>
      </c>
      <c r="F23" s="15" t="str">
        <f t="shared" si="1"/>
        <v/>
      </c>
      <c r="G23" s="6" t="s">
        <v>12</v>
      </c>
      <c r="H23" s="14" t="s">
        <v>12</v>
      </c>
    </row>
    <row r="24" spans="1:8">
      <c r="A24" s="14" t="s">
        <v>12</v>
      </c>
      <c r="B24" s="14" t="s">
        <v>12</v>
      </c>
      <c r="C24" s="14" t="s">
        <v>12</v>
      </c>
      <c r="D24" s="15" t="str">
        <f t="shared" si="0"/>
        <v/>
      </c>
      <c r="E24" s="14" t="s">
        <v>83</v>
      </c>
      <c r="F24" s="15" t="str">
        <f t="shared" si="1"/>
        <v/>
      </c>
      <c r="G24" s="6" t="s">
        <v>12</v>
      </c>
      <c r="H24" s="14" t="s">
        <v>12</v>
      </c>
    </row>
    <row r="25" spans="1:8">
      <c r="A25" s="14" t="s">
        <v>12</v>
      </c>
      <c r="B25" s="14" t="s">
        <v>12</v>
      </c>
      <c r="C25" s="14" t="s">
        <v>12</v>
      </c>
      <c r="D25" s="15" t="str">
        <f t="shared" si="0"/>
        <v/>
      </c>
      <c r="E25" s="14" t="s">
        <v>83</v>
      </c>
      <c r="F25" s="15" t="str">
        <f t="shared" si="1"/>
        <v/>
      </c>
      <c r="G25" s="6" t="s">
        <v>12</v>
      </c>
      <c r="H25" s="14" t="s">
        <v>12</v>
      </c>
    </row>
    <row r="26" spans="1:8">
      <c r="A26" s="14" t="s">
        <v>12</v>
      </c>
      <c r="B26" s="14" t="s">
        <v>12</v>
      </c>
      <c r="C26" s="14" t="s">
        <v>12</v>
      </c>
      <c r="D26" s="15" t="str">
        <f t="shared" si="0"/>
        <v/>
      </c>
      <c r="E26" s="14" t="s">
        <v>83</v>
      </c>
      <c r="F26" s="15" t="str">
        <f t="shared" si="1"/>
        <v/>
      </c>
      <c r="G26" s="6" t="s">
        <v>12</v>
      </c>
      <c r="H26" s="14" t="s">
        <v>12</v>
      </c>
    </row>
    <row r="27" spans="1:8">
      <c r="A27" s="14" t="s">
        <v>12</v>
      </c>
      <c r="B27" s="14" t="s">
        <v>12</v>
      </c>
      <c r="C27" s="14" t="s">
        <v>12</v>
      </c>
      <c r="D27" s="15" t="str">
        <f t="shared" si="0"/>
        <v/>
      </c>
      <c r="E27" s="14" t="s">
        <v>83</v>
      </c>
      <c r="F27" s="15" t="str">
        <f t="shared" si="1"/>
        <v/>
      </c>
      <c r="G27" s="6" t="s">
        <v>12</v>
      </c>
      <c r="H27" s="14" t="s">
        <v>12</v>
      </c>
    </row>
    <row r="28" spans="1:8">
      <c r="A28" s="14" t="s">
        <v>12</v>
      </c>
      <c r="B28" s="14" t="s">
        <v>12</v>
      </c>
      <c r="C28" s="14" t="s">
        <v>12</v>
      </c>
      <c r="D28" s="15" t="str">
        <f t="shared" si="0"/>
        <v/>
      </c>
      <c r="E28" s="14" t="s">
        <v>83</v>
      </c>
      <c r="F28" s="15" t="str">
        <f t="shared" si="1"/>
        <v/>
      </c>
      <c r="G28" s="6" t="s">
        <v>12</v>
      </c>
      <c r="H28" s="14" t="s">
        <v>12</v>
      </c>
    </row>
    <row r="29" spans="1:8">
      <c r="A29" s="14" t="s">
        <v>12</v>
      </c>
      <c r="B29" s="14" t="s">
        <v>12</v>
      </c>
      <c r="C29" s="14" t="s">
        <v>12</v>
      </c>
      <c r="D29" s="15" t="str">
        <f t="shared" si="0"/>
        <v/>
      </c>
      <c r="E29" s="14" t="s">
        <v>83</v>
      </c>
      <c r="F29" s="15" t="str">
        <f t="shared" si="1"/>
        <v/>
      </c>
      <c r="G29" s="6" t="s">
        <v>12</v>
      </c>
      <c r="H29" s="14" t="s">
        <v>12</v>
      </c>
    </row>
    <row r="30" spans="1:8">
      <c r="A30" s="14" t="s">
        <v>12</v>
      </c>
      <c r="B30" s="14" t="s">
        <v>12</v>
      </c>
      <c r="C30" s="14" t="s">
        <v>12</v>
      </c>
      <c r="D30" s="15" t="str">
        <f t="shared" si="0"/>
        <v/>
      </c>
      <c r="E30" s="14" t="s">
        <v>83</v>
      </c>
      <c r="F30" s="15" t="str">
        <f t="shared" si="1"/>
        <v/>
      </c>
      <c r="G30" s="6" t="s">
        <v>12</v>
      </c>
      <c r="H30" s="14" t="s">
        <v>12</v>
      </c>
    </row>
    <row r="31" spans="1:8">
      <c r="A31" s="14" t="s">
        <v>12</v>
      </c>
      <c r="B31" s="14" t="s">
        <v>12</v>
      </c>
      <c r="C31" s="14" t="s">
        <v>12</v>
      </c>
      <c r="D31" s="15" t="str">
        <f t="shared" si="0"/>
        <v/>
      </c>
      <c r="E31" s="14" t="s">
        <v>83</v>
      </c>
      <c r="F31" s="15" t="str">
        <f t="shared" si="1"/>
        <v/>
      </c>
      <c r="G31" s="6" t="s">
        <v>12</v>
      </c>
      <c r="H31" s="14" t="s">
        <v>12</v>
      </c>
    </row>
    <row r="32" spans="1:8">
      <c r="A32" s="14" t="s">
        <v>12</v>
      </c>
      <c r="B32" s="14" t="s">
        <v>12</v>
      </c>
      <c r="C32" s="14" t="s">
        <v>12</v>
      </c>
      <c r="D32" s="15" t="str">
        <f t="shared" si="0"/>
        <v/>
      </c>
      <c r="E32" s="14" t="s">
        <v>83</v>
      </c>
      <c r="F32" s="15" t="str">
        <f t="shared" si="1"/>
        <v/>
      </c>
      <c r="G32" s="6" t="s">
        <v>12</v>
      </c>
      <c r="H32" s="14" t="s">
        <v>12</v>
      </c>
    </row>
    <row r="33" spans="1:8">
      <c r="A33" s="14" t="s">
        <v>12</v>
      </c>
      <c r="B33" s="14" t="s">
        <v>12</v>
      </c>
      <c r="C33" s="14" t="s">
        <v>12</v>
      </c>
      <c r="D33" s="15" t="str">
        <f t="shared" si="0"/>
        <v/>
      </c>
      <c r="E33" s="14" t="s">
        <v>83</v>
      </c>
      <c r="F33" s="15" t="str">
        <f t="shared" si="1"/>
        <v/>
      </c>
      <c r="G33" s="6" t="s">
        <v>12</v>
      </c>
      <c r="H33" s="14" t="s">
        <v>12</v>
      </c>
    </row>
    <row r="34" spans="1:8">
      <c r="A34" s="14" t="s">
        <v>12</v>
      </c>
      <c r="B34" s="14" t="s">
        <v>12</v>
      </c>
      <c r="C34" s="14" t="s">
        <v>12</v>
      </c>
      <c r="D34" s="15" t="str">
        <f t="shared" si="0"/>
        <v/>
      </c>
      <c r="E34" s="14" t="s">
        <v>83</v>
      </c>
      <c r="F34" s="15" t="str">
        <f t="shared" si="1"/>
        <v/>
      </c>
      <c r="G34" s="6" t="s">
        <v>12</v>
      </c>
      <c r="H34" s="14" t="s">
        <v>12</v>
      </c>
    </row>
    <row r="35" spans="1:8">
      <c r="A35" s="14" t="s">
        <v>12</v>
      </c>
      <c r="B35" s="14" t="s">
        <v>12</v>
      </c>
      <c r="C35" s="14" t="s">
        <v>12</v>
      </c>
      <c r="D35" s="15" t="str">
        <f t="shared" si="0"/>
        <v/>
      </c>
      <c r="E35" s="14" t="s">
        <v>83</v>
      </c>
      <c r="F35" s="15" t="str">
        <f t="shared" si="1"/>
        <v/>
      </c>
      <c r="G35" s="6" t="s">
        <v>12</v>
      </c>
      <c r="H35" s="14" t="s">
        <v>12</v>
      </c>
    </row>
    <row r="37" spans="1:8">
      <c r="A37" s="7" t="s">
        <v>84</v>
      </c>
    </row>
    <row r="38" ht="43.2" spans="1:8">
      <c r="A38" s="3" t="s">
        <v>69</v>
      </c>
      <c r="B38" s="3" t="s">
        <v>85</v>
      </c>
      <c r="C38" s="3" t="s">
        <v>86</v>
      </c>
      <c r="D38" s="3" t="s">
        <v>87</v>
      </c>
      <c r="E38" s="3" t="s">
        <v>88</v>
      </c>
      <c r="F38" s="3" t="s">
        <v>50</v>
      </c>
      <c r="G38" s="3" t="s">
        <v>73</v>
      </c>
      <c r="H38" s="3" t="s">
        <v>74</v>
      </c>
    </row>
    <row r="39" spans="1:8">
      <c r="A39" s="14" t="s">
        <v>12</v>
      </c>
      <c r="B39" s="14" t="s">
        <v>12</v>
      </c>
      <c r="C39" s="14" t="s">
        <v>12</v>
      </c>
      <c r="D39" s="15" t="str">
        <f t="shared" ref="D39:D58" si="2">IF(OR(B39="",C39=""),"",B39-C39)</f>
        <v/>
      </c>
      <c r="E39" s="14" t="s">
        <v>89</v>
      </c>
      <c r="F39" s="15" t="str">
        <f t="shared" ref="F39:F58" si="3">IF(B39="","",IF(B39&lt;=E39,1,0))</f>
        <v/>
      </c>
      <c r="G39" s="6" t="s">
        <v>12</v>
      </c>
      <c r="H39" s="14" t="s">
        <v>12</v>
      </c>
    </row>
    <row r="40" spans="1:8">
      <c r="A40" s="14" t="s">
        <v>12</v>
      </c>
      <c r="B40" s="14" t="s">
        <v>12</v>
      </c>
      <c r="C40" s="14" t="s">
        <v>12</v>
      </c>
      <c r="D40" s="15" t="str">
        <f t="shared" si="2"/>
        <v/>
      </c>
      <c r="E40" s="14" t="s">
        <v>89</v>
      </c>
      <c r="F40" s="15" t="str">
        <f t="shared" si="3"/>
        <v/>
      </c>
      <c r="G40" s="6" t="s">
        <v>12</v>
      </c>
      <c r="H40" s="14" t="s">
        <v>12</v>
      </c>
    </row>
    <row r="41" spans="1:8">
      <c r="A41" s="14" t="s">
        <v>12</v>
      </c>
      <c r="B41" s="14" t="s">
        <v>12</v>
      </c>
      <c r="C41" s="14" t="s">
        <v>12</v>
      </c>
      <c r="D41" s="15" t="str">
        <f t="shared" si="2"/>
        <v/>
      </c>
      <c r="E41" s="14" t="s">
        <v>89</v>
      </c>
      <c r="F41" s="15" t="str">
        <f t="shared" si="3"/>
        <v/>
      </c>
      <c r="G41" s="6" t="s">
        <v>12</v>
      </c>
      <c r="H41" s="14" t="s">
        <v>12</v>
      </c>
    </row>
    <row r="42" spans="1:8">
      <c r="A42" s="14" t="s">
        <v>12</v>
      </c>
      <c r="B42" s="14" t="s">
        <v>12</v>
      </c>
      <c r="C42" s="14" t="s">
        <v>12</v>
      </c>
      <c r="D42" s="15" t="str">
        <f t="shared" si="2"/>
        <v/>
      </c>
      <c r="E42" s="14" t="s">
        <v>89</v>
      </c>
      <c r="F42" s="15" t="str">
        <f t="shared" si="3"/>
        <v/>
      </c>
      <c r="G42" s="6" t="s">
        <v>12</v>
      </c>
      <c r="H42" s="14" t="s">
        <v>12</v>
      </c>
    </row>
    <row r="43" spans="1:8">
      <c r="A43" s="14" t="s">
        <v>12</v>
      </c>
      <c r="B43" s="14" t="s">
        <v>12</v>
      </c>
      <c r="C43" s="14" t="s">
        <v>12</v>
      </c>
      <c r="D43" s="15" t="str">
        <f t="shared" si="2"/>
        <v/>
      </c>
      <c r="E43" s="14" t="s">
        <v>89</v>
      </c>
      <c r="F43" s="15" t="str">
        <f t="shared" si="3"/>
        <v/>
      </c>
      <c r="G43" s="6" t="s">
        <v>12</v>
      </c>
      <c r="H43" s="14" t="s">
        <v>12</v>
      </c>
    </row>
    <row r="44" spans="1:8">
      <c r="A44" s="14" t="s">
        <v>12</v>
      </c>
      <c r="B44" s="14" t="s">
        <v>12</v>
      </c>
      <c r="C44" s="14" t="s">
        <v>12</v>
      </c>
      <c r="D44" s="15" t="str">
        <f t="shared" si="2"/>
        <v/>
      </c>
      <c r="E44" s="14" t="s">
        <v>89</v>
      </c>
      <c r="F44" s="15" t="str">
        <f t="shared" si="3"/>
        <v/>
      </c>
      <c r="G44" s="6" t="s">
        <v>12</v>
      </c>
      <c r="H44" s="14" t="s">
        <v>12</v>
      </c>
    </row>
    <row r="45" spans="1:8">
      <c r="A45" s="14" t="s">
        <v>12</v>
      </c>
      <c r="B45" s="14" t="s">
        <v>12</v>
      </c>
      <c r="C45" s="14" t="s">
        <v>12</v>
      </c>
      <c r="D45" s="15" t="str">
        <f t="shared" si="2"/>
        <v/>
      </c>
      <c r="E45" s="14" t="s">
        <v>89</v>
      </c>
      <c r="F45" s="15" t="str">
        <f t="shared" si="3"/>
        <v/>
      </c>
      <c r="G45" s="6" t="s">
        <v>12</v>
      </c>
      <c r="H45" s="14" t="s">
        <v>12</v>
      </c>
    </row>
    <row r="46" spans="1:8">
      <c r="A46" s="14" t="s">
        <v>12</v>
      </c>
      <c r="B46" s="14" t="s">
        <v>12</v>
      </c>
      <c r="C46" s="14" t="s">
        <v>12</v>
      </c>
      <c r="D46" s="15" t="str">
        <f t="shared" si="2"/>
        <v/>
      </c>
      <c r="E46" s="14" t="s">
        <v>89</v>
      </c>
      <c r="F46" s="15" t="str">
        <f t="shared" si="3"/>
        <v/>
      </c>
      <c r="G46" s="6" t="s">
        <v>12</v>
      </c>
      <c r="H46" s="14" t="s">
        <v>12</v>
      </c>
    </row>
    <row r="47" spans="1:8">
      <c r="A47" s="14" t="s">
        <v>12</v>
      </c>
      <c r="B47" s="14" t="s">
        <v>12</v>
      </c>
      <c r="C47" s="14" t="s">
        <v>12</v>
      </c>
      <c r="D47" s="15" t="str">
        <f t="shared" si="2"/>
        <v/>
      </c>
      <c r="E47" s="14" t="s">
        <v>89</v>
      </c>
      <c r="F47" s="15" t="str">
        <f t="shared" si="3"/>
        <v/>
      </c>
      <c r="G47" s="6" t="s">
        <v>12</v>
      </c>
      <c r="H47" s="14" t="s">
        <v>12</v>
      </c>
    </row>
    <row r="48" spans="1:8">
      <c r="A48" s="14" t="s">
        <v>12</v>
      </c>
      <c r="B48" s="14" t="s">
        <v>12</v>
      </c>
      <c r="C48" s="14" t="s">
        <v>12</v>
      </c>
      <c r="D48" s="15" t="str">
        <f t="shared" si="2"/>
        <v/>
      </c>
      <c r="E48" s="14" t="s">
        <v>89</v>
      </c>
      <c r="F48" s="15" t="str">
        <f t="shared" si="3"/>
        <v/>
      </c>
      <c r="G48" s="6" t="s">
        <v>12</v>
      </c>
      <c r="H48" s="14" t="s">
        <v>12</v>
      </c>
    </row>
    <row r="49" spans="1:8">
      <c r="A49" s="14" t="s">
        <v>12</v>
      </c>
      <c r="B49" s="14" t="s">
        <v>12</v>
      </c>
      <c r="C49" s="14" t="s">
        <v>12</v>
      </c>
      <c r="D49" s="15" t="str">
        <f t="shared" si="2"/>
        <v/>
      </c>
      <c r="E49" s="14" t="s">
        <v>89</v>
      </c>
      <c r="F49" s="15" t="str">
        <f t="shared" si="3"/>
        <v/>
      </c>
      <c r="G49" s="6" t="s">
        <v>12</v>
      </c>
      <c r="H49" s="14" t="s">
        <v>12</v>
      </c>
    </row>
    <row r="50" spans="1:8">
      <c r="A50" s="14" t="s">
        <v>12</v>
      </c>
      <c r="B50" s="14" t="s">
        <v>12</v>
      </c>
      <c r="C50" s="14" t="s">
        <v>12</v>
      </c>
      <c r="D50" s="15" t="str">
        <f t="shared" si="2"/>
        <v/>
      </c>
      <c r="E50" s="14" t="s">
        <v>89</v>
      </c>
      <c r="F50" s="15" t="str">
        <f t="shared" si="3"/>
        <v/>
      </c>
      <c r="G50" s="6" t="s">
        <v>12</v>
      </c>
      <c r="H50" s="14" t="s">
        <v>12</v>
      </c>
    </row>
    <row r="51" spans="1:8">
      <c r="A51" s="14" t="s">
        <v>12</v>
      </c>
      <c r="B51" s="14" t="s">
        <v>12</v>
      </c>
      <c r="C51" s="14" t="s">
        <v>12</v>
      </c>
      <c r="D51" s="15" t="str">
        <f t="shared" si="2"/>
        <v/>
      </c>
      <c r="E51" s="14" t="s">
        <v>89</v>
      </c>
      <c r="F51" s="15" t="str">
        <f t="shared" si="3"/>
        <v/>
      </c>
      <c r="G51" s="6" t="s">
        <v>12</v>
      </c>
      <c r="H51" s="14" t="s">
        <v>12</v>
      </c>
    </row>
    <row r="52" spans="1:8">
      <c r="A52" s="14" t="s">
        <v>12</v>
      </c>
      <c r="B52" s="14" t="s">
        <v>12</v>
      </c>
      <c r="C52" s="14" t="s">
        <v>12</v>
      </c>
      <c r="D52" s="15" t="str">
        <f t="shared" si="2"/>
        <v/>
      </c>
      <c r="E52" s="14" t="s">
        <v>89</v>
      </c>
      <c r="F52" s="15" t="str">
        <f t="shared" si="3"/>
        <v/>
      </c>
      <c r="G52" s="6" t="s">
        <v>12</v>
      </c>
      <c r="H52" s="14" t="s">
        <v>12</v>
      </c>
    </row>
    <row r="53" spans="1:8">
      <c r="A53" s="14" t="s">
        <v>12</v>
      </c>
      <c r="B53" s="14" t="s">
        <v>12</v>
      </c>
      <c r="C53" s="14" t="s">
        <v>12</v>
      </c>
      <c r="D53" s="15" t="str">
        <f t="shared" si="2"/>
        <v/>
      </c>
      <c r="E53" s="14" t="s">
        <v>89</v>
      </c>
      <c r="F53" s="15" t="str">
        <f t="shared" si="3"/>
        <v/>
      </c>
      <c r="G53" s="6" t="s">
        <v>12</v>
      </c>
      <c r="H53" s="14" t="s">
        <v>12</v>
      </c>
    </row>
    <row r="54" spans="1:8">
      <c r="A54" s="14" t="s">
        <v>12</v>
      </c>
      <c r="B54" s="14" t="s">
        <v>12</v>
      </c>
      <c r="C54" s="14" t="s">
        <v>12</v>
      </c>
      <c r="D54" s="15" t="str">
        <f t="shared" si="2"/>
        <v/>
      </c>
      <c r="E54" s="14" t="s">
        <v>89</v>
      </c>
      <c r="F54" s="15" t="str">
        <f t="shared" si="3"/>
        <v/>
      </c>
      <c r="G54" s="6" t="s">
        <v>12</v>
      </c>
      <c r="H54" s="14" t="s">
        <v>12</v>
      </c>
    </row>
    <row r="55" spans="1:8">
      <c r="A55" s="14" t="s">
        <v>12</v>
      </c>
      <c r="B55" s="14" t="s">
        <v>12</v>
      </c>
      <c r="C55" s="14" t="s">
        <v>12</v>
      </c>
      <c r="D55" s="15" t="str">
        <f t="shared" si="2"/>
        <v/>
      </c>
      <c r="E55" s="14" t="s">
        <v>89</v>
      </c>
      <c r="F55" s="15" t="str">
        <f t="shared" si="3"/>
        <v/>
      </c>
      <c r="G55" s="6" t="s">
        <v>12</v>
      </c>
      <c r="H55" s="14" t="s">
        <v>12</v>
      </c>
    </row>
    <row r="56" spans="1:8">
      <c r="A56" s="14" t="s">
        <v>12</v>
      </c>
      <c r="B56" s="14" t="s">
        <v>12</v>
      </c>
      <c r="C56" s="14" t="s">
        <v>12</v>
      </c>
      <c r="D56" s="15" t="str">
        <f t="shared" si="2"/>
        <v/>
      </c>
      <c r="E56" s="14" t="s">
        <v>89</v>
      </c>
      <c r="F56" s="15" t="str">
        <f t="shared" si="3"/>
        <v/>
      </c>
      <c r="G56" s="6" t="s">
        <v>12</v>
      </c>
      <c r="H56" s="14" t="s">
        <v>12</v>
      </c>
    </row>
    <row r="57" spans="1:8">
      <c r="A57" s="14" t="s">
        <v>12</v>
      </c>
      <c r="B57" s="14" t="s">
        <v>12</v>
      </c>
      <c r="C57" s="14" t="s">
        <v>12</v>
      </c>
      <c r="D57" s="15" t="str">
        <f t="shared" si="2"/>
        <v/>
      </c>
      <c r="E57" s="14" t="s">
        <v>89</v>
      </c>
      <c r="F57" s="15" t="str">
        <f t="shared" si="3"/>
        <v/>
      </c>
      <c r="G57" s="6" t="s">
        <v>12</v>
      </c>
      <c r="H57" s="14" t="s">
        <v>12</v>
      </c>
    </row>
    <row r="58" spans="1:8">
      <c r="A58" s="14" t="s">
        <v>12</v>
      </c>
      <c r="B58" s="14" t="s">
        <v>12</v>
      </c>
      <c r="C58" s="14" t="s">
        <v>12</v>
      </c>
      <c r="D58" s="15" t="str">
        <f t="shared" si="2"/>
        <v/>
      </c>
      <c r="E58" s="14" t="s">
        <v>89</v>
      </c>
      <c r="F58" s="15" t="str">
        <f t="shared" si="3"/>
        <v/>
      </c>
      <c r="G58" s="6" t="s">
        <v>12</v>
      </c>
      <c r="H58" s="14" t="s">
        <v>12</v>
      </c>
    </row>
  </sheetData>
  <mergeCells count="3">
    <mergeCell ref="A1:H1"/>
    <mergeCell ref="A2:H2"/>
    <mergeCell ref="A37:H3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showGridLines="0" workbookViewId="0">
      <pane ySplit="5" topLeftCell="A6" activePane="bottomLeft" state="frozen"/>
      <selection/>
      <selection pane="bottomLeft" activeCell="A6" sqref="A6:I12"/>
    </sheetView>
  </sheetViews>
  <sheetFormatPr defaultColWidth="9" defaultRowHeight="14.4"/>
  <cols>
    <col min="1" max="1" width="10" customWidth="1"/>
    <col min="2" max="2" width="18" customWidth="1"/>
    <col min="3" max="7" width="14" customWidth="1"/>
    <col min="8" max="8" width="18" customWidth="1"/>
    <col min="9" max="9" width="26" customWidth="1"/>
  </cols>
  <sheetData>
    <row r="1" ht="20.4" spans="1:9">
      <c r="A1" s="1" t="s">
        <v>90</v>
      </c>
    </row>
    <row r="2" spans="1:9">
      <c r="A2" s="2" t="s">
        <v>91</v>
      </c>
    </row>
    <row r="3" spans="1:9">
      <c r="A3" s="11" t="s">
        <v>92</v>
      </c>
    </row>
    <row r="5" ht="28.8" spans="1:9">
      <c r="A5" s="3" t="s">
        <v>93</v>
      </c>
      <c r="B5" s="3" t="s">
        <v>94</v>
      </c>
      <c r="C5" s="3" t="s">
        <v>95</v>
      </c>
      <c r="D5" s="3" t="s">
        <v>96</v>
      </c>
      <c r="E5" s="3" t="s">
        <v>97</v>
      </c>
      <c r="F5" s="3" t="s">
        <v>98</v>
      </c>
      <c r="G5" s="3" t="s">
        <v>99</v>
      </c>
      <c r="H5" s="3" t="s">
        <v>100</v>
      </c>
      <c r="I5" s="3" t="s">
        <v>101</v>
      </c>
    </row>
    <row r="6" spans="1:9">
      <c r="A6" s="12" t="s">
        <v>102</v>
      </c>
      <c r="B6" s="6" t="s">
        <v>103</v>
      </c>
      <c r="C6" s="4" t="s">
        <v>12</v>
      </c>
      <c r="D6" s="4" t="s">
        <v>12</v>
      </c>
      <c r="E6" s="5" t="str">
        <f t="shared" ref="E6:E12" si="0">IF(OR(C6="",D6=""),"",C6-D6)</f>
        <v/>
      </c>
      <c r="F6" s="4" t="s">
        <v>12</v>
      </c>
      <c r="G6" s="4" t="s">
        <v>12</v>
      </c>
      <c r="H6" s="4" t="s">
        <v>12</v>
      </c>
      <c r="I6" s="4" t="s">
        <v>12</v>
      </c>
    </row>
    <row r="7" spans="1:9">
      <c r="A7" s="12" t="s">
        <v>104</v>
      </c>
      <c r="B7" s="6" t="s">
        <v>105</v>
      </c>
      <c r="C7" s="4" t="s">
        <v>12</v>
      </c>
      <c r="D7" s="4" t="s">
        <v>12</v>
      </c>
      <c r="E7" s="5" t="str">
        <f t="shared" si="0"/>
        <v/>
      </c>
      <c r="F7" s="4" t="s">
        <v>12</v>
      </c>
      <c r="G7" s="4" t="s">
        <v>12</v>
      </c>
      <c r="H7" s="4" t="s">
        <v>12</v>
      </c>
      <c r="I7" s="4" t="s">
        <v>12</v>
      </c>
    </row>
    <row r="8" spans="1:9">
      <c r="A8" s="12" t="s">
        <v>106</v>
      </c>
      <c r="B8" s="6" t="s">
        <v>107</v>
      </c>
      <c r="C8" s="4" t="s">
        <v>12</v>
      </c>
      <c r="D8" s="4" t="s">
        <v>12</v>
      </c>
      <c r="E8" s="5" t="str">
        <f t="shared" si="0"/>
        <v/>
      </c>
      <c r="F8" s="4" t="s">
        <v>12</v>
      </c>
      <c r="G8" s="4" t="s">
        <v>12</v>
      </c>
      <c r="H8" s="4" t="s">
        <v>12</v>
      </c>
      <c r="I8" s="4" t="s">
        <v>12</v>
      </c>
    </row>
    <row r="9" spans="1:9">
      <c r="A9" s="12" t="s">
        <v>108</v>
      </c>
      <c r="B9" s="6" t="s">
        <v>109</v>
      </c>
      <c r="C9" s="4" t="s">
        <v>12</v>
      </c>
      <c r="D9" s="4" t="s">
        <v>12</v>
      </c>
      <c r="E9" s="5" t="str">
        <f t="shared" si="0"/>
        <v/>
      </c>
      <c r="F9" s="4" t="s">
        <v>12</v>
      </c>
      <c r="G9" s="4" t="s">
        <v>12</v>
      </c>
      <c r="H9" s="4" t="s">
        <v>12</v>
      </c>
      <c r="I9" s="4" t="s">
        <v>12</v>
      </c>
    </row>
    <row r="10" spans="1:9">
      <c r="A10" s="12" t="s">
        <v>110</v>
      </c>
      <c r="B10" s="6" t="s">
        <v>111</v>
      </c>
      <c r="C10" s="4" t="s">
        <v>12</v>
      </c>
      <c r="D10" s="4" t="s">
        <v>12</v>
      </c>
      <c r="E10" s="5" t="str">
        <f t="shared" si="0"/>
        <v/>
      </c>
      <c r="F10" s="4" t="s">
        <v>12</v>
      </c>
      <c r="G10" s="4" t="s">
        <v>12</v>
      </c>
      <c r="H10" s="4" t="s">
        <v>12</v>
      </c>
      <c r="I10" s="4" t="s">
        <v>12</v>
      </c>
    </row>
    <row r="11" spans="1:9">
      <c r="A11" s="12" t="s">
        <v>112</v>
      </c>
      <c r="B11" s="6" t="s">
        <v>113</v>
      </c>
      <c r="C11" s="4" t="s">
        <v>12</v>
      </c>
      <c r="D11" s="4" t="s">
        <v>12</v>
      </c>
      <c r="E11" s="5" t="str">
        <f t="shared" si="0"/>
        <v/>
      </c>
      <c r="F11" s="4" t="s">
        <v>12</v>
      </c>
      <c r="G11" s="4" t="s">
        <v>12</v>
      </c>
      <c r="H11" s="4" t="s">
        <v>12</v>
      </c>
      <c r="I11" s="4" t="s">
        <v>12</v>
      </c>
    </row>
    <row r="12" spans="1:9">
      <c r="A12" s="12" t="s">
        <v>114</v>
      </c>
      <c r="B12" s="6" t="s">
        <v>115</v>
      </c>
      <c r="C12" s="4" t="s">
        <v>12</v>
      </c>
      <c r="D12" s="4" t="s">
        <v>12</v>
      </c>
      <c r="E12" s="5" t="str">
        <f t="shared" si="0"/>
        <v/>
      </c>
      <c r="F12" s="4" t="s">
        <v>12</v>
      </c>
      <c r="G12" s="4" t="s">
        <v>12</v>
      </c>
      <c r="H12" s="4" t="s">
        <v>12</v>
      </c>
      <c r="I12" s="4" t="s">
        <v>12</v>
      </c>
    </row>
    <row r="15" spans="1:9">
      <c r="A15" s="7" t="s">
        <v>116</v>
      </c>
    </row>
    <row r="16" ht="28.8" spans="1:9">
      <c r="A16" s="3" t="s">
        <v>93</v>
      </c>
      <c r="B16" s="3" t="s">
        <v>117</v>
      </c>
      <c r="C16" s="3" t="s">
        <v>118</v>
      </c>
      <c r="D16" s="3" t="s">
        <v>119</v>
      </c>
      <c r="E16" s="3" t="s">
        <v>120</v>
      </c>
      <c r="F16" s="3" t="s">
        <v>121</v>
      </c>
      <c r="G16" s="3" t="s">
        <v>122</v>
      </c>
      <c r="H16" s="3" t="s">
        <v>73</v>
      </c>
      <c r="I16" s="3" t="s">
        <v>12</v>
      </c>
    </row>
    <row r="17" spans="1:8">
      <c r="A17" s="12" t="s">
        <v>102</v>
      </c>
      <c r="B17" s="5" t="str">
        <f t="shared" ref="B17:B23" si="1">E6</f>
        <v/>
      </c>
      <c r="C17" s="5" t="str">
        <f t="shared" ref="C17:C23" si="2">H6</f>
        <v/>
      </c>
      <c r="D17" s="5" t="str">
        <f t="shared" ref="D17:D23" si="3">I6</f>
        <v/>
      </c>
      <c r="E17" s="5">
        <f t="shared" ref="E17:E23" si="4">IFERROR(SIGN((IF(B17&gt;0,1,0)+IF(C17&gt;0,1,0)+IF(D17&gt;0,1,0))-1),"")</f>
        <v>1</v>
      </c>
      <c r="F17" s="4" t="s">
        <v>123</v>
      </c>
      <c r="G17" s="5">
        <f t="shared" ref="G17:G23" si="5">IF(OR(E17="",F17=""),"",E17*F17)</f>
        <v>0.1429</v>
      </c>
      <c r="H17" s="6" t="s">
        <v>12</v>
      </c>
    </row>
    <row r="18" spans="1:8">
      <c r="A18" s="12" t="s">
        <v>104</v>
      </c>
      <c r="B18" s="5" t="str">
        <f t="shared" si="1"/>
        <v/>
      </c>
      <c r="C18" s="5" t="str">
        <f t="shared" si="2"/>
        <v/>
      </c>
      <c r="D18" s="5" t="str">
        <f t="shared" si="3"/>
        <v/>
      </c>
      <c r="E18" s="5">
        <f t="shared" si="4"/>
        <v>1</v>
      </c>
      <c r="F18" s="4" t="s">
        <v>123</v>
      </c>
      <c r="G18" s="5">
        <f t="shared" si="5"/>
        <v>0.1429</v>
      </c>
      <c r="H18" s="6" t="s">
        <v>12</v>
      </c>
    </row>
    <row r="19" spans="1:8">
      <c r="A19" s="12" t="s">
        <v>106</v>
      </c>
      <c r="B19" s="5" t="str">
        <f t="shared" si="1"/>
        <v/>
      </c>
      <c r="C19" s="5" t="str">
        <f t="shared" si="2"/>
        <v/>
      </c>
      <c r="D19" s="5" t="str">
        <f t="shared" si="3"/>
        <v/>
      </c>
      <c r="E19" s="5">
        <f t="shared" si="4"/>
        <v>1</v>
      </c>
      <c r="F19" s="4" t="s">
        <v>123</v>
      </c>
      <c r="G19" s="5">
        <f t="shared" si="5"/>
        <v>0.1429</v>
      </c>
      <c r="H19" s="6" t="s">
        <v>12</v>
      </c>
    </row>
    <row r="20" spans="1:8">
      <c r="A20" s="12" t="s">
        <v>108</v>
      </c>
      <c r="B20" s="5" t="str">
        <f t="shared" si="1"/>
        <v/>
      </c>
      <c r="C20" s="5" t="str">
        <f t="shared" si="2"/>
        <v/>
      </c>
      <c r="D20" s="5" t="str">
        <f t="shared" si="3"/>
        <v/>
      </c>
      <c r="E20" s="5">
        <f t="shared" si="4"/>
        <v>1</v>
      </c>
      <c r="F20" s="4" t="s">
        <v>123</v>
      </c>
      <c r="G20" s="5">
        <f t="shared" si="5"/>
        <v>0.1429</v>
      </c>
      <c r="H20" s="6" t="s">
        <v>12</v>
      </c>
    </row>
    <row r="21" spans="1:8">
      <c r="A21" s="12" t="s">
        <v>110</v>
      </c>
      <c r="B21" s="5" t="str">
        <f t="shared" si="1"/>
        <v/>
      </c>
      <c r="C21" s="5" t="str">
        <f t="shared" si="2"/>
        <v/>
      </c>
      <c r="D21" s="5" t="str">
        <f t="shared" si="3"/>
        <v/>
      </c>
      <c r="E21" s="5">
        <f t="shared" si="4"/>
        <v>1</v>
      </c>
      <c r="F21" s="4" t="s">
        <v>123</v>
      </c>
      <c r="G21" s="5">
        <f t="shared" si="5"/>
        <v>0.1429</v>
      </c>
      <c r="H21" s="6" t="s">
        <v>12</v>
      </c>
    </row>
    <row r="22" spans="1:8">
      <c r="A22" s="12" t="s">
        <v>112</v>
      </c>
      <c r="B22" s="5" t="str">
        <f t="shared" si="1"/>
        <v/>
      </c>
      <c r="C22" s="5" t="str">
        <f t="shared" si="2"/>
        <v/>
      </c>
      <c r="D22" s="5" t="str">
        <f t="shared" si="3"/>
        <v/>
      </c>
      <c r="E22" s="5">
        <f t="shared" si="4"/>
        <v>1</v>
      </c>
      <c r="F22" s="4" t="s">
        <v>123</v>
      </c>
      <c r="G22" s="5">
        <f t="shared" si="5"/>
        <v>0.1429</v>
      </c>
      <c r="H22" s="6" t="s">
        <v>12</v>
      </c>
    </row>
    <row r="23" spans="1:8">
      <c r="A23" s="12" t="s">
        <v>114</v>
      </c>
      <c r="B23" s="5" t="str">
        <f t="shared" si="1"/>
        <v/>
      </c>
      <c r="C23" s="5" t="str">
        <f t="shared" si="2"/>
        <v/>
      </c>
      <c r="D23" s="5" t="str">
        <f t="shared" si="3"/>
        <v/>
      </c>
      <c r="E23" s="5">
        <f t="shared" si="4"/>
        <v>1</v>
      </c>
      <c r="F23" s="4" t="s">
        <v>123</v>
      </c>
      <c r="G23" s="5">
        <f t="shared" si="5"/>
        <v>0.1429</v>
      </c>
      <c r="H23" s="6" t="s">
        <v>12</v>
      </c>
    </row>
    <row r="24" spans="1:8">
      <c r="F24" s="8" t="s">
        <v>124</v>
      </c>
      <c r="G24" s="13">
        <f>SUM(F17:F23)</f>
        <v>0</v>
      </c>
    </row>
    <row r="25" spans="1:8">
      <c r="F25" s="8" t="s">
        <v>125</v>
      </c>
      <c r="G25" s="13">
        <f>SUM(G17:G23)</f>
        <v>1.0003</v>
      </c>
    </row>
  </sheetData>
  <mergeCells count="4">
    <mergeCell ref="A1:H1"/>
    <mergeCell ref="A2:H2"/>
    <mergeCell ref="A3:I3"/>
    <mergeCell ref="A15:I15"/>
  </mergeCells>
  <conditionalFormatting sqref="H6:H12">
    <cfRule type="cellIs" dxfId="4" priority="1" operator="lessThan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"/>
  <sheetViews>
    <sheetView showGridLines="0" workbookViewId="0">
      <pane ySplit="5" topLeftCell="A6" activePane="bottomLeft" state="frozen"/>
      <selection/>
      <selection pane="bottomLeft" activeCell="A1" sqref="A1:H1"/>
    </sheetView>
  </sheetViews>
  <sheetFormatPr defaultColWidth="9" defaultRowHeight="14.4"/>
  <cols>
    <col min="1" max="1" width="12" customWidth="1"/>
    <col min="2" max="2" width="10" customWidth="1"/>
    <col min="3" max="5" width="12" customWidth="1"/>
    <col min="6" max="7" width="14" customWidth="1"/>
    <col min="8" max="8" width="18" customWidth="1"/>
    <col min="9" max="9" width="24" customWidth="1"/>
  </cols>
  <sheetData>
    <row r="1" ht="20.4" spans="1:9">
      <c r="A1" s="1" t="s">
        <v>126</v>
      </c>
    </row>
    <row r="2" spans="1:9">
      <c r="A2" s="2" t="s">
        <v>127</v>
      </c>
    </row>
    <row r="5" ht="28.8" spans="1:9">
      <c r="A5" s="3" t="s">
        <v>69</v>
      </c>
      <c r="B5" s="3" t="s">
        <v>93</v>
      </c>
      <c r="C5" s="3" t="s">
        <v>128</v>
      </c>
      <c r="D5" s="3" t="s">
        <v>129</v>
      </c>
      <c r="E5" s="3" t="s">
        <v>130</v>
      </c>
      <c r="F5" s="3" t="s">
        <v>131</v>
      </c>
      <c r="G5" s="3" t="s">
        <v>132</v>
      </c>
      <c r="H5" s="3" t="s">
        <v>133</v>
      </c>
      <c r="I5" s="3" t="s">
        <v>73</v>
      </c>
    </row>
    <row r="6" spans="1:9">
      <c r="A6" s="4" t="s">
        <v>12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5" t="str">
        <f t="shared" ref="G6:G69" si="0">IF(OR(C6="",F6=""),"",IF(AND(OR(C6="Beat",D6="上修"),OR(F6="回落",F6="收跌")),"利好不涨",IF(AND(OR(C6="Miss",D6="下修"),OR(F6="反弹",F6="震荡")),"利空不跌","正常")))</f>
        <v/>
      </c>
      <c r="H6" s="4" t="s">
        <v>12</v>
      </c>
      <c r="I6" s="6" t="s">
        <v>12</v>
      </c>
    </row>
    <row r="7" spans="1:9">
      <c r="A7" s="4" t="s">
        <v>12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  <c r="G7" s="5" t="str">
        <f t="shared" si="0"/>
        <v/>
      </c>
      <c r="H7" s="4" t="s">
        <v>12</v>
      </c>
      <c r="I7" s="6" t="s">
        <v>12</v>
      </c>
    </row>
    <row r="8" spans="1:9">
      <c r="A8" s="4" t="s">
        <v>12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  <c r="G8" s="5" t="str">
        <f t="shared" si="0"/>
        <v/>
      </c>
      <c r="H8" s="4" t="s">
        <v>12</v>
      </c>
      <c r="I8" s="6" t="s">
        <v>12</v>
      </c>
    </row>
    <row r="9" spans="1:9">
      <c r="A9" s="4" t="s">
        <v>12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  <c r="G9" s="5" t="str">
        <f t="shared" si="0"/>
        <v/>
      </c>
      <c r="H9" s="4" t="s">
        <v>12</v>
      </c>
      <c r="I9" s="6" t="s">
        <v>12</v>
      </c>
    </row>
    <row r="10" spans="1:9">
      <c r="A10" s="4" t="s">
        <v>12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  <c r="G10" s="5" t="str">
        <f t="shared" si="0"/>
        <v/>
      </c>
      <c r="H10" s="4" t="s">
        <v>12</v>
      </c>
      <c r="I10" s="6" t="s">
        <v>12</v>
      </c>
    </row>
    <row r="11" spans="1:9">
      <c r="A11" s="4" t="s">
        <v>12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  <c r="G11" s="5" t="str">
        <f t="shared" si="0"/>
        <v/>
      </c>
      <c r="H11" s="4" t="s">
        <v>12</v>
      </c>
      <c r="I11" s="6" t="s">
        <v>12</v>
      </c>
    </row>
    <row r="12" spans="1:9">
      <c r="A12" s="4" t="s">
        <v>12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  <c r="G12" s="5" t="str">
        <f t="shared" si="0"/>
        <v/>
      </c>
      <c r="H12" s="4" t="s">
        <v>12</v>
      </c>
      <c r="I12" s="6" t="s">
        <v>12</v>
      </c>
    </row>
    <row r="13" spans="1:9">
      <c r="A13" s="4" t="s">
        <v>12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  <c r="G13" s="5" t="str">
        <f t="shared" si="0"/>
        <v/>
      </c>
      <c r="H13" s="4" t="s">
        <v>12</v>
      </c>
      <c r="I13" s="6" t="s">
        <v>12</v>
      </c>
    </row>
    <row r="14" spans="1:9">
      <c r="A14" s="4" t="s">
        <v>12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  <c r="G14" s="5" t="str">
        <f t="shared" si="0"/>
        <v/>
      </c>
      <c r="H14" s="4" t="s">
        <v>12</v>
      </c>
      <c r="I14" s="6" t="s">
        <v>12</v>
      </c>
    </row>
    <row r="15" spans="1:9">
      <c r="A15" s="4" t="s">
        <v>12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  <c r="G15" s="5" t="str">
        <f t="shared" si="0"/>
        <v/>
      </c>
      <c r="H15" s="4" t="s">
        <v>12</v>
      </c>
      <c r="I15" s="6" t="s">
        <v>12</v>
      </c>
    </row>
    <row r="16" spans="1:9">
      <c r="A16" s="4" t="s">
        <v>12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  <c r="G16" s="5" t="str">
        <f t="shared" si="0"/>
        <v/>
      </c>
      <c r="H16" s="4" t="s">
        <v>12</v>
      </c>
      <c r="I16" s="6" t="s">
        <v>12</v>
      </c>
    </row>
    <row r="17" spans="1:9">
      <c r="A17" s="4" t="s">
        <v>12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  <c r="G17" s="5" t="str">
        <f t="shared" si="0"/>
        <v/>
      </c>
      <c r="H17" s="4" t="s">
        <v>12</v>
      </c>
      <c r="I17" s="6" t="s">
        <v>12</v>
      </c>
    </row>
    <row r="18" spans="1:9">
      <c r="A18" s="4" t="s">
        <v>12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  <c r="G18" s="5" t="str">
        <f t="shared" si="0"/>
        <v/>
      </c>
      <c r="H18" s="4" t="s">
        <v>12</v>
      </c>
      <c r="I18" s="6" t="s">
        <v>12</v>
      </c>
    </row>
    <row r="19" spans="1:9">
      <c r="A19" s="4" t="s">
        <v>12</v>
      </c>
      <c r="B19" s="4" t="s">
        <v>12</v>
      </c>
      <c r="C19" s="4" t="s">
        <v>12</v>
      </c>
      <c r="D19" s="4" t="s">
        <v>12</v>
      </c>
      <c r="E19" s="4" t="s">
        <v>12</v>
      </c>
      <c r="F19" s="4" t="s">
        <v>12</v>
      </c>
      <c r="G19" s="5" t="str">
        <f t="shared" si="0"/>
        <v/>
      </c>
      <c r="H19" s="4" t="s">
        <v>12</v>
      </c>
      <c r="I19" s="6" t="s">
        <v>12</v>
      </c>
    </row>
    <row r="20" spans="1:9">
      <c r="A20" s="4" t="s">
        <v>12</v>
      </c>
      <c r="B20" s="4" t="s">
        <v>12</v>
      </c>
      <c r="C20" s="4" t="s">
        <v>12</v>
      </c>
      <c r="D20" s="4" t="s">
        <v>12</v>
      </c>
      <c r="E20" s="4" t="s">
        <v>12</v>
      </c>
      <c r="F20" s="4" t="s">
        <v>12</v>
      </c>
      <c r="G20" s="5" t="str">
        <f t="shared" si="0"/>
        <v/>
      </c>
      <c r="H20" s="4" t="s">
        <v>12</v>
      </c>
      <c r="I20" s="6" t="s">
        <v>12</v>
      </c>
    </row>
    <row r="21" spans="1:9">
      <c r="A21" s="4" t="s">
        <v>12</v>
      </c>
      <c r="B21" s="4" t="s">
        <v>12</v>
      </c>
      <c r="C21" s="4" t="s">
        <v>12</v>
      </c>
      <c r="D21" s="4" t="s">
        <v>12</v>
      </c>
      <c r="E21" s="4" t="s">
        <v>12</v>
      </c>
      <c r="F21" s="4" t="s">
        <v>12</v>
      </c>
      <c r="G21" s="5" t="str">
        <f t="shared" si="0"/>
        <v/>
      </c>
      <c r="H21" s="4" t="s">
        <v>12</v>
      </c>
      <c r="I21" s="6" t="s">
        <v>12</v>
      </c>
    </row>
    <row r="22" spans="1:9">
      <c r="A22" s="4" t="s">
        <v>12</v>
      </c>
      <c r="B22" s="4" t="s">
        <v>12</v>
      </c>
      <c r="C22" s="4" t="s">
        <v>12</v>
      </c>
      <c r="D22" s="4" t="s">
        <v>12</v>
      </c>
      <c r="E22" s="4" t="s">
        <v>12</v>
      </c>
      <c r="F22" s="4" t="s">
        <v>12</v>
      </c>
      <c r="G22" s="5" t="str">
        <f t="shared" si="0"/>
        <v/>
      </c>
      <c r="H22" s="4" t="s">
        <v>12</v>
      </c>
      <c r="I22" s="6" t="s">
        <v>12</v>
      </c>
    </row>
    <row r="23" spans="1:9">
      <c r="A23" s="4" t="s">
        <v>12</v>
      </c>
      <c r="B23" s="4" t="s">
        <v>12</v>
      </c>
      <c r="C23" s="4" t="s">
        <v>12</v>
      </c>
      <c r="D23" s="4" t="s">
        <v>12</v>
      </c>
      <c r="E23" s="4" t="s">
        <v>12</v>
      </c>
      <c r="F23" s="4" t="s">
        <v>12</v>
      </c>
      <c r="G23" s="5" t="str">
        <f t="shared" si="0"/>
        <v/>
      </c>
      <c r="H23" s="4" t="s">
        <v>12</v>
      </c>
      <c r="I23" s="6" t="s">
        <v>12</v>
      </c>
    </row>
    <row r="24" spans="1:9">
      <c r="A24" s="4" t="s">
        <v>12</v>
      </c>
      <c r="B24" s="4" t="s">
        <v>12</v>
      </c>
      <c r="C24" s="4" t="s">
        <v>12</v>
      </c>
      <c r="D24" s="4" t="s">
        <v>12</v>
      </c>
      <c r="E24" s="4" t="s">
        <v>12</v>
      </c>
      <c r="F24" s="4" t="s">
        <v>12</v>
      </c>
      <c r="G24" s="5" t="str">
        <f t="shared" si="0"/>
        <v/>
      </c>
      <c r="H24" s="4" t="s">
        <v>12</v>
      </c>
      <c r="I24" s="6" t="s">
        <v>12</v>
      </c>
    </row>
    <row r="25" spans="1:9">
      <c r="A25" s="4" t="s">
        <v>12</v>
      </c>
      <c r="B25" s="4" t="s">
        <v>12</v>
      </c>
      <c r="C25" s="4" t="s">
        <v>12</v>
      </c>
      <c r="D25" s="4" t="s">
        <v>12</v>
      </c>
      <c r="E25" s="4" t="s">
        <v>12</v>
      </c>
      <c r="F25" s="4" t="s">
        <v>12</v>
      </c>
      <c r="G25" s="5" t="str">
        <f t="shared" si="0"/>
        <v/>
      </c>
      <c r="H25" s="4" t="s">
        <v>12</v>
      </c>
      <c r="I25" s="6" t="s">
        <v>12</v>
      </c>
    </row>
    <row r="26" spans="1:9">
      <c r="A26" s="4" t="s">
        <v>12</v>
      </c>
      <c r="B26" s="4" t="s">
        <v>12</v>
      </c>
      <c r="C26" s="4" t="s">
        <v>12</v>
      </c>
      <c r="D26" s="4" t="s">
        <v>12</v>
      </c>
      <c r="E26" s="4" t="s">
        <v>12</v>
      </c>
      <c r="F26" s="4" t="s">
        <v>12</v>
      </c>
      <c r="G26" s="5" t="str">
        <f t="shared" si="0"/>
        <v/>
      </c>
      <c r="H26" s="4" t="s">
        <v>12</v>
      </c>
      <c r="I26" s="6" t="s">
        <v>12</v>
      </c>
    </row>
    <row r="27" spans="1:9">
      <c r="A27" s="4" t="s">
        <v>12</v>
      </c>
      <c r="B27" s="4" t="s">
        <v>12</v>
      </c>
      <c r="C27" s="4" t="s">
        <v>12</v>
      </c>
      <c r="D27" s="4" t="s">
        <v>12</v>
      </c>
      <c r="E27" s="4" t="s">
        <v>12</v>
      </c>
      <c r="F27" s="4" t="s">
        <v>12</v>
      </c>
      <c r="G27" s="5" t="str">
        <f t="shared" si="0"/>
        <v/>
      </c>
      <c r="H27" s="4" t="s">
        <v>12</v>
      </c>
      <c r="I27" s="6" t="s">
        <v>12</v>
      </c>
    </row>
    <row r="28" spans="1:9">
      <c r="A28" s="4" t="s">
        <v>12</v>
      </c>
      <c r="B28" s="4" t="s">
        <v>12</v>
      </c>
      <c r="C28" s="4" t="s">
        <v>12</v>
      </c>
      <c r="D28" s="4" t="s">
        <v>12</v>
      </c>
      <c r="E28" s="4" t="s">
        <v>12</v>
      </c>
      <c r="F28" s="4" t="s">
        <v>12</v>
      </c>
      <c r="G28" s="5" t="str">
        <f t="shared" si="0"/>
        <v/>
      </c>
      <c r="H28" s="4" t="s">
        <v>12</v>
      </c>
      <c r="I28" s="6" t="s">
        <v>12</v>
      </c>
    </row>
    <row r="29" spans="1:9">
      <c r="A29" s="4" t="s">
        <v>12</v>
      </c>
      <c r="B29" s="4" t="s">
        <v>12</v>
      </c>
      <c r="C29" s="4" t="s">
        <v>12</v>
      </c>
      <c r="D29" s="4" t="s">
        <v>12</v>
      </c>
      <c r="E29" s="4" t="s">
        <v>12</v>
      </c>
      <c r="F29" s="4" t="s">
        <v>12</v>
      </c>
      <c r="G29" s="5" t="str">
        <f t="shared" si="0"/>
        <v/>
      </c>
      <c r="H29" s="4" t="s">
        <v>12</v>
      </c>
      <c r="I29" s="6" t="s">
        <v>12</v>
      </c>
    </row>
    <row r="30" spans="1:9">
      <c r="A30" s="4" t="s">
        <v>12</v>
      </c>
      <c r="B30" s="4" t="s">
        <v>12</v>
      </c>
      <c r="C30" s="4" t="s">
        <v>12</v>
      </c>
      <c r="D30" s="4" t="s">
        <v>12</v>
      </c>
      <c r="E30" s="4" t="s">
        <v>12</v>
      </c>
      <c r="F30" s="4" t="s">
        <v>12</v>
      </c>
      <c r="G30" s="5" t="str">
        <f t="shared" si="0"/>
        <v/>
      </c>
      <c r="H30" s="4" t="s">
        <v>12</v>
      </c>
      <c r="I30" s="6" t="s">
        <v>12</v>
      </c>
    </row>
    <row r="31" spans="1:9">
      <c r="A31" s="4" t="s">
        <v>12</v>
      </c>
      <c r="B31" s="4" t="s">
        <v>12</v>
      </c>
      <c r="C31" s="4" t="s">
        <v>12</v>
      </c>
      <c r="D31" s="4" t="s">
        <v>12</v>
      </c>
      <c r="E31" s="4" t="s">
        <v>12</v>
      </c>
      <c r="F31" s="4" t="s">
        <v>12</v>
      </c>
      <c r="G31" s="5" t="str">
        <f t="shared" si="0"/>
        <v/>
      </c>
      <c r="H31" s="4" t="s">
        <v>12</v>
      </c>
      <c r="I31" s="6" t="s">
        <v>12</v>
      </c>
    </row>
    <row r="32" spans="1:9">
      <c r="A32" s="4" t="s">
        <v>12</v>
      </c>
      <c r="B32" s="4" t="s">
        <v>12</v>
      </c>
      <c r="C32" s="4" t="s">
        <v>12</v>
      </c>
      <c r="D32" s="4" t="s">
        <v>12</v>
      </c>
      <c r="E32" s="4" t="s">
        <v>12</v>
      </c>
      <c r="F32" s="4" t="s">
        <v>12</v>
      </c>
      <c r="G32" s="5" t="str">
        <f t="shared" si="0"/>
        <v/>
      </c>
      <c r="H32" s="4" t="s">
        <v>12</v>
      </c>
      <c r="I32" s="6" t="s">
        <v>12</v>
      </c>
    </row>
    <row r="33" spans="1:9">
      <c r="A33" s="4" t="s">
        <v>12</v>
      </c>
      <c r="B33" s="4" t="s">
        <v>12</v>
      </c>
      <c r="C33" s="4" t="s">
        <v>12</v>
      </c>
      <c r="D33" s="4" t="s">
        <v>12</v>
      </c>
      <c r="E33" s="4" t="s">
        <v>12</v>
      </c>
      <c r="F33" s="4" t="s">
        <v>12</v>
      </c>
      <c r="G33" s="5" t="str">
        <f t="shared" si="0"/>
        <v/>
      </c>
      <c r="H33" s="4" t="s">
        <v>12</v>
      </c>
      <c r="I33" s="6" t="s">
        <v>12</v>
      </c>
    </row>
    <row r="34" spans="1:9">
      <c r="A34" s="4" t="s">
        <v>12</v>
      </c>
      <c r="B34" s="4" t="s">
        <v>12</v>
      </c>
      <c r="C34" s="4" t="s">
        <v>12</v>
      </c>
      <c r="D34" s="4" t="s">
        <v>12</v>
      </c>
      <c r="E34" s="4" t="s">
        <v>12</v>
      </c>
      <c r="F34" s="4" t="s">
        <v>12</v>
      </c>
      <c r="G34" s="5" t="str">
        <f t="shared" si="0"/>
        <v/>
      </c>
      <c r="H34" s="4" t="s">
        <v>12</v>
      </c>
      <c r="I34" s="6" t="s">
        <v>12</v>
      </c>
    </row>
    <row r="35" spans="1:9">
      <c r="A35" s="4" t="s">
        <v>12</v>
      </c>
      <c r="B35" s="4" t="s">
        <v>12</v>
      </c>
      <c r="C35" s="4" t="s">
        <v>12</v>
      </c>
      <c r="D35" s="4" t="s">
        <v>12</v>
      </c>
      <c r="E35" s="4" t="s">
        <v>12</v>
      </c>
      <c r="F35" s="4" t="s">
        <v>12</v>
      </c>
      <c r="G35" s="5" t="str">
        <f t="shared" si="0"/>
        <v/>
      </c>
      <c r="H35" s="4" t="s">
        <v>12</v>
      </c>
      <c r="I35" s="6" t="s">
        <v>12</v>
      </c>
    </row>
    <row r="36" spans="1:9">
      <c r="A36" s="4" t="s">
        <v>12</v>
      </c>
      <c r="B36" s="4" t="s">
        <v>12</v>
      </c>
      <c r="C36" s="4" t="s">
        <v>12</v>
      </c>
      <c r="D36" s="4" t="s">
        <v>12</v>
      </c>
      <c r="E36" s="4" t="s">
        <v>12</v>
      </c>
      <c r="F36" s="4" t="s">
        <v>12</v>
      </c>
      <c r="G36" s="5" t="str">
        <f t="shared" si="0"/>
        <v/>
      </c>
      <c r="H36" s="4" t="s">
        <v>12</v>
      </c>
      <c r="I36" s="6" t="s">
        <v>12</v>
      </c>
    </row>
    <row r="37" spans="1:9">
      <c r="A37" s="4" t="s">
        <v>12</v>
      </c>
      <c r="B37" s="4" t="s">
        <v>12</v>
      </c>
      <c r="C37" s="4" t="s">
        <v>12</v>
      </c>
      <c r="D37" s="4" t="s">
        <v>12</v>
      </c>
      <c r="E37" s="4" t="s">
        <v>12</v>
      </c>
      <c r="F37" s="4" t="s">
        <v>12</v>
      </c>
      <c r="G37" s="5" t="str">
        <f t="shared" si="0"/>
        <v/>
      </c>
      <c r="H37" s="4" t="s">
        <v>12</v>
      </c>
      <c r="I37" s="6" t="s">
        <v>12</v>
      </c>
    </row>
    <row r="38" spans="1:9">
      <c r="A38" s="4" t="s">
        <v>12</v>
      </c>
      <c r="B38" s="4" t="s">
        <v>12</v>
      </c>
      <c r="C38" s="4" t="s">
        <v>12</v>
      </c>
      <c r="D38" s="4" t="s">
        <v>12</v>
      </c>
      <c r="E38" s="4" t="s">
        <v>12</v>
      </c>
      <c r="F38" s="4" t="s">
        <v>12</v>
      </c>
      <c r="G38" s="5" t="str">
        <f t="shared" si="0"/>
        <v/>
      </c>
      <c r="H38" s="4" t="s">
        <v>12</v>
      </c>
      <c r="I38" s="6" t="s">
        <v>12</v>
      </c>
    </row>
    <row r="39" spans="1:9">
      <c r="A39" s="4" t="s">
        <v>12</v>
      </c>
      <c r="B39" s="4" t="s">
        <v>12</v>
      </c>
      <c r="C39" s="4" t="s">
        <v>12</v>
      </c>
      <c r="D39" s="4" t="s">
        <v>12</v>
      </c>
      <c r="E39" s="4" t="s">
        <v>12</v>
      </c>
      <c r="F39" s="4" t="s">
        <v>12</v>
      </c>
      <c r="G39" s="5" t="str">
        <f t="shared" si="0"/>
        <v/>
      </c>
      <c r="H39" s="4" t="s">
        <v>12</v>
      </c>
      <c r="I39" s="6" t="s">
        <v>12</v>
      </c>
    </row>
    <row r="40" spans="1:9">
      <c r="A40" s="4" t="s">
        <v>12</v>
      </c>
      <c r="B40" s="4" t="s">
        <v>12</v>
      </c>
      <c r="C40" s="4" t="s">
        <v>12</v>
      </c>
      <c r="D40" s="4" t="s">
        <v>12</v>
      </c>
      <c r="E40" s="4" t="s">
        <v>12</v>
      </c>
      <c r="F40" s="4" t="s">
        <v>12</v>
      </c>
      <c r="G40" s="5" t="str">
        <f t="shared" si="0"/>
        <v/>
      </c>
      <c r="H40" s="4" t="s">
        <v>12</v>
      </c>
      <c r="I40" s="6" t="s">
        <v>12</v>
      </c>
    </row>
    <row r="41" spans="1:9">
      <c r="A41" s="4" t="s">
        <v>12</v>
      </c>
      <c r="B41" s="4" t="s">
        <v>12</v>
      </c>
      <c r="C41" s="4" t="s">
        <v>12</v>
      </c>
      <c r="D41" s="4" t="s">
        <v>12</v>
      </c>
      <c r="E41" s="4" t="s">
        <v>12</v>
      </c>
      <c r="F41" s="4" t="s">
        <v>12</v>
      </c>
      <c r="G41" s="5" t="str">
        <f t="shared" si="0"/>
        <v/>
      </c>
      <c r="H41" s="4" t="s">
        <v>12</v>
      </c>
      <c r="I41" s="6" t="s">
        <v>12</v>
      </c>
    </row>
    <row r="42" spans="1:9">
      <c r="A42" s="4" t="s">
        <v>12</v>
      </c>
      <c r="B42" s="4" t="s">
        <v>12</v>
      </c>
      <c r="C42" s="4" t="s">
        <v>12</v>
      </c>
      <c r="D42" s="4" t="s">
        <v>12</v>
      </c>
      <c r="E42" s="4" t="s">
        <v>12</v>
      </c>
      <c r="F42" s="4" t="s">
        <v>12</v>
      </c>
      <c r="G42" s="5" t="str">
        <f t="shared" si="0"/>
        <v/>
      </c>
      <c r="H42" s="4" t="s">
        <v>12</v>
      </c>
      <c r="I42" s="6" t="s">
        <v>12</v>
      </c>
    </row>
    <row r="43" spans="1:9">
      <c r="A43" s="4" t="s">
        <v>12</v>
      </c>
      <c r="B43" s="4" t="s">
        <v>12</v>
      </c>
      <c r="C43" s="4" t="s">
        <v>12</v>
      </c>
      <c r="D43" s="4" t="s">
        <v>12</v>
      </c>
      <c r="E43" s="4" t="s">
        <v>12</v>
      </c>
      <c r="F43" s="4" t="s">
        <v>12</v>
      </c>
      <c r="G43" s="5" t="str">
        <f t="shared" si="0"/>
        <v/>
      </c>
      <c r="H43" s="4" t="s">
        <v>12</v>
      </c>
      <c r="I43" s="6" t="s">
        <v>12</v>
      </c>
    </row>
    <row r="44" spans="1:9">
      <c r="A44" s="4" t="s">
        <v>12</v>
      </c>
      <c r="B44" s="4" t="s">
        <v>12</v>
      </c>
      <c r="C44" s="4" t="s">
        <v>12</v>
      </c>
      <c r="D44" s="4" t="s">
        <v>12</v>
      </c>
      <c r="E44" s="4" t="s">
        <v>12</v>
      </c>
      <c r="F44" s="4" t="s">
        <v>12</v>
      </c>
      <c r="G44" s="5" t="str">
        <f t="shared" si="0"/>
        <v/>
      </c>
      <c r="H44" s="4" t="s">
        <v>12</v>
      </c>
      <c r="I44" s="6" t="s">
        <v>12</v>
      </c>
    </row>
    <row r="45" spans="1:9">
      <c r="A45" s="4" t="s">
        <v>12</v>
      </c>
      <c r="B45" s="4" t="s">
        <v>12</v>
      </c>
      <c r="C45" s="4" t="s">
        <v>12</v>
      </c>
      <c r="D45" s="4" t="s">
        <v>12</v>
      </c>
      <c r="E45" s="4" t="s">
        <v>12</v>
      </c>
      <c r="F45" s="4" t="s">
        <v>12</v>
      </c>
      <c r="G45" s="5" t="str">
        <f t="shared" si="0"/>
        <v/>
      </c>
      <c r="H45" s="4" t="s">
        <v>12</v>
      </c>
      <c r="I45" s="6" t="s">
        <v>12</v>
      </c>
    </row>
    <row r="46" spans="1:9">
      <c r="A46" s="4" t="s">
        <v>12</v>
      </c>
      <c r="B46" s="4" t="s">
        <v>12</v>
      </c>
      <c r="C46" s="4" t="s">
        <v>12</v>
      </c>
      <c r="D46" s="4" t="s">
        <v>12</v>
      </c>
      <c r="E46" s="4" t="s">
        <v>12</v>
      </c>
      <c r="F46" s="4" t="s">
        <v>12</v>
      </c>
      <c r="G46" s="5" t="str">
        <f t="shared" si="0"/>
        <v/>
      </c>
      <c r="H46" s="4" t="s">
        <v>12</v>
      </c>
      <c r="I46" s="6" t="s">
        <v>12</v>
      </c>
    </row>
    <row r="47" spans="1:9">
      <c r="A47" s="4" t="s">
        <v>12</v>
      </c>
      <c r="B47" s="4" t="s">
        <v>12</v>
      </c>
      <c r="C47" s="4" t="s">
        <v>12</v>
      </c>
      <c r="D47" s="4" t="s">
        <v>12</v>
      </c>
      <c r="E47" s="4" t="s">
        <v>12</v>
      </c>
      <c r="F47" s="4" t="s">
        <v>12</v>
      </c>
      <c r="G47" s="5" t="str">
        <f t="shared" si="0"/>
        <v/>
      </c>
      <c r="H47" s="4" t="s">
        <v>12</v>
      </c>
      <c r="I47" s="6" t="s">
        <v>12</v>
      </c>
    </row>
    <row r="48" spans="1:9">
      <c r="A48" s="4" t="s">
        <v>12</v>
      </c>
      <c r="B48" s="4" t="s">
        <v>12</v>
      </c>
      <c r="C48" s="4" t="s">
        <v>12</v>
      </c>
      <c r="D48" s="4" t="s">
        <v>12</v>
      </c>
      <c r="E48" s="4" t="s">
        <v>12</v>
      </c>
      <c r="F48" s="4" t="s">
        <v>12</v>
      </c>
      <c r="G48" s="5" t="str">
        <f t="shared" si="0"/>
        <v/>
      </c>
      <c r="H48" s="4" t="s">
        <v>12</v>
      </c>
      <c r="I48" s="6" t="s">
        <v>12</v>
      </c>
    </row>
    <row r="49" spans="1:9">
      <c r="A49" s="4" t="s">
        <v>12</v>
      </c>
      <c r="B49" s="4" t="s">
        <v>12</v>
      </c>
      <c r="C49" s="4" t="s">
        <v>12</v>
      </c>
      <c r="D49" s="4" t="s">
        <v>12</v>
      </c>
      <c r="E49" s="4" t="s">
        <v>12</v>
      </c>
      <c r="F49" s="4" t="s">
        <v>12</v>
      </c>
      <c r="G49" s="5" t="str">
        <f t="shared" si="0"/>
        <v/>
      </c>
      <c r="H49" s="4" t="s">
        <v>12</v>
      </c>
      <c r="I49" s="6" t="s">
        <v>12</v>
      </c>
    </row>
    <row r="50" spans="1:9">
      <c r="A50" s="4" t="s">
        <v>12</v>
      </c>
      <c r="B50" s="4" t="s">
        <v>12</v>
      </c>
      <c r="C50" s="4" t="s">
        <v>12</v>
      </c>
      <c r="D50" s="4" t="s">
        <v>12</v>
      </c>
      <c r="E50" s="4" t="s">
        <v>12</v>
      </c>
      <c r="F50" s="4" t="s">
        <v>12</v>
      </c>
      <c r="G50" s="5" t="str">
        <f t="shared" si="0"/>
        <v/>
      </c>
      <c r="H50" s="4" t="s">
        <v>12</v>
      </c>
      <c r="I50" s="6" t="s">
        <v>12</v>
      </c>
    </row>
    <row r="51" spans="1:9">
      <c r="A51" s="4" t="s">
        <v>12</v>
      </c>
      <c r="B51" s="4" t="s">
        <v>12</v>
      </c>
      <c r="C51" s="4" t="s">
        <v>12</v>
      </c>
      <c r="D51" s="4" t="s">
        <v>12</v>
      </c>
      <c r="E51" s="4" t="s">
        <v>12</v>
      </c>
      <c r="F51" s="4" t="s">
        <v>12</v>
      </c>
      <c r="G51" s="5" t="str">
        <f t="shared" si="0"/>
        <v/>
      </c>
      <c r="H51" s="4" t="s">
        <v>12</v>
      </c>
      <c r="I51" s="6" t="s">
        <v>12</v>
      </c>
    </row>
    <row r="52" spans="1:9">
      <c r="A52" s="4" t="s">
        <v>12</v>
      </c>
      <c r="B52" s="4" t="s">
        <v>12</v>
      </c>
      <c r="C52" s="4" t="s">
        <v>12</v>
      </c>
      <c r="D52" s="4" t="s">
        <v>12</v>
      </c>
      <c r="E52" s="4" t="s">
        <v>12</v>
      </c>
      <c r="F52" s="4" t="s">
        <v>12</v>
      </c>
      <c r="G52" s="5" t="str">
        <f t="shared" si="0"/>
        <v/>
      </c>
      <c r="H52" s="4" t="s">
        <v>12</v>
      </c>
      <c r="I52" s="6" t="s">
        <v>12</v>
      </c>
    </row>
    <row r="53" spans="1:9">
      <c r="A53" s="4" t="s">
        <v>12</v>
      </c>
      <c r="B53" s="4" t="s">
        <v>12</v>
      </c>
      <c r="C53" s="4" t="s">
        <v>12</v>
      </c>
      <c r="D53" s="4" t="s">
        <v>12</v>
      </c>
      <c r="E53" s="4" t="s">
        <v>12</v>
      </c>
      <c r="F53" s="4" t="s">
        <v>12</v>
      </c>
      <c r="G53" s="5" t="str">
        <f t="shared" si="0"/>
        <v/>
      </c>
      <c r="H53" s="4" t="s">
        <v>12</v>
      </c>
      <c r="I53" s="6" t="s">
        <v>12</v>
      </c>
    </row>
    <row r="54" spans="1:9">
      <c r="A54" s="4" t="s">
        <v>12</v>
      </c>
      <c r="B54" s="4" t="s">
        <v>12</v>
      </c>
      <c r="C54" s="4" t="s">
        <v>12</v>
      </c>
      <c r="D54" s="4" t="s">
        <v>12</v>
      </c>
      <c r="E54" s="4" t="s">
        <v>12</v>
      </c>
      <c r="F54" s="4" t="s">
        <v>12</v>
      </c>
      <c r="G54" s="5" t="str">
        <f t="shared" si="0"/>
        <v/>
      </c>
      <c r="H54" s="4" t="s">
        <v>12</v>
      </c>
      <c r="I54" s="6" t="s">
        <v>12</v>
      </c>
    </row>
    <row r="55" spans="1:9">
      <c r="A55" s="4" t="s">
        <v>12</v>
      </c>
      <c r="B55" s="4" t="s">
        <v>12</v>
      </c>
      <c r="C55" s="4" t="s">
        <v>12</v>
      </c>
      <c r="D55" s="4" t="s">
        <v>12</v>
      </c>
      <c r="E55" s="4" t="s">
        <v>12</v>
      </c>
      <c r="F55" s="4" t="s">
        <v>12</v>
      </c>
      <c r="G55" s="5" t="str">
        <f t="shared" si="0"/>
        <v/>
      </c>
      <c r="H55" s="4" t="s">
        <v>12</v>
      </c>
      <c r="I55" s="6" t="s">
        <v>12</v>
      </c>
    </row>
    <row r="56" spans="1:9">
      <c r="A56" s="4" t="s">
        <v>12</v>
      </c>
      <c r="B56" s="4" t="s">
        <v>12</v>
      </c>
      <c r="C56" s="4" t="s">
        <v>12</v>
      </c>
      <c r="D56" s="4" t="s">
        <v>12</v>
      </c>
      <c r="E56" s="4" t="s">
        <v>12</v>
      </c>
      <c r="F56" s="4" t="s">
        <v>12</v>
      </c>
      <c r="G56" s="5" t="str">
        <f t="shared" si="0"/>
        <v/>
      </c>
      <c r="H56" s="4" t="s">
        <v>12</v>
      </c>
      <c r="I56" s="6" t="s">
        <v>12</v>
      </c>
    </row>
    <row r="57" spans="1:9">
      <c r="A57" s="4" t="s">
        <v>12</v>
      </c>
      <c r="B57" s="4" t="s">
        <v>12</v>
      </c>
      <c r="C57" s="4" t="s">
        <v>12</v>
      </c>
      <c r="D57" s="4" t="s">
        <v>12</v>
      </c>
      <c r="E57" s="4" t="s">
        <v>12</v>
      </c>
      <c r="F57" s="4" t="s">
        <v>12</v>
      </c>
      <c r="G57" s="5" t="str">
        <f t="shared" si="0"/>
        <v/>
      </c>
      <c r="H57" s="4" t="s">
        <v>12</v>
      </c>
      <c r="I57" s="6" t="s">
        <v>12</v>
      </c>
    </row>
    <row r="58" spans="1:9">
      <c r="A58" s="4" t="s">
        <v>12</v>
      </c>
      <c r="B58" s="4" t="s">
        <v>12</v>
      </c>
      <c r="C58" s="4" t="s">
        <v>12</v>
      </c>
      <c r="D58" s="4" t="s">
        <v>12</v>
      </c>
      <c r="E58" s="4" t="s">
        <v>12</v>
      </c>
      <c r="F58" s="4" t="s">
        <v>12</v>
      </c>
      <c r="G58" s="5" t="str">
        <f t="shared" si="0"/>
        <v/>
      </c>
      <c r="H58" s="4" t="s">
        <v>12</v>
      </c>
      <c r="I58" s="6" t="s">
        <v>12</v>
      </c>
    </row>
    <row r="59" spans="1:9">
      <c r="A59" s="4" t="s">
        <v>12</v>
      </c>
      <c r="B59" s="4" t="s">
        <v>12</v>
      </c>
      <c r="C59" s="4" t="s">
        <v>12</v>
      </c>
      <c r="D59" s="4" t="s">
        <v>12</v>
      </c>
      <c r="E59" s="4" t="s">
        <v>12</v>
      </c>
      <c r="F59" s="4" t="s">
        <v>12</v>
      </c>
      <c r="G59" s="5" t="str">
        <f t="shared" si="0"/>
        <v/>
      </c>
      <c r="H59" s="4" t="s">
        <v>12</v>
      </c>
      <c r="I59" s="6" t="s">
        <v>12</v>
      </c>
    </row>
    <row r="60" spans="1:9">
      <c r="A60" s="4" t="s">
        <v>12</v>
      </c>
      <c r="B60" s="4" t="s">
        <v>12</v>
      </c>
      <c r="C60" s="4" t="s">
        <v>12</v>
      </c>
      <c r="D60" s="4" t="s">
        <v>12</v>
      </c>
      <c r="E60" s="4" t="s">
        <v>12</v>
      </c>
      <c r="F60" s="4" t="s">
        <v>12</v>
      </c>
      <c r="G60" s="5" t="str">
        <f t="shared" si="0"/>
        <v/>
      </c>
      <c r="H60" s="4" t="s">
        <v>12</v>
      </c>
      <c r="I60" s="6" t="s">
        <v>12</v>
      </c>
    </row>
    <row r="61" spans="1:9">
      <c r="A61" s="4" t="s">
        <v>12</v>
      </c>
      <c r="B61" s="4" t="s">
        <v>12</v>
      </c>
      <c r="C61" s="4" t="s">
        <v>12</v>
      </c>
      <c r="D61" s="4" t="s">
        <v>12</v>
      </c>
      <c r="E61" s="4" t="s">
        <v>12</v>
      </c>
      <c r="F61" s="4" t="s">
        <v>12</v>
      </c>
      <c r="G61" s="5" t="str">
        <f t="shared" si="0"/>
        <v/>
      </c>
      <c r="H61" s="4" t="s">
        <v>12</v>
      </c>
      <c r="I61" s="6" t="s">
        <v>12</v>
      </c>
    </row>
    <row r="62" spans="1:9">
      <c r="A62" s="4" t="s">
        <v>12</v>
      </c>
      <c r="B62" s="4" t="s">
        <v>12</v>
      </c>
      <c r="C62" s="4" t="s">
        <v>12</v>
      </c>
      <c r="D62" s="4" t="s">
        <v>12</v>
      </c>
      <c r="E62" s="4" t="s">
        <v>12</v>
      </c>
      <c r="F62" s="4" t="s">
        <v>12</v>
      </c>
      <c r="G62" s="5" t="str">
        <f t="shared" si="0"/>
        <v/>
      </c>
      <c r="H62" s="4" t="s">
        <v>12</v>
      </c>
      <c r="I62" s="6" t="s">
        <v>12</v>
      </c>
    </row>
    <row r="63" spans="1:9">
      <c r="A63" s="4" t="s">
        <v>12</v>
      </c>
      <c r="B63" s="4" t="s">
        <v>12</v>
      </c>
      <c r="C63" s="4" t="s">
        <v>12</v>
      </c>
      <c r="D63" s="4" t="s">
        <v>12</v>
      </c>
      <c r="E63" s="4" t="s">
        <v>12</v>
      </c>
      <c r="F63" s="4" t="s">
        <v>12</v>
      </c>
      <c r="G63" s="5" t="str">
        <f t="shared" si="0"/>
        <v/>
      </c>
      <c r="H63" s="4" t="s">
        <v>12</v>
      </c>
      <c r="I63" s="6" t="s">
        <v>12</v>
      </c>
    </row>
    <row r="64" spans="1:9">
      <c r="A64" s="4" t="s">
        <v>12</v>
      </c>
      <c r="B64" s="4" t="s">
        <v>12</v>
      </c>
      <c r="C64" s="4" t="s">
        <v>12</v>
      </c>
      <c r="D64" s="4" t="s">
        <v>12</v>
      </c>
      <c r="E64" s="4" t="s">
        <v>12</v>
      </c>
      <c r="F64" s="4" t="s">
        <v>12</v>
      </c>
      <c r="G64" s="5" t="str">
        <f t="shared" si="0"/>
        <v/>
      </c>
      <c r="H64" s="4" t="s">
        <v>12</v>
      </c>
      <c r="I64" s="6" t="s">
        <v>12</v>
      </c>
    </row>
    <row r="65" spans="1:9">
      <c r="A65" s="4" t="s">
        <v>12</v>
      </c>
      <c r="B65" s="4" t="s">
        <v>12</v>
      </c>
      <c r="C65" s="4" t="s">
        <v>12</v>
      </c>
      <c r="D65" s="4" t="s">
        <v>12</v>
      </c>
      <c r="E65" s="4" t="s">
        <v>12</v>
      </c>
      <c r="F65" s="4" t="s">
        <v>12</v>
      </c>
      <c r="G65" s="5" t="str">
        <f t="shared" si="0"/>
        <v/>
      </c>
      <c r="H65" s="4" t="s">
        <v>12</v>
      </c>
      <c r="I65" s="6" t="s">
        <v>12</v>
      </c>
    </row>
    <row r="66" spans="1:9">
      <c r="A66" s="4" t="s">
        <v>12</v>
      </c>
      <c r="B66" s="4" t="s">
        <v>12</v>
      </c>
      <c r="C66" s="4" t="s">
        <v>12</v>
      </c>
      <c r="D66" s="4" t="s">
        <v>12</v>
      </c>
      <c r="E66" s="4" t="s">
        <v>12</v>
      </c>
      <c r="F66" s="4" t="s">
        <v>12</v>
      </c>
      <c r="G66" s="5" t="str">
        <f t="shared" si="0"/>
        <v/>
      </c>
      <c r="H66" s="4" t="s">
        <v>12</v>
      </c>
      <c r="I66" s="6" t="s">
        <v>12</v>
      </c>
    </row>
    <row r="67" spans="1:9">
      <c r="A67" s="4" t="s">
        <v>12</v>
      </c>
      <c r="B67" s="4" t="s">
        <v>12</v>
      </c>
      <c r="C67" s="4" t="s">
        <v>12</v>
      </c>
      <c r="D67" s="4" t="s">
        <v>12</v>
      </c>
      <c r="E67" s="4" t="s">
        <v>12</v>
      </c>
      <c r="F67" s="4" t="s">
        <v>12</v>
      </c>
      <c r="G67" s="5" t="str">
        <f t="shared" si="0"/>
        <v/>
      </c>
      <c r="H67" s="4" t="s">
        <v>12</v>
      </c>
      <c r="I67" s="6" t="s">
        <v>12</v>
      </c>
    </row>
    <row r="68" spans="1:9">
      <c r="A68" s="4" t="s">
        <v>12</v>
      </c>
      <c r="B68" s="4" t="s">
        <v>12</v>
      </c>
      <c r="C68" s="4" t="s">
        <v>12</v>
      </c>
      <c r="D68" s="4" t="s">
        <v>12</v>
      </c>
      <c r="E68" s="4" t="s">
        <v>12</v>
      </c>
      <c r="F68" s="4" t="s">
        <v>12</v>
      </c>
      <c r="G68" s="5" t="str">
        <f t="shared" si="0"/>
        <v/>
      </c>
      <c r="H68" s="4" t="s">
        <v>12</v>
      </c>
      <c r="I68" s="6" t="s">
        <v>12</v>
      </c>
    </row>
    <row r="69" spans="1:9">
      <c r="A69" s="4" t="s">
        <v>12</v>
      </c>
      <c r="B69" s="4" t="s">
        <v>12</v>
      </c>
      <c r="C69" s="4" t="s">
        <v>12</v>
      </c>
      <c r="D69" s="4" t="s">
        <v>12</v>
      </c>
      <c r="E69" s="4" t="s">
        <v>12</v>
      </c>
      <c r="F69" s="4" t="s">
        <v>12</v>
      </c>
      <c r="G69" s="5" t="str">
        <f t="shared" si="0"/>
        <v/>
      </c>
      <c r="H69" s="4" t="s">
        <v>12</v>
      </c>
      <c r="I69" s="6" t="s">
        <v>12</v>
      </c>
    </row>
    <row r="70" spans="1:9">
      <c r="A70" s="4" t="s">
        <v>12</v>
      </c>
      <c r="B70" s="4" t="s">
        <v>12</v>
      </c>
      <c r="C70" s="4" t="s">
        <v>12</v>
      </c>
      <c r="D70" s="4" t="s">
        <v>12</v>
      </c>
      <c r="E70" s="4" t="s">
        <v>12</v>
      </c>
      <c r="F70" s="4" t="s">
        <v>12</v>
      </c>
      <c r="G70" s="5" t="str">
        <f t="shared" ref="G70:G85" si="1">IF(OR(C70="",F70=""),"",IF(AND(OR(C70="Beat",D70="上修"),OR(F70="回落",F70="收跌")),"利好不涨",IF(AND(OR(C70="Miss",D70="下修"),OR(F70="反弹",F70="震荡")),"利空不跌","正常")))</f>
        <v/>
      </c>
      <c r="H70" s="4" t="s">
        <v>12</v>
      </c>
      <c r="I70" s="6" t="s">
        <v>12</v>
      </c>
    </row>
    <row r="71" spans="1:9">
      <c r="A71" s="4" t="s">
        <v>12</v>
      </c>
      <c r="B71" s="4" t="s">
        <v>12</v>
      </c>
      <c r="C71" s="4" t="s">
        <v>12</v>
      </c>
      <c r="D71" s="4" t="s">
        <v>12</v>
      </c>
      <c r="E71" s="4" t="s">
        <v>12</v>
      </c>
      <c r="F71" s="4" t="s">
        <v>12</v>
      </c>
      <c r="G71" s="5" t="str">
        <f t="shared" si="1"/>
        <v/>
      </c>
      <c r="H71" s="4" t="s">
        <v>12</v>
      </c>
      <c r="I71" s="6" t="s">
        <v>12</v>
      </c>
    </row>
    <row r="72" spans="1:9">
      <c r="A72" s="4" t="s">
        <v>12</v>
      </c>
      <c r="B72" s="4" t="s">
        <v>12</v>
      </c>
      <c r="C72" s="4" t="s">
        <v>12</v>
      </c>
      <c r="D72" s="4" t="s">
        <v>12</v>
      </c>
      <c r="E72" s="4" t="s">
        <v>12</v>
      </c>
      <c r="F72" s="4" t="s">
        <v>12</v>
      </c>
      <c r="G72" s="5" t="str">
        <f t="shared" si="1"/>
        <v/>
      </c>
      <c r="H72" s="4" t="s">
        <v>12</v>
      </c>
      <c r="I72" s="6" t="s">
        <v>12</v>
      </c>
    </row>
    <row r="73" spans="1:9">
      <c r="A73" s="4" t="s">
        <v>12</v>
      </c>
      <c r="B73" s="4" t="s">
        <v>12</v>
      </c>
      <c r="C73" s="4" t="s">
        <v>12</v>
      </c>
      <c r="D73" s="4" t="s">
        <v>12</v>
      </c>
      <c r="E73" s="4" t="s">
        <v>12</v>
      </c>
      <c r="F73" s="4" t="s">
        <v>12</v>
      </c>
      <c r="G73" s="5" t="str">
        <f t="shared" si="1"/>
        <v/>
      </c>
      <c r="H73" s="4" t="s">
        <v>12</v>
      </c>
      <c r="I73" s="6" t="s">
        <v>12</v>
      </c>
    </row>
    <row r="74" spans="1:9">
      <c r="A74" s="4" t="s">
        <v>12</v>
      </c>
      <c r="B74" s="4" t="s">
        <v>12</v>
      </c>
      <c r="C74" s="4" t="s">
        <v>12</v>
      </c>
      <c r="D74" s="4" t="s">
        <v>12</v>
      </c>
      <c r="E74" s="4" t="s">
        <v>12</v>
      </c>
      <c r="F74" s="4" t="s">
        <v>12</v>
      </c>
      <c r="G74" s="5" t="str">
        <f t="shared" si="1"/>
        <v/>
      </c>
      <c r="H74" s="4" t="s">
        <v>12</v>
      </c>
      <c r="I74" s="6" t="s">
        <v>12</v>
      </c>
    </row>
    <row r="75" spans="1:9">
      <c r="A75" s="4" t="s">
        <v>12</v>
      </c>
      <c r="B75" s="4" t="s">
        <v>12</v>
      </c>
      <c r="C75" s="4" t="s">
        <v>12</v>
      </c>
      <c r="D75" s="4" t="s">
        <v>12</v>
      </c>
      <c r="E75" s="4" t="s">
        <v>12</v>
      </c>
      <c r="F75" s="4" t="s">
        <v>12</v>
      </c>
      <c r="G75" s="5" t="str">
        <f t="shared" si="1"/>
        <v/>
      </c>
      <c r="H75" s="4" t="s">
        <v>12</v>
      </c>
      <c r="I75" s="6" t="s">
        <v>12</v>
      </c>
    </row>
    <row r="76" spans="1:9">
      <c r="A76" s="4" t="s">
        <v>12</v>
      </c>
      <c r="B76" s="4" t="s">
        <v>12</v>
      </c>
      <c r="C76" s="4" t="s">
        <v>12</v>
      </c>
      <c r="D76" s="4" t="s">
        <v>12</v>
      </c>
      <c r="E76" s="4" t="s">
        <v>12</v>
      </c>
      <c r="F76" s="4" t="s">
        <v>12</v>
      </c>
      <c r="G76" s="5" t="str">
        <f t="shared" si="1"/>
        <v/>
      </c>
      <c r="H76" s="4" t="s">
        <v>12</v>
      </c>
      <c r="I76" s="6" t="s">
        <v>12</v>
      </c>
    </row>
    <row r="77" spans="1:9">
      <c r="A77" s="4" t="s">
        <v>12</v>
      </c>
      <c r="B77" s="4" t="s">
        <v>12</v>
      </c>
      <c r="C77" s="4" t="s">
        <v>12</v>
      </c>
      <c r="D77" s="4" t="s">
        <v>12</v>
      </c>
      <c r="E77" s="4" t="s">
        <v>12</v>
      </c>
      <c r="F77" s="4" t="s">
        <v>12</v>
      </c>
      <c r="G77" s="5" t="str">
        <f t="shared" si="1"/>
        <v/>
      </c>
      <c r="H77" s="4" t="s">
        <v>12</v>
      </c>
      <c r="I77" s="6" t="s">
        <v>12</v>
      </c>
    </row>
    <row r="78" spans="1:9">
      <c r="A78" s="4" t="s">
        <v>12</v>
      </c>
      <c r="B78" s="4" t="s">
        <v>12</v>
      </c>
      <c r="C78" s="4" t="s">
        <v>12</v>
      </c>
      <c r="D78" s="4" t="s">
        <v>12</v>
      </c>
      <c r="E78" s="4" t="s">
        <v>12</v>
      </c>
      <c r="F78" s="4" t="s">
        <v>12</v>
      </c>
      <c r="G78" s="5" t="str">
        <f t="shared" si="1"/>
        <v/>
      </c>
      <c r="H78" s="4" t="s">
        <v>12</v>
      </c>
      <c r="I78" s="6" t="s">
        <v>12</v>
      </c>
    </row>
    <row r="79" spans="1:9">
      <c r="A79" s="4" t="s">
        <v>12</v>
      </c>
      <c r="B79" s="4" t="s">
        <v>12</v>
      </c>
      <c r="C79" s="4" t="s">
        <v>12</v>
      </c>
      <c r="D79" s="4" t="s">
        <v>12</v>
      </c>
      <c r="E79" s="4" t="s">
        <v>12</v>
      </c>
      <c r="F79" s="4" t="s">
        <v>12</v>
      </c>
      <c r="G79" s="5" t="str">
        <f t="shared" si="1"/>
        <v/>
      </c>
      <c r="H79" s="4" t="s">
        <v>12</v>
      </c>
      <c r="I79" s="6" t="s">
        <v>12</v>
      </c>
    </row>
    <row r="80" spans="1:9">
      <c r="A80" s="4" t="s">
        <v>12</v>
      </c>
      <c r="B80" s="4" t="s">
        <v>12</v>
      </c>
      <c r="C80" s="4" t="s">
        <v>12</v>
      </c>
      <c r="D80" s="4" t="s">
        <v>12</v>
      </c>
      <c r="E80" s="4" t="s">
        <v>12</v>
      </c>
      <c r="F80" s="4" t="s">
        <v>12</v>
      </c>
      <c r="G80" s="5" t="str">
        <f t="shared" si="1"/>
        <v/>
      </c>
      <c r="H80" s="4" t="s">
        <v>12</v>
      </c>
      <c r="I80" s="6" t="s">
        <v>12</v>
      </c>
    </row>
    <row r="81" spans="1:9">
      <c r="A81" s="4" t="s">
        <v>12</v>
      </c>
      <c r="B81" s="4" t="s">
        <v>12</v>
      </c>
      <c r="C81" s="4" t="s">
        <v>12</v>
      </c>
      <c r="D81" s="4" t="s">
        <v>12</v>
      </c>
      <c r="E81" s="4" t="s">
        <v>12</v>
      </c>
      <c r="F81" s="4" t="s">
        <v>12</v>
      </c>
      <c r="G81" s="5" t="str">
        <f t="shared" si="1"/>
        <v/>
      </c>
      <c r="H81" s="4" t="s">
        <v>12</v>
      </c>
      <c r="I81" s="6" t="s">
        <v>12</v>
      </c>
    </row>
    <row r="82" spans="1:9">
      <c r="A82" s="4" t="s">
        <v>12</v>
      </c>
      <c r="B82" s="4" t="s">
        <v>12</v>
      </c>
      <c r="C82" s="4" t="s">
        <v>12</v>
      </c>
      <c r="D82" s="4" t="s">
        <v>12</v>
      </c>
      <c r="E82" s="4" t="s">
        <v>12</v>
      </c>
      <c r="F82" s="4" t="s">
        <v>12</v>
      </c>
      <c r="G82" s="5" t="str">
        <f t="shared" si="1"/>
        <v/>
      </c>
      <c r="H82" s="4" t="s">
        <v>12</v>
      </c>
      <c r="I82" s="6" t="s">
        <v>12</v>
      </c>
    </row>
    <row r="83" spans="1:9">
      <c r="A83" s="4" t="s">
        <v>12</v>
      </c>
      <c r="B83" s="4" t="s">
        <v>12</v>
      </c>
      <c r="C83" s="4" t="s">
        <v>12</v>
      </c>
      <c r="D83" s="4" t="s">
        <v>12</v>
      </c>
      <c r="E83" s="4" t="s">
        <v>12</v>
      </c>
      <c r="F83" s="4" t="s">
        <v>12</v>
      </c>
      <c r="G83" s="5" t="str">
        <f t="shared" si="1"/>
        <v/>
      </c>
      <c r="H83" s="4" t="s">
        <v>12</v>
      </c>
      <c r="I83" s="6" t="s">
        <v>12</v>
      </c>
    </row>
    <row r="84" spans="1:9">
      <c r="A84" s="4" t="s">
        <v>12</v>
      </c>
      <c r="B84" s="4" t="s">
        <v>12</v>
      </c>
      <c r="C84" s="4" t="s">
        <v>12</v>
      </c>
      <c r="D84" s="4" t="s">
        <v>12</v>
      </c>
      <c r="E84" s="4" t="s">
        <v>12</v>
      </c>
      <c r="F84" s="4" t="s">
        <v>12</v>
      </c>
      <c r="G84" s="5" t="str">
        <f t="shared" si="1"/>
        <v/>
      </c>
      <c r="H84" s="4" t="s">
        <v>12</v>
      </c>
      <c r="I84" s="6" t="s">
        <v>12</v>
      </c>
    </row>
    <row r="85" spans="1:9">
      <c r="A85" s="4" t="s">
        <v>12</v>
      </c>
      <c r="B85" s="4" t="s">
        <v>12</v>
      </c>
      <c r="C85" s="4" t="s">
        <v>12</v>
      </c>
      <c r="D85" s="4" t="s">
        <v>12</v>
      </c>
      <c r="E85" s="4" t="s">
        <v>12</v>
      </c>
      <c r="F85" s="4" t="s">
        <v>12</v>
      </c>
      <c r="G85" s="5" t="str">
        <f t="shared" si="1"/>
        <v/>
      </c>
      <c r="H85" s="4" t="s">
        <v>12</v>
      </c>
      <c r="I85" s="6" t="s">
        <v>12</v>
      </c>
    </row>
    <row r="88" spans="1:9">
      <c r="A88" s="7" t="s">
        <v>134</v>
      </c>
    </row>
    <row r="89" spans="1:9">
      <c r="A89" s="8" t="s">
        <v>26</v>
      </c>
      <c r="B89" s="9">
        <f>IFERROR(COUNTIF(G6:G85,"利好不涨")/COUNTIF(G6:G85,"&lt;&gt;"),"")</f>
        <v>0</v>
      </c>
    </row>
    <row r="90" spans="1:9">
      <c r="A90" s="8" t="s">
        <v>29</v>
      </c>
      <c r="B90" s="9">
        <f>IFERROR(COUNTIF(G6:G85,"利空不跌")/COUNTIF(G6:G85,"&lt;&gt;"),"")</f>
        <v>0</v>
      </c>
    </row>
    <row r="91" spans="1:9">
      <c r="A91" s="8" t="s">
        <v>33</v>
      </c>
      <c r="B91" s="10" t="str">
        <f>IFERROR(AVERAGEIF(H6:H85,"&gt;=0"),"")</f>
        <v/>
      </c>
    </row>
  </sheetData>
  <mergeCells count="3">
    <mergeCell ref="A1:H1"/>
    <mergeCell ref="A2:H2"/>
    <mergeCell ref="A88:I88"/>
  </mergeCells>
  <dataValidations count="4">
    <dataValidation type="list" allowBlank="1" sqref="C6:C85">
      <formula1>"Beat,Meet,Miss"</formula1>
    </dataValidation>
    <dataValidation type="list" allowBlank="1" sqref="D6:D85">
      <formula1>"上修,维持,下修"</formula1>
    </dataValidation>
    <dataValidation type="list" allowBlank="1" sqref="E6:E85">
      <formula1>"高开,平开,低开"</formula1>
    </dataValidation>
    <dataValidation type="list" allowBlank="1" sqref="F6:F85">
      <formula1>"走高,震荡,回落,收跌,反弹"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0_Dashboard</vt:lpstr>
      <vt:lpstr>1_Macro_Liquidity</vt:lpstr>
      <vt:lpstr>2_RealRate_Valuation</vt:lpstr>
      <vt:lpstr>3_TGA_RRP</vt:lpstr>
      <vt:lpstr>4_Micro_Fundamentals</vt:lpstr>
      <vt:lpstr>5_Price_Action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</cp:lastModifiedBy>
  <dcterms:created xsi:type="dcterms:W3CDTF">2026-02-10T06:34:00Z</dcterms:created>
  <dcterms:modified xsi:type="dcterms:W3CDTF">2026-02-10T06:54:19Z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DDA3AF2098114B3DBBFF9D69B830767F_12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