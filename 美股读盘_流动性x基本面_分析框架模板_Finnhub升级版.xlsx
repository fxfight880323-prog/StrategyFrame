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tables/table4.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852" yWindow="756" windowWidth="15120" windowHeight="11820" tabRatio="600" firstSheet="6" activeTab="10" autoFilterDateGrouping="1"/>
  </bookViews>
  <sheets>
    <sheet xmlns:r="http://schemas.openxmlformats.org/officeDocument/2006/relationships" name="0_Dashboard" sheetId="1" state="visible" r:id="rId1"/>
    <sheet xmlns:r="http://schemas.openxmlformats.org/officeDocument/2006/relationships" name="1_Macro_Liquidity" sheetId="2" state="visible" r:id="rId2"/>
    <sheet xmlns:r="http://schemas.openxmlformats.org/officeDocument/2006/relationships" name="2_RealRate_Valuation" sheetId="3" state="visible" r:id="rId3"/>
    <sheet xmlns:r="http://schemas.openxmlformats.org/officeDocument/2006/relationships" name="3_TGA_RRP" sheetId="4" state="visible" r:id="rId4"/>
    <sheet xmlns:r="http://schemas.openxmlformats.org/officeDocument/2006/relationships" name="4_Micro_Fundamentals" sheetId="5" state="visible" r:id="rId5"/>
    <sheet xmlns:r="http://schemas.openxmlformats.org/officeDocument/2006/relationships" name="5_Price_Action" sheetId="6" state="visible" r:id="rId6"/>
    <sheet xmlns:r="http://schemas.openxmlformats.org/officeDocument/2006/relationships" name="6_Data_API_PowerQuery" sheetId="7" state="visible" r:id="rId7"/>
    <sheet xmlns:r="http://schemas.openxmlformats.org/officeDocument/2006/relationships" name="pq_tips_dfii10" sheetId="8" state="visible" r:id="rId8"/>
    <sheet xmlns:r="http://schemas.openxmlformats.org/officeDocument/2006/relationships" name="pq_tga_wtregen" sheetId="9" state="visible" r:id="rId9"/>
    <sheet xmlns:r="http://schemas.openxmlformats.org/officeDocument/2006/relationships" name="pq_rrp_rrpontsyd" sheetId="10" state="visible" r:id="rId10"/>
    <sheet xmlns:r="http://schemas.openxmlformats.org/officeDocument/2006/relationships" name="tbl_mag7" sheetId="11" state="visible" r:id="rId11"/>
    <sheet xmlns:r="http://schemas.openxmlformats.org/officeDocument/2006/relationships" name="7_Config" sheetId="12" state="visible" r:id="rId12"/>
    <sheet xmlns:r="http://schemas.openxmlformats.org/officeDocument/2006/relationships" name="pq_fh_earnings" sheetId="13" state="visible" r:id="rId13"/>
    <sheet xmlns:r="http://schemas.openxmlformats.org/officeDocument/2006/relationships" name="pq_fh_financials" sheetId="14" state="visible" r:id="rId14"/>
  </sheets>
  <externalReferences>
    <externalReference xmlns:r="http://schemas.openxmlformats.org/officeDocument/2006/relationships" r:id="rId15"/>
  </externalReferences>
  <definedNames>
    <definedName name="ExternalData_1" localSheetId="7" hidden="1">pq_tips_dfii10!$A$1:$B$1526</definedName>
    <definedName name="ExternalData_2" localSheetId="8" hidden="1">pq_tga_wtregen!$A$1:$B$320</definedName>
    <definedName name="ExternalData_3" localSheetId="9" hidden="1">pq_rrp_rrpontsyd!$A$1:$B$1525</definedName>
  </definedNames>
  <calcPr calcId="191029" fullCalcOnLoad="1"/>
</workbook>
</file>

<file path=xl/styles.xml><?xml version="1.0" encoding="utf-8"?>
<styleSheet xmlns="http://schemas.openxmlformats.org/spreadsheetml/2006/main">
  <numFmts count="1">
    <numFmt numFmtId="164" formatCode="yyyy\-mm\-dd"/>
  </numFmts>
  <fonts count="13">
    <font>
      <name val="宋体"/>
      <family val="2"/>
      <color theme="1"/>
      <sz val="11"/>
      <scheme val="minor"/>
    </font>
    <font>
      <name val="宋体"/>
      <charset val="134"/>
      <b val="1"/>
      <color rgb="FFFFFFFF"/>
      <sz val="16"/>
    </font>
    <font>
      <name val="宋体"/>
      <charset val="134"/>
      <b val="1"/>
      <color rgb="FF1F4E79"/>
      <sz val="11"/>
    </font>
    <font>
      <name val="宋体"/>
      <charset val="134"/>
      <color rgb="FF0000FF"/>
      <sz val="11"/>
    </font>
    <font>
      <name val="宋体"/>
      <charset val="134"/>
      <b val="1"/>
      <sz val="11"/>
    </font>
    <font>
      <name val="宋体"/>
      <charset val="134"/>
      <b val="1"/>
      <color rgb="FF1F4E79"/>
      <sz val="11"/>
    </font>
    <font>
      <name val="宋体"/>
      <charset val="134"/>
      <b val="1"/>
      <color rgb="FF9C0006"/>
      <sz val="11"/>
    </font>
    <font>
      <name val="宋体"/>
      <charset val="134"/>
      <color rgb="FF008000"/>
      <sz val="11"/>
    </font>
    <font>
      <name val="宋体"/>
      <charset val="134"/>
      <b val="1"/>
      <sz val="14"/>
    </font>
    <font>
      <name val="宋体"/>
      <charset val="134"/>
      <family val="3"/>
      <sz val="9"/>
      <scheme val="minor"/>
    </font>
    <font>
      <name val="宋体"/>
      <charset val="134"/>
      <family val="3"/>
      <b val="1"/>
      <color indexed="81"/>
      <sz val="9"/>
    </font>
    <font>
      <name val="宋体"/>
      <charset val="134"/>
      <family val="3"/>
      <b val="1"/>
      <color rgb="FF1F4E79"/>
      <sz val="11"/>
    </font>
    <font>
      <b val="1"/>
    </font>
  </fonts>
  <fills count="5">
    <fill>
      <patternFill/>
    </fill>
    <fill>
      <patternFill patternType="gray125"/>
    </fill>
    <fill>
      <patternFill patternType="solid">
        <fgColor rgb="FF1F4E79"/>
      </patternFill>
    </fill>
    <fill>
      <patternFill patternType="solid">
        <fgColor rgb="FFFFF2CC"/>
      </patternFill>
    </fill>
    <fill>
      <patternFill patternType="solid">
        <fgColor rgb="FFD9E1F2"/>
      </patternFill>
    </fill>
  </fills>
  <borders count="11">
    <border>
      <left/>
      <right/>
      <top/>
      <bottom/>
      <diagonal/>
    </border>
    <border>
      <left style="thin">
        <color rgb="FFA6A6A6"/>
      </left>
      <right style="thin">
        <color rgb="FFA6A6A6"/>
      </right>
      <top style="thin">
        <color rgb="FFA6A6A6"/>
      </top>
      <bottom style="thin">
        <color rgb="FFA6A6A6"/>
      </bottom>
      <diagonal/>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s>
  <cellStyleXfs count="1">
    <xf numFmtId="0" fontId="0" fillId="0" borderId="0"/>
  </cellStyleXfs>
  <cellXfs count="48">
    <xf numFmtId="0" fontId="0" fillId="0" borderId="0" pivotButton="0" quotePrefix="0" xfId="0"/>
    <xf numFmtId="0" fontId="4"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4" fillId="0" borderId="1" applyAlignment="1" pivotButton="0" quotePrefix="0" xfId="0">
      <alignment horizontal="center" vertical="center" wrapText="1"/>
    </xf>
    <xf numFmtId="10" fontId="7" fillId="0" borderId="1" applyAlignment="1" pivotButton="0" quotePrefix="0" xfId="0">
      <alignment horizontal="center" vertical="center" wrapText="1"/>
    </xf>
    <xf numFmtId="0" fontId="4" fillId="0" borderId="1" applyAlignment="1" pivotButton="0" quotePrefix="0" xfId="0">
      <alignment horizontal="left" vertical="center" wrapText="1"/>
    </xf>
    <xf numFmtId="1" fontId="4" fillId="0" borderId="1" applyAlignment="1" pivotButton="0" quotePrefix="0" xfId="0">
      <alignment horizontal="center" vertical="center" wrapText="1"/>
    </xf>
    <xf numFmtId="1" fontId="0" fillId="0" borderId="1" applyAlignment="1" pivotButton="0" quotePrefix="0" xfId="0">
      <alignment horizontal="center" vertical="center" wrapText="1"/>
    </xf>
    <xf numFmtId="49" fontId="8" fillId="0" borderId="1" applyAlignment="1" pivotButton="0" quotePrefix="0" xfId="0">
      <alignment horizontal="center" vertical="center" wrapText="1"/>
    </xf>
    <xf numFmtId="0" fontId="3" fillId="3" borderId="1" pivotButton="0" quotePrefix="0" xfId="0"/>
    <xf numFmtId="0" fontId="0" fillId="0" borderId="1" pivotButton="0" quotePrefix="0" xfId="0"/>
    <xf numFmtId="0" fontId="4" fillId="0" borderId="0" applyAlignment="1" pivotButton="0" quotePrefix="0" xfId="0">
      <alignment horizontal="right" vertical="center" wrapText="1"/>
    </xf>
    <xf numFmtId="0" fontId="4" fillId="0" borderId="1" pivotButton="0" quotePrefix="0" xfId="0"/>
    <xf numFmtId="0" fontId="4" fillId="0" borderId="0" pivotButton="0" quotePrefix="0" xfId="0"/>
    <xf numFmtId="0" fontId="3" fillId="3" borderId="1" applyAlignment="1" pivotButton="0" quotePrefix="0" xfId="0">
      <alignment horizontal="center" vertical="center" wrapText="1"/>
    </xf>
    <xf numFmtId="10" fontId="0" fillId="0" borderId="1" pivotButton="0" quotePrefix="0" xfId="0"/>
    <xf numFmtId="2" fontId="0" fillId="0" borderId="1" pivotButton="0" quotePrefix="0" xfId="0"/>
    <xf numFmtId="0" fontId="3" fillId="3" borderId="1" applyAlignment="1" pivotButton="0" quotePrefix="0" xfId="0">
      <alignment horizontal="left" vertical="top" wrapText="1"/>
    </xf>
    <xf numFmtId="0" fontId="0" fillId="0" borderId="1" applyAlignment="1" pivotButton="0" quotePrefix="0" xfId="0">
      <alignment horizontal="left" vertical="top" wrapText="1"/>
    </xf>
    <xf numFmtId="14" fontId="0" fillId="0" borderId="0" pivotButton="0" quotePrefix="0" xfId="0"/>
    <xf numFmtId="14" fontId="3" fillId="3" borderId="1" pivotButton="0" quotePrefix="0" xfId="0"/>
    <xf numFmtId="164" fontId="0" fillId="0" borderId="0" applyAlignment="1" pivotButton="0" quotePrefix="0" xfId="0">
      <alignment horizontal="right"/>
    </xf>
    <xf numFmtId="0" fontId="0" fillId="0" borderId="0" applyAlignment="1" pivotButton="0" quotePrefix="0" xfId="0">
      <alignment horizontal="left" vertical="center" wrapText="1"/>
    </xf>
    <xf numFmtId="0" fontId="0" fillId="0" borderId="0" pivotButton="0" quotePrefix="0" xfId="0"/>
    <xf numFmtId="0" fontId="5" fillId="0" borderId="0" pivotButton="0" quotePrefix="0" xfId="0"/>
    <xf numFmtId="0" fontId="2" fillId="0" borderId="0" applyAlignment="1" pivotButton="0" quotePrefix="0" xfId="0">
      <alignment horizontal="left" vertical="center" wrapText="1"/>
    </xf>
    <xf numFmtId="0" fontId="1" fillId="2" borderId="0" applyAlignment="1" pivotButton="0" quotePrefix="0" xfId="0">
      <alignment horizontal="left" vertical="center" wrapText="1"/>
    </xf>
    <xf numFmtId="0" fontId="11" fillId="0" borderId="0" applyAlignment="1" pivotButton="0" quotePrefix="0" xfId="0">
      <alignment wrapText="1"/>
    </xf>
    <xf numFmtId="0" fontId="0" fillId="0" borderId="0" applyAlignment="1" pivotButton="0" quotePrefix="0" xfId="0">
      <alignment wrapText="1"/>
    </xf>
    <xf numFmtId="0" fontId="6" fillId="0" borderId="0" pivotButton="0" quotePrefix="0" xfId="0"/>
    <xf numFmtId="0" fontId="1" fillId="2" borderId="0" applyAlignment="1" pivotButton="0" quotePrefix="0" xfId="0">
      <alignment horizontal="left" vertical="top" wrapText="1"/>
    </xf>
    <xf numFmtId="0" fontId="0" fillId="0" borderId="1" applyAlignment="1" pivotButton="0" quotePrefix="0" xfId="0">
      <alignment horizontal="left" vertical="top" wrapText="1"/>
    </xf>
    <xf numFmtId="0" fontId="4"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2" fillId="0" borderId="0" applyAlignment="1" pivotButton="0" quotePrefix="0" xfId="0">
      <alignment horizontal="left" vertical="top" wrapText="1"/>
    </xf>
    <xf numFmtId="0" fontId="3" fillId="3" borderId="1" pivotButton="0" quotePrefix="0" xfId="0"/>
    <xf numFmtId="164" fontId="0" fillId="0" borderId="0" applyAlignment="1" pivotButton="0" quotePrefix="0" xfId="0">
      <alignment horizontal="right"/>
    </xf>
    <xf numFmtId="0" fontId="12" fillId="0" borderId="0" pivotButton="0" quotePrefix="0" xfId="0"/>
  </cellXfs>
  <cellStyles count="1">
    <cellStyle name="常规" xfId="0" builtinId="0"/>
  </cellStyles>
  <dxfs count="8">
    <dxf>
      <fill>
        <patternFill patternType="solid">
          <fgColor rgb="FFFFC7CE"/>
        </patternFill>
      </fill>
    </dxf>
    <dxf>
      <fill>
        <patternFill patternType="solid">
          <fgColor rgb="FFFFC7CE"/>
        </patternFill>
      </fill>
    </dxf>
    <dxf>
      <fill>
        <patternFill patternType="solid">
          <fgColor rgb="FFBDD7EE"/>
        </patternFill>
      </fill>
    </dxf>
    <dxf>
      <fill>
        <patternFill patternType="solid">
          <fgColor rgb="FFFFEB9C"/>
        </patternFill>
      </fill>
    </dxf>
    <dxf>
      <fill>
        <patternFill patternType="solid">
          <fgColor rgb="FFC6EFCE"/>
        </patternFill>
      </fill>
    </dxf>
    <dxf>
      <numFmt numFmtId="19" formatCode="yyyy/m/d"/>
    </dxf>
    <dxf>
      <numFmt numFmtId="19" formatCode="yyyy/m/d"/>
    </dxf>
    <dxf>
      <numFmt numFmtId="19" formatCode="yyyy/m/d"/>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externalLink" Target="/xl/externalLinks/externalLink1.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10Y TIPS（</a:t>
            </a:r>
            <a:r>
              <a:rPr lang="zh-CN" altLang="en-US"/>
              <a:t>实际利率）走势</a:t>
            </a:r>
          </a:p>
        </rich>
      </tx>
      <overlay val="1"/>
    </title>
    <plotArea>
      <layout/>
      <lineChart>
        <grouping val="standard"/>
        <varyColors val="1"/>
        <ser>
          <idx val="0"/>
          <order val="0"/>
          <tx>
            <strRef>
              <f>'2_RealRate_Valuation'!$B$5</f>
              <strCache>
                <ptCount val="1"/>
                <pt idx="0">
                  <v>10Y TIPS(%) 输入</v>
                </pt>
              </strCache>
            </strRef>
          </tx>
          <spPr>
            <a:ln xmlns:a="http://schemas.openxmlformats.org/drawingml/2006/main">
              <a:prstDash val="solid"/>
            </a:ln>
          </spPr>
          <marker>
            <symbol val="none"/>
            <spPr>
              <a:ln xmlns:a="http://schemas.openxmlformats.org/drawingml/2006/main">
                <a:prstDash val="solid"/>
              </a:ln>
            </spPr>
          </marker>
          <cat>
            <numRef>
              <f>'2_RealRate_Valuation'!$A$6:$A$35</f>
              <numCache>
                <formatCode>m/d/yyyy</formatCode>
                <ptCount val="30"/>
                <pt idx="0">
                  <v>46015</v>
                </pt>
                <pt idx="1">
                  <v>46017</v>
                </pt>
                <pt idx="2">
                  <v>46020</v>
                </pt>
                <pt idx="3">
                  <v>46021</v>
                </pt>
                <pt idx="4">
                  <v>46022</v>
                </pt>
                <pt idx="5">
                  <v>46024</v>
                </pt>
                <pt idx="6">
                  <v>46027</v>
                </pt>
                <pt idx="7">
                  <v>46028</v>
                </pt>
                <pt idx="8">
                  <v>46029</v>
                </pt>
                <pt idx="9">
                  <v>46030</v>
                </pt>
                <pt idx="10">
                  <v>46031</v>
                </pt>
                <pt idx="11">
                  <v>46034</v>
                </pt>
                <pt idx="12">
                  <v>46035</v>
                </pt>
                <pt idx="13">
                  <v>46036</v>
                </pt>
                <pt idx="14">
                  <v>46037</v>
                </pt>
                <pt idx="15">
                  <v>46038</v>
                </pt>
                <pt idx="16">
                  <v>46042</v>
                </pt>
                <pt idx="17">
                  <v>46043</v>
                </pt>
                <pt idx="18">
                  <v>46044</v>
                </pt>
                <pt idx="19">
                  <v>46045</v>
                </pt>
                <pt idx="20">
                  <v>46048</v>
                </pt>
                <pt idx="21">
                  <v>46049</v>
                </pt>
                <pt idx="22">
                  <v>46050</v>
                </pt>
                <pt idx="23">
                  <v>46051</v>
                </pt>
                <pt idx="24">
                  <v>46052</v>
                </pt>
                <pt idx="25">
                  <v>46055</v>
                </pt>
                <pt idx="26">
                  <v>46056</v>
                </pt>
                <pt idx="27">
                  <v>46057</v>
                </pt>
                <pt idx="28">
                  <v>46058</v>
                </pt>
                <pt idx="29">
                  <v>46059</v>
                </pt>
              </numCache>
            </numRef>
          </cat>
          <val>
            <numRef>
              <f>'2_RealRate_Valuation'!$B$6:$B$35</f>
              <numCache>
                <formatCode>General</formatCode>
                <ptCount val="30"/>
                <pt idx="0">
                  <v>1.91</v>
                </pt>
                <pt idx="1">
                  <v>1.91</v>
                </pt>
                <pt idx="2">
                  <v>1.9</v>
                </pt>
                <pt idx="3">
                  <v>1.9</v>
                </pt>
                <pt idx="4">
                  <v>1.93</v>
                </pt>
                <pt idx="5">
                  <v>1.94</v>
                </pt>
                <pt idx="6">
                  <v>1.91</v>
                </pt>
                <pt idx="7">
                  <v>1.91</v>
                </pt>
                <pt idx="8">
                  <v>1.88</v>
                </pt>
                <pt idx="9">
                  <v>1.92</v>
                </pt>
                <pt idx="10">
                  <v>1.9</v>
                </pt>
                <pt idx="11">
                  <v>1.9</v>
                </pt>
                <pt idx="12">
                  <v>1.88</v>
                </pt>
                <pt idx="13">
                  <v>1.86</v>
                </pt>
                <pt idx="14">
                  <v>1.88</v>
                </pt>
                <pt idx="15">
                  <v>1.91</v>
                </pt>
                <pt idx="16">
                  <v>1.97</v>
                </pt>
                <pt idx="17">
                  <v>1.92</v>
                </pt>
                <pt idx="18">
                  <v>1.95</v>
                </pt>
                <pt idx="19">
                  <v>1.92</v>
                </pt>
                <pt idx="20">
                  <v>1.9</v>
                </pt>
                <pt idx="21">
                  <v>1.9</v>
                </pt>
                <pt idx="22">
                  <v>1.9</v>
                </pt>
                <pt idx="23">
                  <v>1.89</v>
                </pt>
                <pt idx="24">
                  <v>1.9</v>
                </pt>
                <pt idx="25">
                  <v>1.94</v>
                </pt>
                <pt idx="26">
                  <v>1.92</v>
                </pt>
                <pt idx="27">
                  <v>1.94</v>
                </pt>
                <pt idx="28">
                  <v>1.89</v>
                </pt>
                <pt idx="29">
                  <v>1.88</v>
                </pt>
              </numCache>
            </numRef>
          </val>
          <smooth val="1"/>
        </ser>
        <dLbls>
          <showLegendKey val="0"/>
          <showVal val="0"/>
          <showCatName val="0"/>
          <showSerName val="0"/>
          <showPercent val="0"/>
          <showBubbleSize val="0"/>
        </dLbls>
        <smooth val="0"/>
        <axId val="10"/>
        <axId val="100"/>
      </lineChart>
      <date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zh-CN" altLang="en-US"/>
                  <a:t>日期</a:t>
                </a:r>
              </a:p>
            </rich>
          </tx>
          <overlay val="1"/>
        </title>
        <numFmt formatCode="m/d/yyyy" sourceLinked="1"/>
        <majorTickMark val="none"/>
        <minorTickMark val="none"/>
        <tickLblPos val="nextTo"/>
        <crossAx val="100"/>
        <crosses val="autoZero"/>
        <lblOffset val="100"/>
        <baseTimeUnit val="days"/>
      </date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zh-CN" altLang="en-US"/>
                  <a:t>实际利率</a:t>
                </a:r>
                <a:r>
                  <a:rPr lang="en-US" altLang="zh-CN"/>
                  <a:t>(%)</a:t>
                </a:r>
              </a:p>
            </rich>
          </tx>
          <overlay val="1"/>
        </title>
        <numFmt formatCode="General" sourceLinked="1"/>
        <majorTickMark val="none"/>
        <minorTickMark val="none"/>
        <tickLblPos val="nextTo"/>
        <crossAx val="10"/>
        <crosses val="autoZero"/>
        <crossBetween val="between"/>
      </valAx>
    </plotArea>
    <legend>
      <legendPos val="r"/>
      <overlay val="0"/>
      <txPr>
        <a:bodyPr xmlns:a="http://schemas.openxmlformats.org/drawingml/2006/main"/>
        <a:lstStyle xmlns:a="http://schemas.openxmlformats.org/drawingml/2006/main"/>
        <a:p xmlns:a="http://schemas.openxmlformats.org/drawingml/2006/main">
          <a:pPr rtl="0">
            <a:defRPr/>
          </a:pPr>
          <a:r>
            <a:t/>
          </a:r>
          <a:endParaRPr lang="zh-CN"/>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TGA</a:t>
            </a:r>
            <a:r>
              <a:rPr lang="zh-CN" altLang="en-US"/>
              <a:t>余额走势</a:t>
            </a:r>
          </a:p>
        </rich>
      </tx>
      <overlay val="1"/>
    </title>
    <plotArea>
      <layout/>
      <lineChart>
        <grouping val="standard"/>
        <varyColors val="1"/>
        <ser>
          <idx val="0"/>
          <order val="0"/>
          <tx>
            <strRef>
              <f>'3_TGA_RRP'!$B$5</f>
              <strCache>
                <ptCount val="1"/>
                <pt idx="0">
                  <v>TGA(亿美元) 输入</v>
                </pt>
              </strCache>
            </strRef>
          </tx>
          <spPr>
            <a:ln xmlns:a="http://schemas.openxmlformats.org/drawingml/2006/main">
              <a:prstDash val="solid"/>
            </a:ln>
          </spPr>
          <marker>
            <symbol val="none"/>
            <spPr>
              <a:ln xmlns:a="http://schemas.openxmlformats.org/drawingml/2006/main">
                <a:prstDash val="solid"/>
              </a:ln>
            </spPr>
          </marker>
          <cat>
            <numRef>
              <f>'3_TGA_RRP'!$A$6:$A$35</f>
              <numCache>
                <formatCode>m/d/yyyy</formatCode>
                <ptCount val="30"/>
                <pt idx="0">
                  <v>45854</v>
                </pt>
                <pt idx="1">
                  <v>45861</v>
                </pt>
                <pt idx="2">
                  <v>45868</v>
                </pt>
                <pt idx="3">
                  <v>45875</v>
                </pt>
                <pt idx="4">
                  <v>45882</v>
                </pt>
                <pt idx="5">
                  <v>45889</v>
                </pt>
                <pt idx="6">
                  <v>45896</v>
                </pt>
                <pt idx="7">
                  <v>45903</v>
                </pt>
                <pt idx="8">
                  <v>45910</v>
                </pt>
                <pt idx="9">
                  <v>45917</v>
                </pt>
                <pt idx="10">
                  <v>45924</v>
                </pt>
                <pt idx="11">
                  <v>45931</v>
                </pt>
                <pt idx="12">
                  <v>45938</v>
                </pt>
                <pt idx="13">
                  <v>45945</v>
                </pt>
                <pt idx="14">
                  <v>45952</v>
                </pt>
                <pt idx="15">
                  <v>45959</v>
                </pt>
                <pt idx="16">
                  <v>45966</v>
                </pt>
                <pt idx="17">
                  <v>45973</v>
                </pt>
                <pt idx="18">
                  <v>45980</v>
                </pt>
                <pt idx="19">
                  <v>45987</v>
                </pt>
                <pt idx="20">
                  <v>45994</v>
                </pt>
                <pt idx="21">
                  <v>46001</v>
                </pt>
                <pt idx="22">
                  <v>46008</v>
                </pt>
                <pt idx="23">
                  <v>46015</v>
                </pt>
                <pt idx="24">
                  <v>46022</v>
                </pt>
                <pt idx="25">
                  <v>46029</v>
                </pt>
                <pt idx="26">
                  <v>46036</v>
                </pt>
                <pt idx="27">
                  <v>46043</v>
                </pt>
                <pt idx="28">
                  <v>46050</v>
                </pt>
                <pt idx="29">
                  <v>46057</v>
                </pt>
              </numCache>
            </numRef>
          </cat>
          <val>
            <numRef>
              <f>'3_TGA_RRP'!$B$6:$B$35</f>
              <numCache>
                <formatCode>General</formatCode>
                <ptCount val="30"/>
                <pt idx="0">
                  <v>2962.47</v>
                </pt>
                <pt idx="1">
                  <v>3231.76</v>
                </pt>
                <pt idx="2">
                  <v>3705.07</v>
                </pt>
                <pt idx="3">
                  <v>4210.43</v>
                </pt>
                <pt idx="4">
                  <v>5043.04</v>
                </pt>
                <pt idx="5">
                  <v>5195.34</v>
                </pt>
                <pt idx="6">
                  <v>5899.98</v>
                </pt>
                <pt idx="7">
                  <v>5975.13</v>
                </pt>
                <pt idx="8">
                  <v>6722.74</v>
                </pt>
                <pt idx="9">
                  <v>7563.76</v>
                </pt>
                <pt idx="10">
                  <v>8048.56</v>
                </pt>
                <pt idx="11">
                  <v>8051.39</v>
                </pt>
                <pt idx="12">
                  <v>8074.28</v>
                </pt>
                <pt idx="13">
                  <v>8095.93</v>
                </pt>
                <pt idx="14">
                  <v>9080.01</v>
                </pt>
                <pt idx="15">
                  <v>9579.9</v>
                </pt>
                <pt idx="16">
                  <v>9409.790000000001</v>
                </pt>
                <pt idx="17">
                  <v>9538.16</v>
                </pt>
                <pt idx="18">
                  <v>9419.26</v>
                </pt>
                <pt idx="19">
                  <v>9033.940000000001</v>
                </pt>
                <pt idx="20">
                  <v>9371.67</v>
                </pt>
                <pt idx="21">
                  <v>8589.459999999999</v>
                </pt>
                <pt idx="22">
                  <v>8330.93</v>
                </pt>
                <pt idx="23">
                  <v>8371.200000000001</v>
                </pt>
                <pt idx="24">
                  <v>8373.059999999999</v>
                </pt>
                <pt idx="25">
                  <v>7961.48</v>
                </pt>
                <pt idx="26">
                  <v>7791.75</v>
                </pt>
                <pt idx="27">
                  <v>8692.610000000001</v>
                </pt>
                <pt idx="28">
                  <v>9230.42</v>
                </pt>
                <pt idx="29">
                  <v>9087.73</v>
                </pt>
              </numCache>
            </numRef>
          </val>
          <smooth val="1"/>
        </ser>
        <dLbls>
          <showLegendKey val="0"/>
          <showVal val="0"/>
          <showCatName val="0"/>
          <showSerName val="0"/>
          <showPercent val="0"/>
          <showBubbleSize val="0"/>
        </dLbls>
        <smooth val="0"/>
        <axId val="10"/>
        <axId val="100"/>
      </lineChart>
      <date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zh-CN" altLang="en-US"/>
                  <a:t>日期</a:t>
                </a:r>
              </a:p>
            </rich>
          </tx>
          <overlay val="1"/>
        </title>
        <numFmt formatCode="m/d/yyyy" sourceLinked="1"/>
        <majorTickMark val="none"/>
        <minorTickMark val="none"/>
        <tickLblPos val="nextTo"/>
        <crossAx val="100"/>
        <crosses val="autoZero"/>
        <lblOffset val="100"/>
        <baseTimeUnit val="days"/>
      </date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US"/>
                  <a:t>TGA(</a:t>
                </a:r>
                <a:r>
                  <a:rPr lang="zh-CN" altLang="en-US"/>
                  <a:t>亿美元</a:t>
                </a:r>
                <a:r>
                  <a:rPr lang="en-US" altLang="zh-CN"/>
                  <a:t>)</a:t>
                </a:r>
              </a:p>
            </rich>
          </tx>
          <overlay val="1"/>
        </title>
        <numFmt formatCode="General" sourceLinked="1"/>
        <majorTickMark val="none"/>
        <minorTickMark val="none"/>
        <tickLblPos val="nextTo"/>
        <crossAx val="10"/>
        <crosses val="autoZero"/>
        <crossBetween val="between"/>
      </valAx>
    </plotArea>
    <legend>
      <legendPos val="r"/>
      <overlay val="0"/>
      <txPr>
        <a:bodyPr xmlns:a="http://schemas.openxmlformats.org/drawingml/2006/main"/>
        <a:lstStyle xmlns:a="http://schemas.openxmlformats.org/drawingml/2006/main"/>
        <a:p xmlns:a="http://schemas.openxmlformats.org/drawingml/2006/main">
          <a:pPr rtl="0">
            <a:defRPr/>
          </a:pPr>
          <a:r>
            <a:t/>
          </a:r>
          <a:endParaRPr lang="zh-CN"/>
        </a:p>
      </txPr>
    </legend>
    <plotVisOnly val="1"/>
    <dispBlanksAs val="gap"/>
  </chart>
</chartSpace>
</file>

<file path=xl/comments/comment1.xml><?xml version="1.0" encoding="utf-8"?>
<comments xmlns="http://schemas.openxmlformats.org/spreadsheetml/2006/main">
  <authors>
    <author>Xuan Fu</author>
  </authors>
  <commentList>
    <comment ref="I6" authorId="0" shapeId="0">
      <text>
        <t> </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9</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9</col>
      <colOff>0</colOff>
      <row>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externalLinks/_rels/externalLink1.xml.rels><Relationships xmlns="http://schemas.openxmlformats.org/package/2006/relationships"><Relationship Type="http://schemas.openxmlformats.org/officeDocument/2006/relationships/externalLinkPath" Target="file:///D:\Wind%5d\DataBrowse\XLA\WindFunc.xla"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definedNames>
      <definedName name="TDaysOffset"/>
    </definedNames>
    <sheetDataSet>
      <sheetData sheetId="0"/>
      <sheetData sheetId="1"/>
      <sheetData sheetId="2"/>
    </sheetDataSet>
  </externalBook>
</externalLink>
</file>

<file path=xl/tables/table1.xml><?xml version="1.0" encoding="utf-8"?>
<table xmlns="http://schemas.openxmlformats.org/spreadsheetml/2006/main" id="1" name="查询1" displayName="查询1" ref="A1:B1526" tableType="queryTable" headerRowCount="1" totalsRowShown="0">
  <autoFilter ref="A1:B1526"/>
  <tableColumns count="2">
    <tableColumn id="1" uniqueName="1" name="date" queryTableFieldId="1" dataDxfId="7"/>
    <tableColumn id="2" uniqueName="2" name="value" queryTableFieldId="2"/>
  </tableColumns>
  <tableStyleInfo name="TableStyleMedium7" showFirstColumn="0" showLastColumn="0" showRowStripes="1" showColumnStripes="0"/>
</table>
</file>

<file path=xl/tables/table2.xml><?xml version="1.0" encoding="utf-8"?>
<table xmlns="http://schemas.openxmlformats.org/spreadsheetml/2006/main" id="2" name="查询2" displayName="查询2" ref="A1:B320" tableType="queryTable" headerRowCount="1" totalsRowShown="0">
  <autoFilter ref="A1:B320"/>
  <tableColumns count="2">
    <tableColumn id="1" uniqueName="1" name="date" queryTableFieldId="1" dataDxfId="6"/>
    <tableColumn id="2" uniqueName="2" name="value" queryTableFieldId="2"/>
  </tableColumns>
  <tableStyleInfo name="TableStyleMedium7" showFirstColumn="0" showLastColumn="0" showRowStripes="1" showColumnStripes="0"/>
</table>
</file>

<file path=xl/tables/table3.xml><?xml version="1.0" encoding="utf-8"?>
<table xmlns="http://schemas.openxmlformats.org/spreadsheetml/2006/main" id="3" name="查询3" displayName="查询3" ref="A1:B1525" tableType="queryTable" headerRowCount="1" totalsRowShown="0">
  <autoFilter ref="A1:B1525"/>
  <tableColumns count="2">
    <tableColumn id="1" uniqueName="1" name="date" queryTableFieldId="1" dataDxfId="5"/>
    <tableColumn id="2" uniqueName="2" name="value" queryTableFieldId="2"/>
  </tableColumns>
  <tableStyleInfo name="TableStyleMedium9" showFirstColumn="0" showLastColumn="0" showRowStripes="1" showColumnStripes="0"/>
</table>
</file>

<file path=xl/tables/table4.xml><?xml version="1.0" encoding="utf-8"?>
<table xmlns="http://schemas.openxmlformats.org/spreadsheetml/2006/main" id="4" name="表5" displayName="表5" ref="A1:A2" headerRowCount="1" insertRow="1" totalsRowShown="0">
  <autoFilter ref="A1:A2"/>
  <tableColumns count="1">
    <tableColumn id="1" name="symbo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_rels/sheet11.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H20"/>
  <sheetViews>
    <sheetView showGridLines="0" workbookViewId="0">
      <pane ySplit="4" topLeftCell="A5" activePane="bottomLeft" state="frozen"/>
      <selection pane="bottomLeft" activeCell="G7" sqref="G7"/>
    </sheetView>
  </sheetViews>
  <sheetFormatPr baseColWidth="8" defaultRowHeight="14.4"/>
  <cols>
    <col width="14" customWidth="1" style="25" min="1" max="1"/>
    <col width="22" customWidth="1" style="25" min="2" max="2"/>
    <col width="14" customWidth="1" style="25" min="3" max="3"/>
    <col width="10" customWidth="1" style="25" min="4" max="4"/>
    <col width="18" customWidth="1" style="25" min="5" max="5"/>
    <col width="12" customWidth="1" style="25" min="6" max="6"/>
    <col width="10" customWidth="1" style="25" min="7" max="7"/>
    <col width="30" customWidth="1" style="25" min="8" max="8"/>
  </cols>
  <sheetData>
    <row r="1">
      <c r="A1" s="28" t="inlineStr">
        <is>
          <t>Market Dashboard（美股读盘框架）</t>
        </is>
      </c>
    </row>
    <row r="2">
      <c r="A2" s="27" t="inlineStr">
        <is>
          <t>把宏观流动性 × 微观基本面 × 价格行动落地为“可每周更新”的评分体系。</t>
        </is>
      </c>
    </row>
    <row r="5" ht="28.8" customHeight="1" s="25">
      <c r="A5" s="34" t="inlineStr">
        <is>
          <t>模块</t>
        </is>
      </c>
      <c r="B5" s="34" t="inlineStr">
        <is>
          <t>指标</t>
        </is>
      </c>
      <c r="C5" s="34" t="inlineStr">
        <is>
          <t>当前值(链接/输入)</t>
        </is>
      </c>
      <c r="D5" s="34" t="inlineStr">
        <is>
          <t>环比</t>
        </is>
      </c>
      <c r="E5" s="34" t="inlineStr">
        <is>
          <t>阈值/规则</t>
        </is>
      </c>
      <c r="F5" s="34" t="inlineStr">
        <is>
          <t>状态(公式)</t>
        </is>
      </c>
      <c r="G5" s="34" t="inlineStr">
        <is>
          <t>得分(公式)</t>
        </is>
      </c>
      <c r="H5" s="34" t="inlineStr">
        <is>
          <t>注释</t>
        </is>
      </c>
    </row>
    <row r="6" ht="28.8" customHeight="1" s="25">
      <c r="A6" s="2" t="inlineStr">
        <is>
          <t>流动性</t>
        </is>
      </c>
      <c r="B6" s="3" t="inlineStr">
        <is>
          <t>宏观政策得分(合计)</t>
        </is>
      </c>
      <c r="C6" s="4">
        <f>'1_Macro_Liquidity'!H11</f>
        <v/>
      </c>
      <c r="D6" s="2" t="n"/>
      <c r="E6" s="2" t="inlineStr">
        <is>
          <t>&gt;=2宽松; 0-1中性; &lt;0收紧</t>
        </is>
      </c>
      <c r="F6" s="2">
        <f>IF(C6="","",IF(C6&gt;=2,"宽松",IF(C6&gt;=0,"中性","收紧")))</f>
        <v/>
      </c>
      <c r="G6" s="5">
        <f>IF(C6="","",IF(C6&gt;=2,1,IF(C6&gt;=0,0,-1)))</f>
        <v/>
      </c>
      <c r="H6" s="3" t="inlineStr">
        <is>
          <t>点阵图/中性利率/分歧/不确定性</t>
        </is>
      </c>
    </row>
    <row r="7" ht="28.8" customHeight="1" s="25">
      <c r="A7" s="2" t="inlineStr">
        <is>
          <t>流动性</t>
        </is>
      </c>
      <c r="B7" s="3" t="inlineStr">
        <is>
          <t>实际利率得分(最近)</t>
        </is>
      </c>
      <c r="C7" s="4">
        <f>'2_RealRate_Valuation'!B37</f>
        <v/>
      </c>
      <c r="D7" s="2" t="n"/>
      <c r="E7" s="2" t="inlineStr">
        <is>
          <t>10Y TIPS &lt;=0.75→+1</t>
        </is>
      </c>
      <c r="F7" s="2">
        <f>IF(C7="","",IF(C7=1,"宽松",IF(C7=0,"中性","收紧")))</f>
        <v/>
      </c>
      <c r="G7" s="5">
        <f>C7</f>
        <v/>
      </c>
      <c r="H7" s="3" t="inlineStr">
        <is>
          <t>实际利率下行利好成长</t>
        </is>
      </c>
    </row>
    <row r="8">
      <c r="A8" s="2" t="inlineStr">
        <is>
          <t>流动性</t>
        </is>
      </c>
      <c r="B8" s="3" t="inlineStr">
        <is>
          <t>TGA得分(最近)</t>
        </is>
      </c>
      <c r="C8" s="4">
        <f>IFERROR(LOOKUP(2,1/('3_TGA_RRP'!F6:F35&lt;&gt;""),'3_TGA_RRP'!F6:F35),"")</f>
        <v/>
      </c>
      <c r="D8" s="2" t="n"/>
      <c r="E8" s="2" t="inlineStr">
        <is>
          <t>TGA&lt;8500→+1</t>
        </is>
      </c>
      <c r="F8" s="2">
        <f>IF(C8="","",IF(C8=1,"释放",IF(C8=0,"中性","收缩")))</f>
        <v/>
      </c>
      <c r="G8" s="5">
        <f>C8</f>
        <v/>
      </c>
      <c r="H8" s="3" t="inlineStr">
        <is>
          <t>TGA下降=释放流动性</t>
        </is>
      </c>
    </row>
    <row r="9" ht="28.8" customHeight="1" s="25">
      <c r="A9" s="2" t="inlineStr">
        <is>
          <t>基本面</t>
        </is>
      </c>
      <c r="B9" s="3" t="inlineStr">
        <is>
          <t>Mag7得分(加权)</t>
        </is>
      </c>
      <c r="C9" s="4">
        <f>'4_Micro_Fundamentals'!G25</f>
        <v/>
      </c>
      <c r="D9" s="2" t="n"/>
      <c r="E9" s="2" t="inlineStr">
        <is>
          <t>&gt;=0.3强; 0-0.29中; &lt;0弱</t>
        </is>
      </c>
      <c r="F9" s="2">
        <f>IF(C9="","",IF(C9&gt;=0.3,"强",IF(C9&gt;=0,"中","弱")))</f>
        <v/>
      </c>
      <c r="G9" s="5">
        <f>IF(C9="","",IF(C9&gt;=0.3,1,IF(C9&gt;=0,0,-1)))</f>
        <v/>
      </c>
      <c r="H9" s="3" t="inlineStr">
        <is>
          <t>超预期+利润率+FCF</t>
        </is>
      </c>
    </row>
    <row r="10" ht="28.8" customHeight="1" s="25">
      <c r="A10" s="2" t="inlineStr">
        <is>
          <t>情绪</t>
        </is>
      </c>
      <c r="B10" s="3" t="inlineStr">
        <is>
          <t>利好不涨比例</t>
        </is>
      </c>
      <c r="C10" s="6">
        <f>'5_Price_Action'!B89</f>
        <v/>
      </c>
      <c r="D10" s="2" t="n"/>
      <c r="E10" s="2" t="inlineStr">
        <is>
          <t>&lt;30%健康; 30-45%警惕; &gt;45%风险</t>
        </is>
      </c>
      <c r="F10" s="2">
        <f>IF(C10="","",IF(C10&lt;0.3,"健康",IF(C10&lt;0.45,"警惕","风险")))</f>
        <v/>
      </c>
      <c r="G10" s="5">
        <f>IF(C10="","",IF(C10&lt;0.3,1,IF(C10&lt;0.45,0,-1)))</f>
        <v/>
      </c>
      <c r="H10" s="3" t="inlineStr">
        <is>
          <t>Good news, bad reaction</t>
        </is>
      </c>
    </row>
    <row r="11" ht="28.8" customHeight="1" s="25">
      <c r="A11" s="2" t="inlineStr">
        <is>
          <t>情绪</t>
        </is>
      </c>
      <c r="B11" s="3" t="inlineStr">
        <is>
          <t>利空不跌比例</t>
        </is>
      </c>
      <c r="C11" s="6">
        <f>'5_Price_Action'!B90</f>
        <v/>
      </c>
      <c r="D11" s="2" t="n"/>
      <c r="E11" s="2" t="inlineStr">
        <is>
          <t>&gt;25%偏底部; &lt;10%偏顶部</t>
        </is>
      </c>
      <c r="F11" s="2">
        <f>IF(C11="","",IF(C11&gt;0.25,"偏底部",IF(C11&gt;0.1,"中性","偏顶部")))</f>
        <v/>
      </c>
      <c r="G11" s="5">
        <f>IF(C11="","",IF(C11&gt;0.25,1,IF(C11&gt;0.1,0,-1)))</f>
        <v/>
      </c>
      <c r="H11" s="3" t="inlineStr">
        <is>
          <t>Bad news, good reaction</t>
        </is>
      </c>
    </row>
    <row r="12" ht="28.8" customHeight="1" s="25">
      <c r="A12" s="2" t="inlineStr">
        <is>
          <t>广度</t>
        </is>
      </c>
      <c r="B12" s="3" t="inlineStr">
        <is>
          <t>板块联动均值</t>
        </is>
      </c>
      <c r="C12" s="4">
        <f>'5_Price_Action'!B91</f>
        <v/>
      </c>
      <c r="D12" s="2" t="n"/>
      <c r="E12" s="2" t="inlineStr">
        <is>
          <t>&gt;0.60广度好; 0.4-0.6一般; &lt;0.4差</t>
        </is>
      </c>
      <c r="F12" s="2">
        <f>IF(C12="","",IF(C12&gt;0.6,"良好",IF(C12&gt;0.4,"一般","较差")))</f>
        <v/>
      </c>
      <c r="G12" s="5">
        <f>IF(C12="","",IF(C12&gt;0.6,1,IF(C12&gt;0.4,0,-1)))</f>
        <v/>
      </c>
      <c r="H12" s="3" t="inlineStr">
        <is>
          <t>龙头带动板块</t>
        </is>
      </c>
    </row>
    <row r="14" ht="28.8" customHeight="1" s="25">
      <c r="A14" s="7" t="inlineStr">
        <is>
          <t>总分（-6 到 +6）</t>
        </is>
      </c>
      <c r="B14" s="8">
        <f>SUM(G6:G12)</f>
        <v/>
      </c>
    </row>
    <row r="15">
      <c r="A15" s="7" t="inlineStr">
        <is>
          <t>流动性总分</t>
        </is>
      </c>
      <c r="B15" s="9">
        <f>SUM(G6:G8)</f>
        <v/>
      </c>
    </row>
    <row r="16" ht="28.8" customHeight="1" s="25">
      <c r="A16" s="7" t="inlineStr">
        <is>
          <t>业绩/基本面得分</t>
        </is>
      </c>
      <c r="B16" s="9">
        <f>G9</f>
        <v/>
      </c>
    </row>
    <row r="17" ht="28.8" customHeight="1" s="25">
      <c r="A17" s="7" t="inlineStr">
        <is>
          <t>市场状态（矩阵输出）</t>
        </is>
      </c>
      <c r="B17" s="10">
        <f>LET(liq,B15,fund,B16,liqState,IF(liq&gt;=2,"宽松",IF(liq&lt;=0,"收紧","中性")),IF(AND(liqState="宽松",fund=1),"主升浪",IF(AND(liqState="宽松",fund&lt;=0),"震荡",IF(AND(liqState="收紧",fund=1),"分化","双杀"))))</f>
        <v/>
      </c>
    </row>
    <row r="19">
      <c r="A19" s="26" t="inlineStr">
        <is>
          <t>使用说明（快速）</t>
        </is>
      </c>
    </row>
    <row r="20">
      <c r="A20" s="24" t="inlineStr">
        <is>
          <t>1) 先在 Sheet1/2/3 填宏观与流动性；2) Sheet4 填Mag7财报核心数字；3) Sheet5 记录“利好不涨/利空不跌”；4) 回到本页看总分与市场状态。</t>
        </is>
      </c>
    </row>
  </sheetData>
  <mergeCells count="4">
    <mergeCell ref="A20:H20"/>
    <mergeCell ref="A19:H19"/>
    <mergeCell ref="A2:H2"/>
    <mergeCell ref="A1:H1"/>
  </mergeCells>
  <conditionalFormatting sqref="B17">
    <cfRule type="expression" priority="1" dxfId="4">
      <formula>B17="主升浪"</formula>
    </cfRule>
    <cfRule type="expression" priority="2" dxfId="3">
      <formula>B17="震荡"</formula>
    </cfRule>
    <cfRule type="expression" priority="3" dxfId="2">
      <formula>B17="分化"</formula>
    </cfRule>
    <cfRule type="expression" priority="4" dxfId="0">
      <formula>B17="双杀"</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showGridLines="0" workbookViewId="0">
      <pane ySplit="3" topLeftCell="A4" activePane="bottomLeft" state="frozen"/>
      <selection pane="bottomLeft" activeCell="A1" sqref="A1:H1"/>
    </sheetView>
  </sheetViews>
  <sheetFormatPr baseColWidth="8" defaultRowHeight="14.4"/>
  <cols>
    <col width="18" customWidth="1" style="25" min="1" max="1"/>
    <col width="14" customWidth="1" style="25" min="2" max="3"/>
    <col width="10" customWidth="1" style="25" min="4" max="4"/>
    <col width="12" customWidth="1" style="25" min="5" max="6"/>
    <col width="34" customWidth="1" style="25" min="7" max="7"/>
    <col width="12" customWidth="1" style="25" min="8" max="8"/>
  </cols>
  <sheetData>
    <row r="1">
      <c r="A1" s="28" t="inlineStr">
        <is>
          <t>宏观流动性（美联储与点阵图）</t>
        </is>
      </c>
    </row>
    <row r="2">
      <c r="A2" s="27" t="inlineStr">
        <is>
          <t>输入每次FOMC更新后的关键数字；用“评分”给宏观方向打分（+1/0/-1）。</t>
        </is>
      </c>
    </row>
    <row r="3">
      <c r="A3" t="inlineStr">
        <is>
          <t>更新日期（本行）</t>
        </is>
      </c>
      <c r="B3" s="45" t="inlineStr">
        <is>
          <t>2026-02-10</t>
        </is>
      </c>
    </row>
    <row r="5" ht="28.8" customHeight="1" s="25">
      <c r="A5" s="34" t="inlineStr">
        <is>
          <t>指标</t>
        </is>
      </c>
      <c r="B5" s="34" t="inlineStr">
        <is>
          <t>最新值(输入)</t>
        </is>
      </c>
      <c r="C5" s="34" t="inlineStr">
        <is>
          <t>上次值(输入)</t>
        </is>
      </c>
      <c r="D5" s="34" t="inlineStr">
        <is>
          <t>变化(公式)</t>
        </is>
      </c>
      <c r="E5" s="34" t="inlineStr">
        <is>
          <t>阈值/参考(输入)</t>
        </is>
      </c>
      <c r="F5" s="34" t="inlineStr">
        <is>
          <t>评分(公式)</t>
        </is>
      </c>
      <c r="G5" s="34" t="inlineStr">
        <is>
          <t>解读/备注</t>
        </is>
      </c>
      <c r="H5" s="34" t="inlineStr">
        <is>
          <t>数据来源(可选)</t>
        </is>
      </c>
    </row>
    <row r="6" ht="28.8" customHeight="1" s="25">
      <c r="A6" s="3" t="inlineStr">
        <is>
          <t>2026年末点阵图中值(%)</t>
        </is>
      </c>
      <c r="B6" s="45" t="n"/>
      <c r="C6" s="45" t="n"/>
      <c r="D6" s="12">
        <f>IF(OR(B6="",C6=""),"",B6-C6)</f>
        <v/>
      </c>
      <c r="E6" s="45" t="inlineStr">
        <is>
          <t>下降→偏鸽</t>
        </is>
      </c>
      <c r="F6" s="12">
        <f>IF(B6="","",IF(D6&lt;0,1,IF(D6&gt;0,-1,0)))</f>
        <v/>
      </c>
      <c r="G6" s="3" t="inlineStr">
        <is>
          <t>关注“降到哪”而非“降多少”</t>
        </is>
      </c>
      <c r="H6" s="45" t="n"/>
    </row>
    <row r="7">
      <c r="A7" s="3" t="inlineStr">
        <is>
          <t>长期中性利率(%)</t>
        </is>
      </c>
      <c r="B7" s="45" t="n"/>
      <c r="C7" s="45" t="n"/>
      <c r="D7" s="12">
        <f>IF(OR(B7="",C7=""),"",B7-C7)</f>
        <v/>
      </c>
      <c r="E7" s="45" t="inlineStr">
        <is>
          <t>锚点</t>
        </is>
      </c>
      <c r="F7" s="12">
        <f>IF(B7="","",IF(D7&gt;0,-1,IF(D7&lt;0,1,0)))</f>
        <v/>
      </c>
      <c r="G7" s="3" t="inlineStr">
        <is>
          <t>中性利率若上修→估值中枢下移风险</t>
        </is>
      </c>
      <c r="H7" s="45" t="n"/>
    </row>
    <row r="8">
      <c r="A8" s="3" t="inlineStr">
        <is>
          <t>预计不降息官员数</t>
        </is>
      </c>
      <c r="B8" s="45" t="n"/>
      <c r="C8" s="45" t="n"/>
      <c r="D8" s="12">
        <f>IF(OR(B8="",C8=""),"",B8-C8)</f>
        <v/>
      </c>
      <c r="E8" s="45" t="inlineStr">
        <is>
          <t>分歧</t>
        </is>
      </c>
      <c r="F8" s="12">
        <f>IF(B8="","",IF(D8&gt;0,-1,IF(D8&lt;0,1,0)))</f>
        <v/>
      </c>
      <c r="G8" s="3" t="inlineStr">
        <is>
          <t>人数上升→政策不确定性↑</t>
        </is>
      </c>
      <c r="H8" s="45" t="n"/>
    </row>
    <row r="9" ht="28.8" customHeight="1" s="25">
      <c r="A9" s="3" t="inlineStr">
        <is>
          <t>主席更替/政策不确定性(0-2)</t>
        </is>
      </c>
      <c r="B9" s="45" t="n"/>
      <c r="C9" s="45" t="n"/>
      <c r="D9" s="12">
        <f>IF(OR(B9="",C9=""),"",B9-C9)</f>
        <v/>
      </c>
      <c r="E9" s="45" t="inlineStr">
        <is>
          <t>0低 1中 2高</t>
        </is>
      </c>
      <c r="F9" s="12">
        <f>IF(B9="","",IF(B9&gt;=2,-1,IF(B9=1,0,1)))</f>
        <v/>
      </c>
      <c r="G9" s="3" t="inlineStr">
        <is>
          <t>换届年可上调风险折价</t>
        </is>
      </c>
      <c r="H9" s="45" t="n"/>
    </row>
    <row r="11">
      <c r="G11" s="13" t="inlineStr">
        <is>
          <t>宏观政策得分（合计）</t>
        </is>
      </c>
      <c r="H11" s="14">
        <f>SUM(F6:F9)</f>
        <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7"/>
  <sheetViews>
    <sheetView showGridLines="0" workbookViewId="0">
      <pane ySplit="4" topLeftCell="A5" activePane="bottomLeft" state="frozen"/>
      <selection pane="bottomLeft" activeCell="B6" sqref="B6"/>
    </sheetView>
  </sheetViews>
  <sheetFormatPr baseColWidth="8" defaultRowHeight="14.4"/>
  <cols>
    <col width="16" customWidth="1" style="25" min="1" max="1"/>
    <col width="30.5546875" customWidth="1" style="25" min="2" max="2"/>
    <col width="14" customWidth="1" style="25" min="3" max="5"/>
    <col width="12" customWidth="1" style="25" min="6" max="6"/>
    <col width="34" customWidth="1" style="25" min="7" max="7"/>
    <col width="12" customWidth="1" style="25" min="8" max="8"/>
    <col width="12.88671875" bestFit="1" customWidth="1" style="25" min="9" max="9"/>
  </cols>
  <sheetData>
    <row r="1">
      <c r="A1" s="28" t="inlineStr">
        <is>
          <t>实际利率与估值（Real Rate）</t>
        </is>
      </c>
    </row>
    <row r="2">
      <c r="A2" s="27" t="inlineStr">
        <is>
          <t>输入10Y TIPS（实际利率）与指数表现，用阈值判断成长股估值环境。</t>
        </is>
      </c>
    </row>
    <row r="3" ht="81" customHeight="1" s="25">
      <c r="A3" s="29" t="inlineStr">
        <is>
          <t>分母端压力： 当 TIPS $&gt; 1.5\%$ 时，折现率（Discount Rate）明显上升，意味着同样的利润，在今天值更少的钱。估值约束： 历史经验表明，当 10 年期 TIPS 每上升 50 个基点（0.5%），在盈利预期不变的情况下，标普 500 的理论市盈率（P/E）会面临 5%-10% 的修正压力。2026 年现状： 目前 TIPS 在 1.8% - 2.0% 附近震荡，属于**“紧缩区间”的边缘**。这意味着目前美股的上涨完全是由“业绩增长（E）”拉动的，而非“估值扩张（P/E）”。</t>
        </is>
      </c>
    </row>
    <row r="5" ht="28.8" customHeight="1" s="25">
      <c r="A5" s="34" t="inlineStr">
        <is>
          <t>日期</t>
        </is>
      </c>
      <c r="B5" s="34" t="inlineStr">
        <is>
          <t>10Y TIPS(%) 输入</t>
        </is>
      </c>
      <c r="C5" s="34" t="inlineStr">
        <is>
          <t>1M前 输入</t>
        </is>
      </c>
      <c r="D5" s="34" t="inlineStr">
        <is>
          <t>变化(公式)</t>
        </is>
      </c>
      <c r="E5" s="34" t="inlineStr">
        <is>
          <t>阈值上限(%) 输入</t>
        </is>
      </c>
      <c r="F5" s="34" t="inlineStr">
        <is>
          <t>评分(公式)</t>
        </is>
      </c>
      <c r="G5" s="34" t="inlineStr">
        <is>
          <t>备注</t>
        </is>
      </c>
      <c r="H5" s="34" t="inlineStr">
        <is>
          <t>来源</t>
        </is>
      </c>
    </row>
    <row r="6">
      <c r="A6" s="22">
        <f>INDEX(pq_tips_dfii10!$A:$A,COUNT(pq_tips_dfii10!$A:$A)-34+ROW())</f>
        <v/>
      </c>
      <c r="B6" s="45">
        <f>VLOOKUP(A6,查询1[],2,FALSE)</f>
        <v/>
      </c>
      <c r="C6" s="45">
        <f>VLOOKUP(I6,查询1[],2,FALSE)</f>
        <v/>
      </c>
      <c r="D6" s="12">
        <f>IF(OR(B6="",C6=""),"",B6-C6)</f>
        <v/>
      </c>
      <c r="E6" s="45" t="n">
        <v>1.5</v>
      </c>
      <c r="F6" s="12">
        <f>IF(B6="","",IF(B6&lt;=E6,1,IF(B6&lt;=E6+0.25,0,-1)))</f>
        <v/>
      </c>
      <c r="G6" s="3" t="n"/>
      <c r="H6" s="45" t="n"/>
      <c r="I6" s="46">
        <f>[1]!TDaysOffset(A6,"Period=M","Offset=-1")</f>
        <v/>
      </c>
    </row>
    <row r="7">
      <c r="A7" s="22">
        <f>INDEX(pq_tips_dfii10!$A:$A,COUNT(pq_tips_dfii10!$A:$A)-34+ROW())</f>
        <v/>
      </c>
      <c r="B7" s="45">
        <f>VLOOKUP(A7,查询1[],2,FALSE)</f>
        <v/>
      </c>
      <c r="C7" s="45">
        <f>VLOOKUP(I7,查询1[],2,FALSE)</f>
        <v/>
      </c>
      <c r="D7" s="12">
        <f>IF(OR(B7="",C7=""),"",B7-C7)</f>
        <v/>
      </c>
      <c r="E7" s="45" t="n">
        <v>1.5</v>
      </c>
      <c r="F7" s="12">
        <f>IF(B7="","",IF(B7&lt;=E7,1,IF(B7&lt;=E7+0.25,0,-1)))</f>
        <v/>
      </c>
      <c r="G7" s="3" t="n"/>
      <c r="H7" s="45" t="n"/>
      <c r="I7" s="46">
        <f>[1]!TDaysOffset(A7,"Period=M","Offset=-1")</f>
        <v/>
      </c>
    </row>
    <row r="8">
      <c r="A8" s="22">
        <f>INDEX(pq_tips_dfii10!$A:$A,COUNT(pq_tips_dfii10!$A:$A)-34+ROW())</f>
        <v/>
      </c>
      <c r="B8" s="45">
        <f>VLOOKUP(A8,查询1[],2,FALSE)</f>
        <v/>
      </c>
      <c r="C8" s="45">
        <f>VLOOKUP(I8,查询1[],2,FALSE)</f>
        <v/>
      </c>
      <c r="D8" s="12">
        <f>IF(OR(B8="",C8=""),"",B8-C8)</f>
        <v/>
      </c>
      <c r="E8" s="45" t="n">
        <v>1.5</v>
      </c>
      <c r="F8" s="12">
        <f>IF(B8="","",IF(B8&lt;=E8,1,IF(B8&lt;=E8+0.25,0,-1)))</f>
        <v/>
      </c>
      <c r="G8" s="3" t="n"/>
      <c r="H8" s="45" t="n"/>
      <c r="I8" s="46">
        <f>[1]!TDaysOffset(A8,"Period=M","Offset=-1")</f>
        <v/>
      </c>
    </row>
    <row r="9">
      <c r="A9" s="22">
        <f>INDEX(pq_tips_dfii10!$A:$A,COUNT(pq_tips_dfii10!$A:$A)-34+ROW())</f>
        <v/>
      </c>
      <c r="B9" s="45">
        <f>VLOOKUP(A9,查询1[],2,FALSE)</f>
        <v/>
      </c>
      <c r="C9" s="45">
        <f>VLOOKUP(I9,查询1[],2,FALSE)</f>
        <v/>
      </c>
      <c r="D9" s="12">
        <f>IF(OR(B9="",C9=""),"",B9-C9)</f>
        <v/>
      </c>
      <c r="E9" s="45" t="n">
        <v>1.5</v>
      </c>
      <c r="F9" s="12">
        <f>IF(B9="","",IF(B9&lt;=E9,1,IF(B9&lt;=E9+0.25,0,-1)))</f>
        <v/>
      </c>
      <c r="G9" s="3" t="n"/>
      <c r="H9" s="45" t="n"/>
      <c r="I9" s="46">
        <f>[1]!TDaysOffset(A9,"Period=M","Offset=-1")</f>
        <v/>
      </c>
    </row>
    <row r="10">
      <c r="A10" s="22">
        <f>INDEX(pq_tips_dfii10!$A:$A,COUNT(pq_tips_dfii10!$A:$A)-34+ROW())</f>
        <v/>
      </c>
      <c r="B10" s="45">
        <f>VLOOKUP(A10,查询1[],2,FALSE)</f>
        <v/>
      </c>
      <c r="C10" s="45">
        <f>VLOOKUP(I10,查询1[],2,FALSE)</f>
        <v/>
      </c>
      <c r="D10" s="12">
        <f>IF(OR(B10="",C10=""),"",B10-C10)</f>
        <v/>
      </c>
      <c r="E10" s="45" t="n">
        <v>1.5</v>
      </c>
      <c r="F10" s="12">
        <f>IF(B10="","",IF(B10&lt;=E10,1,IF(B10&lt;=E10+0.25,0,-1)))</f>
        <v/>
      </c>
      <c r="G10" s="3" t="n"/>
      <c r="H10" s="45" t="n"/>
      <c r="I10" s="46">
        <f>[1]!TDaysOffset(A10,"Period=M","Offset=-1")</f>
        <v/>
      </c>
    </row>
    <row r="11">
      <c r="A11" s="22">
        <f>INDEX(pq_tips_dfii10!$A:$A,COUNT(pq_tips_dfii10!$A:$A)-34+ROW())</f>
        <v/>
      </c>
      <c r="B11" s="45">
        <f>VLOOKUP(A11,查询1[],2,FALSE)</f>
        <v/>
      </c>
      <c r="C11" s="45">
        <f>VLOOKUP(I11,查询1[],2,FALSE)</f>
        <v/>
      </c>
      <c r="D11" s="12">
        <f>IF(OR(B11="",C11=""),"",B11-C11)</f>
        <v/>
      </c>
      <c r="E11" s="45" t="n">
        <v>1.5</v>
      </c>
      <c r="F11" s="12">
        <f>IF(B11="","",IF(B11&lt;=E11,1,IF(B11&lt;=E11+0.25,0,-1)))</f>
        <v/>
      </c>
      <c r="G11" s="3" t="n"/>
      <c r="H11" s="45" t="n"/>
      <c r="I11" s="46">
        <f>[1]!TDaysOffset(A11,"Period=M","Offset=-1")</f>
        <v/>
      </c>
    </row>
    <row r="12">
      <c r="A12" s="22">
        <f>INDEX(pq_tips_dfii10!$A:$A,COUNT(pq_tips_dfii10!$A:$A)-34+ROW())</f>
        <v/>
      </c>
      <c r="B12" s="45">
        <f>VLOOKUP(A12,查询1[],2,FALSE)</f>
        <v/>
      </c>
      <c r="C12" s="45">
        <f>VLOOKUP(I12,查询1[],2,FALSE)</f>
        <v/>
      </c>
      <c r="D12" s="12">
        <f>IF(OR(B12="",C12=""),"",B12-C12)</f>
        <v/>
      </c>
      <c r="E12" s="45" t="n">
        <v>1.5</v>
      </c>
      <c r="F12" s="12">
        <f>IF(B12="","",IF(B12&lt;=E12,1,IF(B12&lt;=E12+0.25,0,-1)))</f>
        <v/>
      </c>
      <c r="G12" s="3" t="n"/>
      <c r="H12" s="45" t="n"/>
      <c r="I12" s="46">
        <f>[1]!TDaysOffset(A12,"Period=M","Offset=-1")</f>
        <v/>
      </c>
    </row>
    <row r="13">
      <c r="A13" s="22">
        <f>INDEX(pq_tips_dfii10!$A:$A,COUNT(pq_tips_dfii10!$A:$A)-34+ROW())</f>
        <v/>
      </c>
      <c r="B13" s="45">
        <f>VLOOKUP(A13,查询1[],2,FALSE)</f>
        <v/>
      </c>
      <c r="C13" s="45">
        <f>VLOOKUP(I13,查询1[],2,FALSE)</f>
        <v/>
      </c>
      <c r="D13" s="12">
        <f>IF(OR(B13="",C13=""),"",B13-C13)</f>
        <v/>
      </c>
      <c r="E13" s="45" t="n">
        <v>1.5</v>
      </c>
      <c r="F13" s="12">
        <f>IF(B13="","",IF(B13&lt;=E13,1,IF(B13&lt;=E13+0.25,0,-1)))</f>
        <v/>
      </c>
      <c r="G13" s="3" t="n"/>
      <c r="H13" s="45" t="n"/>
      <c r="I13" s="46">
        <f>[1]!TDaysOffset(A13,"Period=M","Offset=-1")</f>
        <v/>
      </c>
    </row>
    <row r="14">
      <c r="A14" s="22">
        <f>INDEX(pq_tips_dfii10!$A:$A,COUNT(pq_tips_dfii10!$A:$A)-34+ROW())</f>
        <v/>
      </c>
      <c r="B14" s="45">
        <f>VLOOKUP(A14,查询1[],2,FALSE)</f>
        <v/>
      </c>
      <c r="C14" s="45">
        <f>VLOOKUP(I14,查询1[],2,FALSE)</f>
        <v/>
      </c>
      <c r="D14" s="12">
        <f>IF(OR(B14="",C14=""),"",B14-C14)</f>
        <v/>
      </c>
      <c r="E14" s="45" t="n">
        <v>1.5</v>
      </c>
      <c r="F14" s="12">
        <f>IF(B14="","",IF(B14&lt;=E14,1,IF(B14&lt;=E14+0.25,0,-1)))</f>
        <v/>
      </c>
      <c r="G14" s="3" t="n"/>
      <c r="H14" s="45" t="n"/>
      <c r="I14" s="46">
        <f>[1]!TDaysOffset(A14,"Period=M","Offset=-1")</f>
        <v/>
      </c>
    </row>
    <row r="15">
      <c r="A15" s="22">
        <f>INDEX(pq_tips_dfii10!$A:$A,COUNT(pq_tips_dfii10!$A:$A)-34+ROW())</f>
        <v/>
      </c>
      <c r="B15" s="45">
        <f>VLOOKUP(A15,查询1[],2,FALSE)</f>
        <v/>
      </c>
      <c r="C15" s="45">
        <f>VLOOKUP(I15,查询1[],2,FALSE)</f>
        <v/>
      </c>
      <c r="D15" s="12">
        <f>IF(OR(B15="",C15=""),"",B15-C15)</f>
        <v/>
      </c>
      <c r="E15" s="45" t="n">
        <v>1.5</v>
      </c>
      <c r="F15" s="12">
        <f>IF(B15="","",IF(B15&lt;=E15,1,IF(B15&lt;=E15+0.25,0,-1)))</f>
        <v/>
      </c>
      <c r="G15" s="3" t="n"/>
      <c r="H15" s="45" t="n"/>
      <c r="I15" s="46">
        <f>[1]!TDaysOffset(A15,"Period=M","Offset=-1")</f>
        <v/>
      </c>
    </row>
    <row r="16">
      <c r="A16" s="22">
        <f>INDEX(pq_tips_dfii10!$A:$A,COUNT(pq_tips_dfii10!$A:$A)-34+ROW())</f>
        <v/>
      </c>
      <c r="B16" s="45">
        <f>VLOOKUP(A16,查询1[],2,FALSE)</f>
        <v/>
      </c>
      <c r="C16" s="45">
        <f>VLOOKUP(I16,查询1[],2,FALSE)</f>
        <v/>
      </c>
      <c r="D16" s="12">
        <f>IF(OR(B16="",C16=""),"",B16-C16)</f>
        <v/>
      </c>
      <c r="E16" s="45" t="n">
        <v>1.5</v>
      </c>
      <c r="F16" s="12">
        <f>IF(B16="","",IF(B16&lt;=E16,1,IF(B16&lt;=E16+0.25,0,-1)))</f>
        <v/>
      </c>
      <c r="G16" s="3" t="n"/>
      <c r="H16" s="45" t="n"/>
      <c r="I16" s="46">
        <f>[1]!TDaysOffset(A16,"Period=M","Offset=-1")</f>
        <v/>
      </c>
    </row>
    <row r="17">
      <c r="A17" s="22">
        <f>INDEX(pq_tips_dfii10!$A:$A,COUNT(pq_tips_dfii10!$A:$A)-34+ROW())</f>
        <v/>
      </c>
      <c r="B17" s="45">
        <f>VLOOKUP(A17,查询1[],2,FALSE)</f>
        <v/>
      </c>
      <c r="C17" s="45">
        <f>VLOOKUP(I17,查询1[],2,FALSE)</f>
        <v/>
      </c>
      <c r="D17" s="12">
        <f>IF(OR(B17="",C17=""),"",B17-C17)</f>
        <v/>
      </c>
      <c r="E17" s="45" t="n">
        <v>1.5</v>
      </c>
      <c r="F17" s="12">
        <f>IF(B17="","",IF(B17&lt;=E17,1,IF(B17&lt;=E17+0.25,0,-1)))</f>
        <v/>
      </c>
      <c r="G17" s="3" t="n"/>
      <c r="H17" s="45" t="n"/>
      <c r="I17" s="46">
        <f>[1]!TDaysOffset(A17,"Period=M","Offset=-1")</f>
        <v/>
      </c>
    </row>
    <row r="18">
      <c r="A18" s="22">
        <f>INDEX(pq_tips_dfii10!$A:$A,COUNT(pq_tips_dfii10!$A:$A)-34+ROW())</f>
        <v/>
      </c>
      <c r="B18" s="45">
        <f>VLOOKUP(A18,查询1[],2,FALSE)</f>
        <v/>
      </c>
      <c r="C18" s="45">
        <f>VLOOKUP(I18,查询1[],2,FALSE)</f>
        <v/>
      </c>
      <c r="D18" s="12">
        <f>IF(OR(B18="",C18=""),"",B18-C18)</f>
        <v/>
      </c>
      <c r="E18" s="45" t="n">
        <v>1.5</v>
      </c>
      <c r="F18" s="12">
        <f>IF(B18="","",IF(B18&lt;=E18,1,IF(B18&lt;=E18+0.25,0,-1)))</f>
        <v/>
      </c>
      <c r="G18" s="3" t="n"/>
      <c r="H18" s="45" t="n"/>
      <c r="I18" s="46">
        <f>[1]!TDaysOffset(A18,"Period=M","Offset=-1")</f>
        <v/>
      </c>
    </row>
    <row r="19">
      <c r="A19" s="22">
        <f>INDEX(pq_tips_dfii10!$A:$A,COUNT(pq_tips_dfii10!$A:$A)-34+ROW())</f>
        <v/>
      </c>
      <c r="B19" s="45">
        <f>VLOOKUP(A19,查询1[],2,FALSE)</f>
        <v/>
      </c>
      <c r="C19" s="45">
        <f>VLOOKUP(I19,查询1[],2,FALSE)</f>
        <v/>
      </c>
      <c r="D19" s="12">
        <f>IF(OR(B19="",C19=""),"",B19-C19)</f>
        <v/>
      </c>
      <c r="E19" s="45" t="n">
        <v>1.5</v>
      </c>
      <c r="F19" s="12">
        <f>IF(B19="","",IF(B19&lt;=E19,1,IF(B19&lt;=E19+0.25,0,-1)))</f>
        <v/>
      </c>
      <c r="G19" s="3" t="n"/>
      <c r="H19" s="45" t="n"/>
      <c r="I19" s="46">
        <f>[1]!TDaysOffset(A19,"Period=M","Offset=-1")</f>
        <v/>
      </c>
    </row>
    <row r="20">
      <c r="A20" s="22">
        <f>INDEX(pq_tips_dfii10!$A:$A,COUNT(pq_tips_dfii10!$A:$A)-34+ROW())</f>
        <v/>
      </c>
      <c r="B20" s="45">
        <f>VLOOKUP(A20,查询1[],2,FALSE)</f>
        <v/>
      </c>
      <c r="C20" s="45">
        <f>VLOOKUP(I20,查询1[],2,FALSE)</f>
        <v/>
      </c>
      <c r="D20" s="12">
        <f>IF(OR(B20="",C20=""),"",B20-C20)</f>
        <v/>
      </c>
      <c r="E20" s="45" t="n">
        <v>1.5</v>
      </c>
      <c r="F20" s="12">
        <f>IF(B20="","",IF(B20&lt;=E20,1,IF(B20&lt;=E20+0.25,0,-1)))</f>
        <v/>
      </c>
      <c r="G20" s="3" t="n"/>
      <c r="H20" s="45" t="n"/>
      <c r="I20" s="46">
        <f>[1]!TDaysOffset(A20,"Period=M","Offset=-1")</f>
        <v/>
      </c>
    </row>
    <row r="21">
      <c r="A21" s="22">
        <f>INDEX(pq_tips_dfii10!$A:$A,COUNT(pq_tips_dfii10!$A:$A)-34+ROW())</f>
        <v/>
      </c>
      <c r="B21" s="45">
        <f>VLOOKUP(A21,查询1[],2,FALSE)</f>
        <v/>
      </c>
      <c r="C21" s="45">
        <f>VLOOKUP(I21,查询1[],2,FALSE)</f>
        <v/>
      </c>
      <c r="D21" s="12">
        <f>IF(OR(B21="",C21=""),"",B21-C21)</f>
        <v/>
      </c>
      <c r="E21" s="45" t="n">
        <v>1.5</v>
      </c>
      <c r="F21" s="12">
        <f>IF(B21="","",IF(B21&lt;=E21,1,IF(B21&lt;=E21+0.25,0,-1)))</f>
        <v/>
      </c>
      <c r="G21" s="3" t="n"/>
      <c r="H21" s="45" t="n"/>
      <c r="I21" s="46">
        <f>[1]!TDaysOffset(A21,"Period=M","Offset=-1")</f>
        <v/>
      </c>
    </row>
    <row r="22">
      <c r="A22" s="22">
        <f>INDEX(pq_tips_dfii10!$A:$A,COUNT(pq_tips_dfii10!$A:$A)-34+ROW())</f>
        <v/>
      </c>
      <c r="B22" s="45">
        <f>VLOOKUP(A22,查询1[],2,FALSE)</f>
        <v/>
      </c>
      <c r="C22" s="45">
        <f>VLOOKUP(I22,查询1[],2,FALSE)</f>
        <v/>
      </c>
      <c r="D22" s="12">
        <f>IF(OR(B22="",C22=""),"",B22-C22)</f>
        <v/>
      </c>
      <c r="E22" s="45" t="n">
        <v>1.5</v>
      </c>
      <c r="F22" s="12">
        <f>IF(B22="","",IF(B22&lt;=E22,1,IF(B22&lt;=E22+0.25,0,-1)))</f>
        <v/>
      </c>
      <c r="G22" s="3" t="n"/>
      <c r="H22" s="45" t="n"/>
      <c r="I22" s="46">
        <f>[1]!TDaysOffset(A22,"Period=M","Offset=-1")</f>
        <v/>
      </c>
    </row>
    <row r="23">
      <c r="A23" s="22">
        <f>INDEX(pq_tips_dfii10!$A:$A,COUNT(pq_tips_dfii10!$A:$A)-34+ROW())</f>
        <v/>
      </c>
      <c r="B23" s="45">
        <f>VLOOKUP(A23,查询1[],2,FALSE)</f>
        <v/>
      </c>
      <c r="C23" s="45">
        <f>VLOOKUP(I23,查询1[],2,FALSE)</f>
        <v/>
      </c>
      <c r="D23" s="12">
        <f>IF(OR(B23="",C23=""),"",B23-C23)</f>
        <v/>
      </c>
      <c r="E23" s="45" t="n">
        <v>1.5</v>
      </c>
      <c r="F23" s="12">
        <f>IF(B23="","",IF(B23&lt;=E23,1,IF(B23&lt;=E23+0.25,0,-1)))</f>
        <v/>
      </c>
      <c r="G23" s="3" t="n"/>
      <c r="H23" s="45" t="n"/>
      <c r="I23" s="46">
        <f>[1]!TDaysOffset(A23,"Period=M","Offset=-1")</f>
        <v/>
      </c>
    </row>
    <row r="24">
      <c r="A24" s="22">
        <f>INDEX(pq_tips_dfii10!$A:$A,COUNT(pq_tips_dfii10!$A:$A)-34+ROW())</f>
        <v/>
      </c>
      <c r="B24" s="45">
        <f>VLOOKUP(A24,查询1[],2,FALSE)</f>
        <v/>
      </c>
      <c r="C24" s="45">
        <f>VLOOKUP(I24,查询1[],2,FALSE)</f>
        <v/>
      </c>
      <c r="D24" s="12">
        <f>IF(OR(B24="",C24=""),"",B24-C24)</f>
        <v/>
      </c>
      <c r="E24" s="45" t="n">
        <v>1.5</v>
      </c>
      <c r="F24" s="12">
        <f>IF(B24="","",IF(B24&lt;=E24,1,IF(B24&lt;=E24+0.25,0,-1)))</f>
        <v/>
      </c>
      <c r="G24" s="3" t="n"/>
      <c r="H24" s="45" t="n"/>
      <c r="I24" s="46">
        <f>[1]!TDaysOffset(A24,"Period=M","Offset=-1")</f>
        <v/>
      </c>
    </row>
    <row r="25">
      <c r="A25" s="22">
        <f>INDEX(pq_tips_dfii10!$A:$A,COUNT(pq_tips_dfii10!$A:$A)-34+ROW())</f>
        <v/>
      </c>
      <c r="B25" s="45">
        <f>VLOOKUP(A25,查询1[],2,FALSE)</f>
        <v/>
      </c>
      <c r="C25" s="45">
        <f>VLOOKUP(I25,查询1[],2,FALSE)</f>
        <v/>
      </c>
      <c r="D25" s="12">
        <f>IF(OR(B25="",C25=""),"",B25-C25)</f>
        <v/>
      </c>
      <c r="E25" s="45" t="n">
        <v>1.5</v>
      </c>
      <c r="F25" s="12">
        <f>IF(B25="","",IF(B25&lt;=E25,1,IF(B25&lt;=E25+0.25,0,-1)))</f>
        <v/>
      </c>
      <c r="G25" s="3" t="n"/>
      <c r="H25" s="45" t="n"/>
      <c r="I25" s="46">
        <f>[1]!TDaysOffset(A25,"Period=M","Offset=-1")</f>
        <v/>
      </c>
    </row>
    <row r="26">
      <c r="A26" s="22">
        <f>INDEX(pq_tips_dfii10!$A:$A,COUNT(pq_tips_dfii10!$A:$A)-34+ROW())</f>
        <v/>
      </c>
      <c r="B26" s="45">
        <f>VLOOKUP(A26,查询1[],2,FALSE)</f>
        <v/>
      </c>
      <c r="C26" s="45">
        <f>VLOOKUP(I26,查询1[],2,FALSE)</f>
        <v/>
      </c>
      <c r="D26" s="12">
        <f>IF(OR(B26="",C26=""),"",B26-C26)</f>
        <v/>
      </c>
      <c r="E26" s="45" t="n">
        <v>1.5</v>
      </c>
      <c r="F26" s="12">
        <f>IF(B26="","",IF(B26&lt;=E26,1,IF(B26&lt;=E26+0.25,0,-1)))</f>
        <v/>
      </c>
      <c r="G26" s="3" t="n"/>
      <c r="H26" s="45" t="n"/>
      <c r="I26" s="46">
        <f>[1]!TDaysOffset(A26,"Period=M","Offset=-1")</f>
        <v/>
      </c>
    </row>
    <row r="27">
      <c r="A27" s="22">
        <f>INDEX(pq_tips_dfii10!$A:$A,COUNT(pq_tips_dfii10!$A:$A)-34+ROW())</f>
        <v/>
      </c>
      <c r="B27" s="45">
        <f>VLOOKUP(A27,查询1[],2,FALSE)</f>
        <v/>
      </c>
      <c r="C27" s="45">
        <f>VLOOKUP(I27,查询1[],2,FALSE)</f>
        <v/>
      </c>
      <c r="D27" s="12">
        <f>IF(OR(B27="",C27=""),"",B27-C27)</f>
        <v/>
      </c>
      <c r="E27" s="45" t="n">
        <v>1.5</v>
      </c>
      <c r="F27" s="12">
        <f>IF(B27="","",IF(B27&lt;=E27,1,IF(B27&lt;=E27+0.25,0,-1)))</f>
        <v/>
      </c>
      <c r="G27" s="3" t="n"/>
      <c r="H27" s="45" t="n"/>
      <c r="I27" s="46">
        <f>[1]!TDaysOffset(A27,"Period=M","Offset=-1")</f>
        <v/>
      </c>
    </row>
    <row r="28">
      <c r="A28" s="22">
        <f>INDEX(pq_tips_dfii10!$A:$A,COUNT(pq_tips_dfii10!$A:$A)-34+ROW())</f>
        <v/>
      </c>
      <c r="B28" s="45">
        <f>VLOOKUP(A28,查询1[],2,FALSE)</f>
        <v/>
      </c>
      <c r="C28" s="45">
        <f>VLOOKUP(I28,查询1[],2,FALSE)</f>
        <v/>
      </c>
      <c r="D28" s="12">
        <f>IF(OR(B28="",C28=""),"",B28-C28)</f>
        <v/>
      </c>
      <c r="E28" s="45" t="n">
        <v>1.5</v>
      </c>
      <c r="F28" s="12">
        <f>IF(B28="","",IF(B28&lt;=E28,1,IF(B28&lt;=E28+0.25,0,-1)))</f>
        <v/>
      </c>
      <c r="G28" s="3" t="n"/>
      <c r="H28" s="45" t="n"/>
      <c r="I28" s="46">
        <f>[1]!TDaysOffset(A28,"Period=M","Offset=-1")</f>
        <v/>
      </c>
    </row>
    <row r="29">
      <c r="A29" s="22">
        <f>INDEX(pq_tips_dfii10!$A:$A,COUNT(pq_tips_dfii10!$A:$A)-34+ROW())</f>
        <v/>
      </c>
      <c r="B29" s="45">
        <f>VLOOKUP(A29,查询1[],2,FALSE)</f>
        <v/>
      </c>
      <c r="C29" s="45">
        <f>VLOOKUP(I29,查询1[],2,FALSE)</f>
        <v/>
      </c>
      <c r="D29" s="12">
        <f>IF(OR(B29="",C29=""),"",B29-C29)</f>
        <v/>
      </c>
      <c r="E29" s="45" t="n">
        <v>1.5</v>
      </c>
      <c r="F29" s="12">
        <f>IF(B29="","",IF(B29&lt;=E29,1,IF(B29&lt;=E29+0.25,0,-1)))</f>
        <v/>
      </c>
      <c r="G29" s="3" t="n"/>
      <c r="H29" s="45" t="n"/>
      <c r="I29" s="46">
        <f>[1]!TDaysOffset(A29,"Period=M","Offset=-1")</f>
        <v/>
      </c>
    </row>
    <row r="30">
      <c r="A30" s="22">
        <f>INDEX(pq_tips_dfii10!$A:$A,COUNT(pq_tips_dfii10!$A:$A)-34+ROW())</f>
        <v/>
      </c>
      <c r="B30" s="45">
        <f>VLOOKUP(A30,查询1[],2,FALSE)</f>
        <v/>
      </c>
      <c r="C30" s="45">
        <f>VLOOKUP(I30,查询1[],2,FALSE)</f>
        <v/>
      </c>
      <c r="D30" s="12">
        <f>IF(OR(B30="",C30=""),"",B30-C30)</f>
        <v/>
      </c>
      <c r="E30" s="45" t="n">
        <v>1.5</v>
      </c>
      <c r="F30" s="12">
        <f>IF(B30="","",IF(B30&lt;=E30,1,IF(B30&lt;=E30+0.25,0,-1)))</f>
        <v/>
      </c>
      <c r="G30" s="3" t="n"/>
      <c r="H30" s="45" t="n"/>
      <c r="I30" s="46">
        <f>[1]!TDaysOffset(A30,"Period=M","Offset=-1")</f>
        <v/>
      </c>
    </row>
    <row r="31">
      <c r="A31" s="22">
        <f>INDEX(pq_tips_dfii10!$A:$A,COUNT(pq_tips_dfii10!$A:$A)-34+ROW())</f>
        <v/>
      </c>
      <c r="B31" s="45">
        <f>VLOOKUP(A31,查询1[],2,FALSE)</f>
        <v/>
      </c>
      <c r="C31" s="45">
        <f>VLOOKUP(I31,查询1[],2,FALSE)</f>
        <v/>
      </c>
      <c r="D31" s="12">
        <f>IF(OR(B31="",C31=""),"",B31-C31)</f>
        <v/>
      </c>
      <c r="E31" s="45" t="n">
        <v>1.5</v>
      </c>
      <c r="F31" s="12">
        <f>IF(B31="","",IF(B31&lt;=E31,1,IF(B31&lt;=E31+0.25,0,-1)))</f>
        <v/>
      </c>
      <c r="G31" s="3" t="n"/>
      <c r="H31" s="45" t="n"/>
      <c r="I31" s="46">
        <f>[1]!TDaysOffset(A31,"Period=M","Offset=-1")</f>
        <v/>
      </c>
    </row>
    <row r="32">
      <c r="A32" s="22">
        <f>INDEX(pq_tips_dfii10!$A:$A,COUNT(pq_tips_dfii10!$A:$A)-34+ROW())</f>
        <v/>
      </c>
      <c r="B32" s="45">
        <f>VLOOKUP(A32,查询1[],2,FALSE)</f>
        <v/>
      </c>
      <c r="C32" s="45">
        <f>VLOOKUP(I32,查询1[],2,FALSE)</f>
        <v/>
      </c>
      <c r="D32" s="12">
        <f>IF(OR(B32="",C32=""),"",B32-C32)</f>
        <v/>
      </c>
      <c r="E32" s="45" t="n">
        <v>1.5</v>
      </c>
      <c r="F32" s="12">
        <f>IF(B32="","",IF(B32&lt;=E32,1,IF(B32&lt;=E32+0.25,0,-1)))</f>
        <v/>
      </c>
      <c r="G32" s="3" t="n"/>
      <c r="H32" s="45" t="n"/>
      <c r="I32" s="46">
        <f>[1]!TDaysOffset(A32,"Period=M","Offset=-1")</f>
        <v/>
      </c>
    </row>
    <row r="33">
      <c r="A33" s="22">
        <f>INDEX(pq_tips_dfii10!$A:$A,COUNT(pq_tips_dfii10!$A:$A)-34+ROW())</f>
        <v/>
      </c>
      <c r="B33" s="45">
        <f>VLOOKUP(A33,查询1[],2,FALSE)</f>
        <v/>
      </c>
      <c r="C33" s="45">
        <f>VLOOKUP(I33,查询1[],2,FALSE)</f>
        <v/>
      </c>
      <c r="D33" s="12">
        <f>IF(OR(B33="",C33=""),"",B33-C33)</f>
        <v/>
      </c>
      <c r="E33" s="45" t="n">
        <v>1.5</v>
      </c>
      <c r="F33" s="12">
        <f>IF(B33="","",IF(B33&lt;=E33,1,IF(B33&lt;=E33+0.25,0,-1)))</f>
        <v/>
      </c>
      <c r="G33" s="3" t="n"/>
      <c r="H33" s="45" t="n"/>
      <c r="I33" s="46">
        <f>[1]!TDaysOffset(A33,"Period=M","Offset=-1")</f>
        <v/>
      </c>
    </row>
    <row r="34">
      <c r="A34" s="22">
        <f>INDEX(pq_tips_dfii10!$A:$A,COUNT(pq_tips_dfii10!$A:$A)-34+ROW())</f>
        <v/>
      </c>
      <c r="B34" s="45">
        <f>VLOOKUP(A34,查询1[],2,FALSE)</f>
        <v/>
      </c>
      <c r="C34" s="45">
        <f>VLOOKUP(I34,查询1[],2,FALSE)</f>
        <v/>
      </c>
      <c r="D34" s="12">
        <f>IF(OR(B34="",C34=""),"",B34-C34)</f>
        <v/>
      </c>
      <c r="E34" s="45" t="n">
        <v>1.5</v>
      </c>
      <c r="F34" s="12">
        <f>IF(B34="","",IF(B34&lt;=E34,1,IF(B34&lt;=E34+0.25,0,-1)))</f>
        <v/>
      </c>
      <c r="G34" s="3" t="n"/>
      <c r="H34" s="45" t="n"/>
      <c r="I34" s="46">
        <f>[1]!TDaysOffset(A34,"Period=M","Offset=-1")</f>
        <v/>
      </c>
    </row>
    <row r="35">
      <c r="A35" s="22">
        <f>INDEX(pq_tips_dfii10!$A:$A,COUNT(pq_tips_dfii10!$A:$A)-34+ROW())</f>
        <v/>
      </c>
      <c r="B35" s="45">
        <f>VLOOKUP(A35,查询1[],2,FALSE)</f>
        <v/>
      </c>
      <c r="C35" s="45">
        <f>VLOOKUP(I35,查询1[],2,FALSE)</f>
        <v/>
      </c>
      <c r="D35" s="12">
        <f>IF(OR(B35="",C35=""),"",B35-C35)</f>
        <v/>
      </c>
      <c r="E35" s="45" t="n">
        <v>1.5</v>
      </c>
      <c r="F35" s="12">
        <f>IF(B35="","",IF(B35&lt;=E35,1,IF(B35&lt;=E35+0.25,0,-1)))</f>
        <v/>
      </c>
      <c r="G35" s="3" t="n"/>
      <c r="H35" s="45" t="n"/>
      <c r="I35" s="46">
        <f>[1]!TDaysOffset(A35,"Period=M","Offset=-1")</f>
        <v/>
      </c>
    </row>
    <row r="37">
      <c r="A37" s="15" t="inlineStr">
        <is>
          <t>实际利率得分（最近一行）</t>
        </is>
      </c>
      <c r="B37" s="14">
        <f>IFERROR(LOOKUP(2,1/(F6:F35&lt;&gt;""),F6:F35),"")</f>
        <v/>
      </c>
    </row>
  </sheetData>
  <mergeCells count="3">
    <mergeCell ref="A3:H3"/>
    <mergeCell ref="A2:H2"/>
    <mergeCell ref="A1:H1"/>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58"/>
  <sheetViews>
    <sheetView showGridLines="0" workbookViewId="0">
      <pane ySplit="4" topLeftCell="A11" activePane="bottomLeft" state="frozen"/>
      <selection pane="bottomLeft" activeCell="F58" sqref="F58"/>
    </sheetView>
  </sheetViews>
  <sheetFormatPr baseColWidth="8" defaultRowHeight="14.4"/>
  <cols>
    <col width="14" customWidth="1" style="25" min="1" max="1"/>
    <col width="16" customWidth="1" style="25" min="2" max="3"/>
    <col width="14" customWidth="1" style="25" min="4" max="5"/>
    <col width="12" customWidth="1" style="25" min="6" max="6"/>
    <col width="36" customWidth="1" style="25" min="7" max="7"/>
    <col width="12" customWidth="1" style="25" min="8" max="8"/>
  </cols>
  <sheetData>
    <row r="1">
      <c r="A1" s="28" t="inlineStr">
        <is>
          <t>TGA 与 RRP（财政流动性）</t>
        </is>
      </c>
    </row>
    <row r="2">
      <c r="A2" s="27" t="inlineStr">
        <is>
          <t>TGA下降=释放流动性；RRP见底时“弹性”通常更大。</t>
        </is>
      </c>
    </row>
    <row r="5" ht="28.8" customHeight="1" s="25">
      <c r="A5" s="34" t="inlineStr">
        <is>
          <t>日期</t>
        </is>
      </c>
      <c r="B5" s="34" t="inlineStr">
        <is>
          <t>TGA(亿美元) 输入</t>
        </is>
      </c>
      <c r="C5" s="34" t="inlineStr">
        <is>
          <t>上期TGA 输入</t>
        </is>
      </c>
      <c r="D5" s="34" t="inlineStr">
        <is>
          <t>TGA变化(公式)</t>
        </is>
      </c>
      <c r="E5" s="34" t="inlineStr">
        <is>
          <t>目标余额(亿美元) 输入</t>
        </is>
      </c>
      <c r="F5" s="34" t="inlineStr">
        <is>
          <t>评分(公式)</t>
        </is>
      </c>
      <c r="G5" s="34" t="inlineStr">
        <is>
          <t>备注</t>
        </is>
      </c>
      <c r="H5" s="34" t="inlineStr">
        <is>
          <t>来源</t>
        </is>
      </c>
    </row>
    <row r="6">
      <c r="A6" s="22">
        <f>INDEX(pq_tga_wtregen!$A:$A,COUNT(pq_tga_wtregen!$A:$A)-34+ROW())</f>
        <v/>
      </c>
      <c r="B6" s="45">
        <f>VLOOKUP(A6,pq_tga_wtregen!$A:$B,2,FALSE)</f>
        <v/>
      </c>
      <c r="C6" s="45" t="n"/>
      <c r="D6" s="12">
        <f>IF(OR(B6="",C6=""),"",B6-C6)</f>
        <v/>
      </c>
      <c r="E6" s="45" t="n">
        <v>8500</v>
      </c>
      <c r="F6" s="12">
        <f>IF(B6="","",IF(B6&lt;=E6,1,IF(B6&lt;=E6+300,0,-1)))</f>
        <v/>
      </c>
      <c r="G6" s="3" t="n"/>
      <c r="H6" s="45" t="n"/>
    </row>
    <row r="7">
      <c r="A7" s="22">
        <f>INDEX(pq_tga_wtregen!$A:$A,COUNT(pq_tga_wtregen!$A:$A)-34+ROW())</f>
        <v/>
      </c>
      <c r="B7" s="45">
        <f>VLOOKUP(A7,pq_tga_wtregen!$A:$B,2,FALSE)</f>
        <v/>
      </c>
      <c r="C7" s="45" t="n"/>
      <c r="D7" s="12">
        <f>IF(OR(B7="",C7=""),"",B7-C7)</f>
        <v/>
      </c>
      <c r="E7" s="45" t="n">
        <v>8500</v>
      </c>
      <c r="F7" s="12">
        <f>IF(B7="","",IF(B7&lt;=E7,1,IF(B7&lt;=E7+300,0,-1)))</f>
        <v/>
      </c>
      <c r="G7" s="3" t="n"/>
      <c r="H7" s="45" t="n"/>
    </row>
    <row r="8">
      <c r="A8" s="22">
        <f>INDEX(pq_tga_wtregen!$A:$A,COUNT(pq_tga_wtregen!$A:$A)-34+ROW())</f>
        <v/>
      </c>
      <c r="B8" s="45">
        <f>VLOOKUP(A8,pq_tga_wtregen!$A:$B,2,FALSE)</f>
        <v/>
      </c>
      <c r="C8" s="45" t="n"/>
      <c r="D8" s="12">
        <f>IF(OR(B8="",C8=""),"",B8-C8)</f>
        <v/>
      </c>
      <c r="E8" s="45" t="n">
        <v>8500</v>
      </c>
      <c r="F8" s="12">
        <f>IF(B8="","",IF(B8&lt;=E8,1,IF(B8&lt;=E8+300,0,-1)))</f>
        <v/>
      </c>
      <c r="G8" s="3" t="n"/>
      <c r="H8" s="45" t="n"/>
    </row>
    <row r="9">
      <c r="A9" s="22">
        <f>INDEX(pq_tga_wtregen!$A:$A,COUNT(pq_tga_wtregen!$A:$A)-34+ROW())</f>
        <v/>
      </c>
      <c r="B9" s="45">
        <f>VLOOKUP(A9,pq_tga_wtregen!$A:$B,2,FALSE)</f>
        <v/>
      </c>
      <c r="C9" s="45" t="n"/>
      <c r="D9" s="12">
        <f>IF(OR(B9="",C9=""),"",B9-C9)</f>
        <v/>
      </c>
      <c r="E9" s="45" t="n">
        <v>8500</v>
      </c>
      <c r="F9" s="12">
        <f>IF(B9="","",IF(B9&lt;=E9,1,IF(B9&lt;=E9+300,0,-1)))</f>
        <v/>
      </c>
      <c r="G9" s="3" t="n"/>
      <c r="H9" s="45" t="n"/>
    </row>
    <row r="10">
      <c r="A10" s="22">
        <f>INDEX(pq_tga_wtregen!$A:$A,COUNT(pq_tga_wtregen!$A:$A)-34+ROW())</f>
        <v/>
      </c>
      <c r="B10" s="45">
        <f>VLOOKUP(A10,pq_tga_wtregen!$A:$B,2,FALSE)</f>
        <v/>
      </c>
      <c r="C10" s="45" t="n"/>
      <c r="D10" s="12">
        <f>IF(OR(B10="",C10=""),"",B10-C10)</f>
        <v/>
      </c>
      <c r="E10" s="45" t="n">
        <v>8500</v>
      </c>
      <c r="F10" s="12">
        <f>IF(B10="","",IF(B10&lt;=E10,1,IF(B10&lt;=E10+300,0,-1)))</f>
        <v/>
      </c>
      <c r="G10" s="3" t="n"/>
      <c r="H10" s="45" t="n"/>
    </row>
    <row r="11">
      <c r="A11" s="22">
        <f>INDEX(pq_tga_wtregen!$A:$A,COUNT(pq_tga_wtregen!$A:$A)-34+ROW())</f>
        <v/>
      </c>
      <c r="B11" s="45">
        <f>VLOOKUP(A11,pq_tga_wtregen!$A:$B,2,FALSE)</f>
        <v/>
      </c>
      <c r="C11" s="45" t="n"/>
      <c r="D11" s="12">
        <f>IF(OR(B11="",C11=""),"",B11-C11)</f>
        <v/>
      </c>
      <c r="E11" s="45" t="n">
        <v>8500</v>
      </c>
      <c r="F11" s="12">
        <f>IF(B11="","",IF(B11&lt;=E11,1,IF(B11&lt;=E11+300,0,-1)))</f>
        <v/>
      </c>
      <c r="G11" s="3" t="n"/>
      <c r="H11" s="45" t="n"/>
    </row>
    <row r="12">
      <c r="A12" s="22">
        <f>INDEX(pq_tga_wtregen!$A:$A,COUNT(pq_tga_wtregen!$A:$A)-34+ROW())</f>
        <v/>
      </c>
      <c r="B12" s="45">
        <f>VLOOKUP(A12,pq_tga_wtregen!$A:$B,2,FALSE)</f>
        <v/>
      </c>
      <c r="C12" s="45" t="n"/>
      <c r="D12" s="12">
        <f>IF(OR(B12="",C12=""),"",B12-C12)</f>
        <v/>
      </c>
      <c r="E12" s="45" t="n">
        <v>8500</v>
      </c>
      <c r="F12" s="12">
        <f>IF(B12="","",IF(B12&lt;=E12,1,IF(B12&lt;=E12+300,0,-1)))</f>
        <v/>
      </c>
      <c r="G12" s="3" t="n"/>
      <c r="H12" s="45" t="n"/>
    </row>
    <row r="13">
      <c r="A13" s="22">
        <f>INDEX(pq_tga_wtregen!$A:$A,COUNT(pq_tga_wtregen!$A:$A)-34+ROW())</f>
        <v/>
      </c>
      <c r="B13" s="45">
        <f>VLOOKUP(A13,pq_tga_wtregen!$A:$B,2,FALSE)</f>
        <v/>
      </c>
      <c r="C13" s="45" t="n"/>
      <c r="D13" s="12">
        <f>IF(OR(B13="",C13=""),"",B13-C13)</f>
        <v/>
      </c>
      <c r="E13" s="45" t="n">
        <v>8500</v>
      </c>
      <c r="F13" s="12">
        <f>IF(B13="","",IF(B13&lt;=E13,1,IF(B13&lt;=E13+300,0,-1)))</f>
        <v/>
      </c>
      <c r="G13" s="3" t="n"/>
      <c r="H13" s="45" t="n"/>
    </row>
    <row r="14">
      <c r="A14" s="22">
        <f>INDEX(pq_tga_wtregen!$A:$A,COUNT(pq_tga_wtregen!$A:$A)-34+ROW())</f>
        <v/>
      </c>
      <c r="B14" s="45">
        <f>VLOOKUP(A14,pq_tga_wtregen!$A:$B,2,FALSE)</f>
        <v/>
      </c>
      <c r="C14" s="45" t="n"/>
      <c r="D14" s="12">
        <f>IF(OR(B14="",C14=""),"",B14-C14)</f>
        <v/>
      </c>
      <c r="E14" s="45" t="n">
        <v>8500</v>
      </c>
      <c r="F14" s="12">
        <f>IF(B14="","",IF(B14&lt;=E14,1,IF(B14&lt;=E14+300,0,-1)))</f>
        <v/>
      </c>
      <c r="G14" s="3" t="n"/>
      <c r="H14" s="45" t="n"/>
    </row>
    <row r="15">
      <c r="A15" s="22">
        <f>INDEX(pq_tga_wtregen!$A:$A,COUNT(pq_tga_wtregen!$A:$A)-34+ROW())</f>
        <v/>
      </c>
      <c r="B15" s="45">
        <f>VLOOKUP(A15,pq_tga_wtregen!$A:$B,2,FALSE)</f>
        <v/>
      </c>
      <c r="C15" s="45" t="n"/>
      <c r="D15" s="12">
        <f>IF(OR(B15="",C15=""),"",B15-C15)</f>
        <v/>
      </c>
      <c r="E15" s="45" t="n">
        <v>8500</v>
      </c>
      <c r="F15" s="12">
        <f>IF(B15="","",IF(B15&lt;=E15,1,IF(B15&lt;=E15+300,0,-1)))</f>
        <v/>
      </c>
      <c r="G15" s="3" t="n"/>
      <c r="H15" s="45" t="n"/>
    </row>
    <row r="16">
      <c r="A16" s="22">
        <f>INDEX(pq_tga_wtregen!$A:$A,COUNT(pq_tga_wtregen!$A:$A)-34+ROW())</f>
        <v/>
      </c>
      <c r="B16" s="45">
        <f>VLOOKUP(A16,pq_tga_wtregen!$A:$B,2,FALSE)</f>
        <v/>
      </c>
      <c r="C16" s="45" t="n"/>
      <c r="D16" s="12">
        <f>IF(OR(B16="",C16=""),"",B16-C16)</f>
        <v/>
      </c>
      <c r="E16" s="45" t="n">
        <v>8500</v>
      </c>
      <c r="F16" s="12">
        <f>IF(B16="","",IF(B16&lt;=E16,1,IF(B16&lt;=E16+300,0,-1)))</f>
        <v/>
      </c>
      <c r="G16" s="3" t="n"/>
      <c r="H16" s="45" t="n"/>
    </row>
    <row r="17">
      <c r="A17" s="22">
        <f>INDEX(pq_tga_wtregen!$A:$A,COUNT(pq_tga_wtregen!$A:$A)-34+ROW())</f>
        <v/>
      </c>
      <c r="B17" s="45">
        <f>VLOOKUP(A17,pq_tga_wtregen!$A:$B,2,FALSE)</f>
        <v/>
      </c>
      <c r="C17" s="45" t="n"/>
      <c r="D17" s="12">
        <f>IF(OR(B17="",C17=""),"",B17-C17)</f>
        <v/>
      </c>
      <c r="E17" s="45" t="n">
        <v>8500</v>
      </c>
      <c r="F17" s="12">
        <f>IF(B17="","",IF(B17&lt;=E17,1,IF(B17&lt;=E17+300,0,-1)))</f>
        <v/>
      </c>
      <c r="G17" s="3" t="n"/>
      <c r="H17" s="45" t="n"/>
    </row>
    <row r="18">
      <c r="A18" s="22">
        <f>INDEX(pq_tga_wtregen!$A:$A,COUNT(pq_tga_wtregen!$A:$A)-34+ROW())</f>
        <v/>
      </c>
      <c r="B18" s="45">
        <f>VLOOKUP(A18,pq_tga_wtregen!$A:$B,2,FALSE)</f>
        <v/>
      </c>
      <c r="C18" s="45" t="n"/>
      <c r="D18" s="12">
        <f>IF(OR(B18="",C18=""),"",B18-C18)</f>
        <v/>
      </c>
      <c r="E18" s="45" t="n">
        <v>8500</v>
      </c>
      <c r="F18" s="12">
        <f>IF(B18="","",IF(B18&lt;=E18,1,IF(B18&lt;=E18+300,0,-1)))</f>
        <v/>
      </c>
      <c r="G18" s="3" t="n"/>
      <c r="H18" s="45" t="n"/>
    </row>
    <row r="19">
      <c r="A19" s="22">
        <f>INDEX(pq_tga_wtregen!$A:$A,COUNT(pq_tga_wtregen!$A:$A)-34+ROW())</f>
        <v/>
      </c>
      <c r="B19" s="45">
        <f>VLOOKUP(A19,pq_tga_wtregen!$A:$B,2,FALSE)</f>
        <v/>
      </c>
      <c r="C19" s="45" t="n"/>
      <c r="D19" s="12">
        <f>IF(OR(B19="",C19=""),"",B19-C19)</f>
        <v/>
      </c>
      <c r="E19" s="45" t="n">
        <v>8500</v>
      </c>
      <c r="F19" s="12">
        <f>IF(B19="","",IF(B19&lt;=E19,1,IF(B19&lt;=E19+300,0,-1)))</f>
        <v/>
      </c>
      <c r="G19" s="3" t="n"/>
      <c r="H19" s="45" t="n"/>
    </row>
    <row r="20">
      <c r="A20" s="22">
        <f>INDEX(pq_tga_wtregen!$A:$A,COUNT(pq_tga_wtregen!$A:$A)-34+ROW())</f>
        <v/>
      </c>
      <c r="B20" s="45">
        <f>VLOOKUP(A20,pq_tga_wtregen!$A:$B,2,FALSE)</f>
        <v/>
      </c>
      <c r="C20" s="45" t="n"/>
      <c r="D20" s="12">
        <f>IF(OR(B20="",C20=""),"",B20-C20)</f>
        <v/>
      </c>
      <c r="E20" s="45" t="n">
        <v>8500</v>
      </c>
      <c r="F20" s="12">
        <f>IF(B20="","",IF(B20&lt;=E20,1,IF(B20&lt;=E20+300,0,-1)))</f>
        <v/>
      </c>
      <c r="G20" s="3" t="n"/>
      <c r="H20" s="45" t="n"/>
    </row>
    <row r="21">
      <c r="A21" s="22">
        <f>INDEX(pq_tga_wtregen!$A:$A,COUNT(pq_tga_wtregen!$A:$A)-34+ROW())</f>
        <v/>
      </c>
      <c r="B21" s="45">
        <f>VLOOKUP(A21,pq_tga_wtregen!$A:$B,2,FALSE)</f>
        <v/>
      </c>
      <c r="C21" s="45" t="n"/>
      <c r="D21" s="12">
        <f>IF(OR(B21="",C21=""),"",B21-C21)</f>
        <v/>
      </c>
      <c r="E21" s="45" t="n">
        <v>8500</v>
      </c>
      <c r="F21" s="12">
        <f>IF(B21="","",IF(B21&lt;=E21,1,IF(B21&lt;=E21+300,0,-1)))</f>
        <v/>
      </c>
      <c r="G21" s="3" t="n"/>
      <c r="H21" s="45" t="n"/>
    </row>
    <row r="22">
      <c r="A22" s="22">
        <f>INDEX(pq_tga_wtregen!$A:$A,COUNT(pq_tga_wtregen!$A:$A)-34+ROW())</f>
        <v/>
      </c>
      <c r="B22" s="45">
        <f>VLOOKUP(A22,pq_tga_wtregen!$A:$B,2,FALSE)</f>
        <v/>
      </c>
      <c r="C22" s="45" t="n"/>
      <c r="D22" s="12">
        <f>IF(OR(B22="",C22=""),"",B22-C22)</f>
        <v/>
      </c>
      <c r="E22" s="45" t="n">
        <v>8500</v>
      </c>
      <c r="F22" s="12">
        <f>IF(B22="","",IF(B22&lt;=E22,1,IF(B22&lt;=E22+300,0,-1)))</f>
        <v/>
      </c>
      <c r="G22" s="3" t="n"/>
      <c r="H22" s="45" t="n"/>
    </row>
    <row r="23">
      <c r="A23" s="22">
        <f>INDEX(pq_tga_wtregen!$A:$A,COUNT(pq_tga_wtregen!$A:$A)-34+ROW())</f>
        <v/>
      </c>
      <c r="B23" s="45">
        <f>VLOOKUP(A23,pq_tga_wtregen!$A:$B,2,FALSE)</f>
        <v/>
      </c>
      <c r="C23" s="45" t="n"/>
      <c r="D23" s="12">
        <f>IF(OR(B23="",C23=""),"",B23-C23)</f>
        <v/>
      </c>
      <c r="E23" s="45" t="n">
        <v>8500</v>
      </c>
      <c r="F23" s="12">
        <f>IF(B23="","",IF(B23&lt;=E23,1,IF(B23&lt;=E23+300,0,-1)))</f>
        <v/>
      </c>
      <c r="G23" s="3" t="n"/>
      <c r="H23" s="45" t="n"/>
    </row>
    <row r="24">
      <c r="A24" s="22">
        <f>INDEX(pq_tga_wtregen!$A:$A,COUNT(pq_tga_wtregen!$A:$A)-34+ROW())</f>
        <v/>
      </c>
      <c r="B24" s="45">
        <f>VLOOKUP(A24,pq_tga_wtregen!$A:$B,2,FALSE)</f>
        <v/>
      </c>
      <c r="C24" s="45" t="n"/>
      <c r="D24" s="12">
        <f>IF(OR(B24="",C24=""),"",B24-C24)</f>
        <v/>
      </c>
      <c r="E24" s="45" t="n">
        <v>8500</v>
      </c>
      <c r="F24" s="12">
        <f>IF(B24="","",IF(B24&lt;=E24,1,IF(B24&lt;=E24+300,0,-1)))</f>
        <v/>
      </c>
      <c r="G24" s="3" t="n"/>
      <c r="H24" s="45" t="n"/>
    </row>
    <row r="25">
      <c r="A25" s="22">
        <f>INDEX(pq_tga_wtregen!$A:$A,COUNT(pq_tga_wtregen!$A:$A)-34+ROW())</f>
        <v/>
      </c>
      <c r="B25" s="45">
        <f>VLOOKUP(A25,pq_tga_wtregen!$A:$B,2,FALSE)</f>
        <v/>
      </c>
      <c r="C25" s="45" t="n"/>
      <c r="D25" s="12">
        <f>IF(OR(B25="",C25=""),"",B25-C25)</f>
        <v/>
      </c>
      <c r="E25" s="45" t="n">
        <v>8500</v>
      </c>
      <c r="F25" s="12">
        <f>IF(B25="","",IF(B25&lt;=E25,1,IF(B25&lt;=E25+300,0,-1)))</f>
        <v/>
      </c>
      <c r="G25" s="3" t="n"/>
      <c r="H25" s="45" t="n"/>
    </row>
    <row r="26">
      <c r="A26" s="22">
        <f>INDEX(pq_tga_wtregen!$A:$A,COUNT(pq_tga_wtregen!$A:$A)-34+ROW())</f>
        <v/>
      </c>
      <c r="B26" s="45">
        <f>VLOOKUP(A26,pq_tga_wtregen!$A:$B,2,FALSE)</f>
        <v/>
      </c>
      <c r="C26" s="45" t="n"/>
      <c r="D26" s="12">
        <f>IF(OR(B26="",C26=""),"",B26-C26)</f>
        <v/>
      </c>
      <c r="E26" s="45" t="n">
        <v>8500</v>
      </c>
      <c r="F26" s="12">
        <f>IF(B26="","",IF(B26&lt;=E26,1,IF(B26&lt;=E26+300,0,-1)))</f>
        <v/>
      </c>
      <c r="G26" s="3" t="n"/>
      <c r="H26" s="45" t="n"/>
    </row>
    <row r="27">
      <c r="A27" s="22">
        <f>INDEX(pq_tga_wtregen!$A:$A,COUNT(pq_tga_wtregen!$A:$A)-34+ROW())</f>
        <v/>
      </c>
      <c r="B27" s="45">
        <f>VLOOKUP(A27,pq_tga_wtregen!$A:$B,2,FALSE)</f>
        <v/>
      </c>
      <c r="C27" s="45" t="n"/>
      <c r="D27" s="12">
        <f>IF(OR(B27="",C27=""),"",B27-C27)</f>
        <v/>
      </c>
      <c r="E27" s="45" t="n">
        <v>8500</v>
      </c>
      <c r="F27" s="12">
        <f>IF(B27="","",IF(B27&lt;=E27,1,IF(B27&lt;=E27+300,0,-1)))</f>
        <v/>
      </c>
      <c r="G27" s="3" t="n"/>
      <c r="H27" s="45" t="n"/>
    </row>
    <row r="28">
      <c r="A28" s="22">
        <f>INDEX(pq_tga_wtregen!$A:$A,COUNT(pq_tga_wtregen!$A:$A)-34+ROW())</f>
        <v/>
      </c>
      <c r="B28" s="45">
        <f>VLOOKUP(A28,pq_tga_wtregen!$A:$B,2,FALSE)</f>
        <v/>
      </c>
      <c r="C28" s="45" t="n"/>
      <c r="D28" s="12">
        <f>IF(OR(B28="",C28=""),"",B28-C28)</f>
        <v/>
      </c>
      <c r="E28" s="45" t="n">
        <v>8500</v>
      </c>
      <c r="F28" s="12">
        <f>IF(B28="","",IF(B28&lt;=E28,1,IF(B28&lt;=E28+300,0,-1)))</f>
        <v/>
      </c>
      <c r="G28" s="3" t="n"/>
      <c r="H28" s="45" t="n"/>
    </row>
    <row r="29">
      <c r="A29" s="22">
        <f>INDEX(pq_tga_wtregen!$A:$A,COUNT(pq_tga_wtregen!$A:$A)-34+ROW())</f>
        <v/>
      </c>
      <c r="B29" s="45">
        <f>VLOOKUP(A29,pq_tga_wtregen!$A:$B,2,FALSE)</f>
        <v/>
      </c>
      <c r="C29" s="45" t="n"/>
      <c r="D29" s="12">
        <f>IF(OR(B29="",C29=""),"",B29-C29)</f>
        <v/>
      </c>
      <c r="E29" s="45" t="n">
        <v>8500</v>
      </c>
      <c r="F29" s="12">
        <f>IF(B29="","",IF(B29&lt;=E29,1,IF(B29&lt;=E29+300,0,-1)))</f>
        <v/>
      </c>
      <c r="G29" s="3" t="n"/>
      <c r="H29" s="45" t="n"/>
    </row>
    <row r="30">
      <c r="A30" s="22">
        <f>INDEX(pq_tga_wtregen!$A:$A,COUNT(pq_tga_wtregen!$A:$A)-34+ROW())</f>
        <v/>
      </c>
      <c r="B30" s="45">
        <f>VLOOKUP(A30,pq_tga_wtregen!$A:$B,2,FALSE)</f>
        <v/>
      </c>
      <c r="C30" s="45" t="n"/>
      <c r="D30" s="12">
        <f>IF(OR(B30="",C30=""),"",B30-C30)</f>
        <v/>
      </c>
      <c r="E30" s="45" t="n">
        <v>8500</v>
      </c>
      <c r="F30" s="12">
        <f>IF(B30="","",IF(B30&lt;=E30,1,IF(B30&lt;=E30+300,0,-1)))</f>
        <v/>
      </c>
      <c r="G30" s="3" t="n"/>
      <c r="H30" s="45" t="n"/>
    </row>
    <row r="31">
      <c r="A31" s="22">
        <f>INDEX(pq_tga_wtregen!$A:$A,COUNT(pq_tga_wtregen!$A:$A)-34+ROW())</f>
        <v/>
      </c>
      <c r="B31" s="45">
        <f>VLOOKUP(A31,pq_tga_wtregen!$A:$B,2,FALSE)</f>
        <v/>
      </c>
      <c r="C31" s="45" t="n"/>
      <c r="D31" s="12">
        <f>IF(OR(B31="",C31=""),"",B31-C31)</f>
        <v/>
      </c>
      <c r="E31" s="45" t="n">
        <v>8500</v>
      </c>
      <c r="F31" s="12">
        <f>IF(B31="","",IF(B31&lt;=E31,1,IF(B31&lt;=E31+300,0,-1)))</f>
        <v/>
      </c>
      <c r="G31" s="3" t="n"/>
      <c r="H31" s="45" t="n"/>
    </row>
    <row r="32">
      <c r="A32" s="22">
        <f>INDEX(pq_tga_wtregen!$A:$A,COUNT(pq_tga_wtregen!$A:$A)-34+ROW())</f>
        <v/>
      </c>
      <c r="B32" s="45">
        <f>VLOOKUP(A32,pq_tga_wtregen!$A:$B,2,FALSE)</f>
        <v/>
      </c>
      <c r="C32" s="45" t="n"/>
      <c r="D32" s="12">
        <f>IF(OR(B32="",C32=""),"",B32-C32)</f>
        <v/>
      </c>
      <c r="E32" s="45" t="n">
        <v>8500</v>
      </c>
      <c r="F32" s="12">
        <f>IF(B32="","",IF(B32&lt;=E32,1,IF(B32&lt;=E32+300,0,-1)))</f>
        <v/>
      </c>
      <c r="G32" s="3" t="n"/>
      <c r="H32" s="45" t="n"/>
    </row>
    <row r="33">
      <c r="A33" s="22">
        <f>INDEX(pq_tga_wtregen!$A:$A,COUNT(pq_tga_wtregen!$A:$A)-34+ROW())</f>
        <v/>
      </c>
      <c r="B33" s="45">
        <f>VLOOKUP(A33,pq_tga_wtregen!$A:$B,2,FALSE)</f>
        <v/>
      </c>
      <c r="C33" s="45" t="n"/>
      <c r="D33" s="12">
        <f>IF(OR(B33="",C33=""),"",B33-C33)</f>
        <v/>
      </c>
      <c r="E33" s="45" t="n">
        <v>8500</v>
      </c>
      <c r="F33" s="12">
        <f>IF(B33="","",IF(B33&lt;=E33,1,IF(B33&lt;=E33+300,0,-1)))</f>
        <v/>
      </c>
      <c r="G33" s="3" t="n"/>
      <c r="H33" s="45" t="n"/>
    </row>
    <row r="34">
      <c r="A34" s="22">
        <f>INDEX(pq_tga_wtregen!$A:$A,COUNT(pq_tga_wtregen!$A:$A)-34+ROW())</f>
        <v/>
      </c>
      <c r="B34" s="45">
        <f>VLOOKUP(A34,pq_tga_wtregen!$A:$B,2,FALSE)</f>
        <v/>
      </c>
      <c r="C34" s="45" t="n"/>
      <c r="D34" s="12">
        <f>IF(OR(B34="",C34=""),"",B34-C34)</f>
        <v/>
      </c>
      <c r="E34" s="45" t="n">
        <v>8500</v>
      </c>
      <c r="F34" s="12">
        <f>IF(B34="","",IF(B34&lt;=E34,1,IF(B34&lt;=E34+300,0,-1)))</f>
        <v/>
      </c>
      <c r="G34" s="3" t="n"/>
      <c r="H34" s="45" t="n"/>
    </row>
    <row r="35">
      <c r="A35" s="22">
        <f>INDEX(pq_tga_wtregen!$A:$A,COUNT(pq_tga_wtregen!$A:$A)-34+ROW())</f>
        <v/>
      </c>
      <c r="B35" s="45">
        <f>VLOOKUP(A35,pq_tga_wtregen!$A:$B,2,FALSE)</f>
        <v/>
      </c>
      <c r="C35" s="45" t="n"/>
      <c r="D35" s="12">
        <f>IF(OR(B35="",C35=""),"",B35-C35)</f>
        <v/>
      </c>
      <c r="E35" s="45" t="n">
        <v>8500</v>
      </c>
      <c r="F35" s="12">
        <f>IF(B35="","",IF(B35&lt;=E35,1,IF(B35&lt;=E35+300,0,-1)))</f>
        <v/>
      </c>
      <c r="G35" s="3" t="n"/>
      <c r="H35" s="45" t="n"/>
    </row>
    <row r="37">
      <c r="A37" s="26" t="inlineStr">
        <is>
          <t>RRP监控（可选）</t>
        </is>
      </c>
    </row>
    <row r="38" ht="43.2" customHeight="1" s="25">
      <c r="A38" s="34" t="inlineStr">
        <is>
          <t>日期</t>
        </is>
      </c>
      <c r="B38" s="34" t="inlineStr">
        <is>
          <t>RRP(亿美元) 输入</t>
        </is>
      </c>
      <c r="C38" s="34" t="inlineStr">
        <is>
          <t>上期RRP 输入</t>
        </is>
      </c>
      <c r="D38" s="34" t="inlineStr">
        <is>
          <t>RRP变化(公式)</t>
        </is>
      </c>
      <c r="E38" s="34" t="inlineStr">
        <is>
          <t>“见底”阈值(亿美元) 输入</t>
        </is>
      </c>
      <c r="F38" s="34" t="inlineStr">
        <is>
          <t>评分(公式)</t>
        </is>
      </c>
      <c r="G38" s="34" t="inlineStr">
        <is>
          <t>备注</t>
        </is>
      </c>
      <c r="H38" s="34" t="inlineStr">
        <is>
          <t>来源</t>
        </is>
      </c>
    </row>
    <row r="39">
      <c r="A39" s="22">
        <f>INDEX(pq_rrp_rrpontsyd!$A:$A,COUNT(pq_rrp_rrpontsyd!$A:$A)-20+ROW()-37)</f>
        <v/>
      </c>
      <c r="B39" s="45">
        <f>VLOOKUP(A39,查询3[#All],2,FALSE)</f>
        <v/>
      </c>
      <c r="C39" s="45" t="n"/>
      <c r="D39" s="12">
        <f>IF(OR(B39="",C39=""),"",B39-C39)</f>
        <v/>
      </c>
      <c r="E39" s="45" t="n">
        <v>1000</v>
      </c>
      <c r="F39" s="12">
        <f>IF(B39="","",IF(B39&lt;=E39,1,0))</f>
        <v/>
      </c>
      <c r="G39" s="3" t="n"/>
      <c r="H39" s="45" t="n"/>
    </row>
    <row r="40">
      <c r="A40" s="22">
        <f>INDEX(pq_rrp_rrpontsyd!$A:$A,COUNT(pq_rrp_rrpontsyd!$A:$A)-20+ROW()-37)</f>
        <v/>
      </c>
      <c r="B40" s="45">
        <f>VLOOKUP(A40,查询3[#All],2,FALSE)</f>
        <v/>
      </c>
      <c r="C40" s="45" t="n"/>
      <c r="D40" s="12">
        <f>IF(OR(B40="",C40=""),"",B40-C40)</f>
        <v/>
      </c>
      <c r="E40" s="45" t="n">
        <v>1000</v>
      </c>
      <c r="F40" s="12">
        <f>IF(B40="","",IF(B40&lt;=E40,1,0))</f>
        <v/>
      </c>
      <c r="G40" s="3" t="n"/>
      <c r="H40" s="45" t="n"/>
    </row>
    <row r="41">
      <c r="A41" s="22">
        <f>INDEX(pq_rrp_rrpontsyd!$A:$A,COUNT(pq_rrp_rrpontsyd!$A:$A)-20+ROW()-37)</f>
        <v/>
      </c>
      <c r="B41" s="45">
        <f>VLOOKUP(A41,查询3[#All],2,FALSE)</f>
        <v/>
      </c>
      <c r="C41" s="45" t="n"/>
      <c r="D41" s="12">
        <f>IF(OR(B41="",C41=""),"",B41-C41)</f>
        <v/>
      </c>
      <c r="E41" s="45" t="n">
        <v>1000</v>
      </c>
      <c r="F41" s="12">
        <f>IF(B41="","",IF(B41&lt;=E41,1,0))</f>
        <v/>
      </c>
      <c r="G41" s="3" t="n"/>
      <c r="H41" s="45" t="n"/>
    </row>
    <row r="42">
      <c r="A42" s="22">
        <f>INDEX(pq_rrp_rrpontsyd!$A:$A,COUNT(pq_rrp_rrpontsyd!$A:$A)-20+ROW()-37)</f>
        <v/>
      </c>
      <c r="B42" s="45">
        <f>VLOOKUP(A42,查询3[#All],2,FALSE)</f>
        <v/>
      </c>
      <c r="C42" s="45" t="n"/>
      <c r="D42" s="12">
        <f>IF(OR(B42="",C42=""),"",B42-C42)</f>
        <v/>
      </c>
      <c r="E42" s="45" t="n">
        <v>1000</v>
      </c>
      <c r="F42" s="12">
        <f>IF(B42="","",IF(B42&lt;=E42,1,0))</f>
        <v/>
      </c>
      <c r="G42" s="3" t="n"/>
      <c r="H42" s="45" t="n"/>
    </row>
    <row r="43">
      <c r="A43" s="22">
        <f>INDEX(pq_rrp_rrpontsyd!$A:$A,COUNT(pq_rrp_rrpontsyd!$A:$A)-20+ROW()-37)</f>
        <v/>
      </c>
      <c r="B43" s="45">
        <f>VLOOKUP(A43,查询3[#All],2,FALSE)</f>
        <v/>
      </c>
      <c r="C43" s="45" t="n"/>
      <c r="D43" s="12">
        <f>IF(OR(B43="",C43=""),"",B43-C43)</f>
        <v/>
      </c>
      <c r="E43" s="45" t="n">
        <v>1000</v>
      </c>
      <c r="F43" s="12">
        <f>IF(B43="","",IF(B43&lt;=E43,1,0))</f>
        <v/>
      </c>
      <c r="G43" s="3" t="n"/>
      <c r="H43" s="45" t="n"/>
    </row>
    <row r="44">
      <c r="A44" s="22">
        <f>INDEX(pq_rrp_rrpontsyd!$A:$A,COUNT(pq_rrp_rrpontsyd!$A:$A)-20+ROW()-37)</f>
        <v/>
      </c>
      <c r="B44" s="45">
        <f>VLOOKUP(A44,查询3[#All],2,FALSE)</f>
        <v/>
      </c>
      <c r="C44" s="45" t="n"/>
      <c r="D44" s="12">
        <f>IF(OR(B44="",C44=""),"",B44-C44)</f>
        <v/>
      </c>
      <c r="E44" s="45" t="n">
        <v>1000</v>
      </c>
      <c r="F44" s="12">
        <f>IF(B44="","",IF(B44&lt;=E44,1,0))</f>
        <v/>
      </c>
      <c r="G44" s="3" t="n"/>
      <c r="H44" s="45" t="n"/>
    </row>
    <row r="45">
      <c r="A45" s="22">
        <f>INDEX(pq_rrp_rrpontsyd!$A:$A,COUNT(pq_rrp_rrpontsyd!$A:$A)-20+ROW()-37)</f>
        <v/>
      </c>
      <c r="B45" s="45">
        <f>VLOOKUP(A45,查询3[#All],2,FALSE)</f>
        <v/>
      </c>
      <c r="C45" s="45" t="n"/>
      <c r="D45" s="12">
        <f>IF(OR(B45="",C45=""),"",B45-C45)</f>
        <v/>
      </c>
      <c r="E45" s="45" t="n">
        <v>1000</v>
      </c>
      <c r="F45" s="12">
        <f>IF(B45="","",IF(B45&lt;=E45,1,0))</f>
        <v/>
      </c>
      <c r="G45" s="3" t="n"/>
      <c r="H45" s="45" t="n"/>
    </row>
    <row r="46">
      <c r="A46" s="22">
        <f>INDEX(pq_rrp_rrpontsyd!$A:$A,COUNT(pq_rrp_rrpontsyd!$A:$A)-20+ROW()-37)</f>
        <v/>
      </c>
      <c r="B46" s="45">
        <f>VLOOKUP(A46,查询3[#All],2,FALSE)</f>
        <v/>
      </c>
      <c r="C46" s="45" t="n"/>
      <c r="D46" s="12">
        <f>IF(OR(B46="",C46=""),"",B46-C46)</f>
        <v/>
      </c>
      <c r="E46" s="45" t="n">
        <v>1000</v>
      </c>
      <c r="F46" s="12">
        <f>IF(B46="","",IF(B46&lt;=E46,1,0))</f>
        <v/>
      </c>
      <c r="G46" s="3" t="n"/>
      <c r="H46" s="45" t="n"/>
    </row>
    <row r="47">
      <c r="A47" s="22">
        <f>INDEX(pq_rrp_rrpontsyd!$A:$A,COUNT(pq_rrp_rrpontsyd!$A:$A)-20+ROW()-37)</f>
        <v/>
      </c>
      <c r="B47" s="45">
        <f>VLOOKUP(A47,查询3[#All],2,FALSE)</f>
        <v/>
      </c>
      <c r="C47" s="45" t="n"/>
      <c r="D47" s="12">
        <f>IF(OR(B47="",C47=""),"",B47-C47)</f>
        <v/>
      </c>
      <c r="E47" s="45" t="n">
        <v>1000</v>
      </c>
      <c r="F47" s="12">
        <f>IF(B47="","",IF(B47&lt;=E47,1,0))</f>
        <v/>
      </c>
      <c r="G47" s="3" t="n"/>
      <c r="H47" s="45" t="n"/>
    </row>
    <row r="48">
      <c r="A48" s="22">
        <f>INDEX(pq_rrp_rrpontsyd!$A:$A,COUNT(pq_rrp_rrpontsyd!$A:$A)-20+ROW()-37)</f>
        <v/>
      </c>
      <c r="B48" s="45">
        <f>VLOOKUP(A48,查询3[#All],2,FALSE)</f>
        <v/>
      </c>
      <c r="C48" s="45" t="n"/>
      <c r="D48" s="12">
        <f>IF(OR(B48="",C48=""),"",B48-C48)</f>
        <v/>
      </c>
      <c r="E48" s="45" t="n">
        <v>1000</v>
      </c>
      <c r="F48" s="12">
        <f>IF(B48="","",IF(B48&lt;=E48,1,0))</f>
        <v/>
      </c>
      <c r="G48" s="3" t="n"/>
      <c r="H48" s="45" t="n"/>
    </row>
    <row r="49">
      <c r="A49" s="22">
        <f>INDEX(pq_rrp_rrpontsyd!$A:$A,COUNT(pq_rrp_rrpontsyd!$A:$A)-20+ROW()-37)</f>
        <v/>
      </c>
      <c r="B49" s="45">
        <f>VLOOKUP(A49,查询3[#All],2,FALSE)</f>
        <v/>
      </c>
      <c r="C49" s="45" t="n"/>
      <c r="D49" s="12">
        <f>IF(OR(B49="",C49=""),"",B49-C49)</f>
        <v/>
      </c>
      <c r="E49" s="45" t="n">
        <v>1000</v>
      </c>
      <c r="F49" s="12">
        <f>IF(B49="","",IF(B49&lt;=E49,1,0))</f>
        <v/>
      </c>
      <c r="G49" s="3" t="n"/>
      <c r="H49" s="45" t="n"/>
    </row>
    <row r="50">
      <c r="A50" s="22">
        <f>INDEX(pq_rrp_rrpontsyd!$A:$A,COUNT(pq_rrp_rrpontsyd!$A:$A)-20+ROW()-37)</f>
        <v/>
      </c>
      <c r="B50" s="45">
        <f>VLOOKUP(A50,查询3[#All],2,FALSE)</f>
        <v/>
      </c>
      <c r="C50" s="45" t="n"/>
      <c r="D50" s="12">
        <f>IF(OR(B50="",C50=""),"",B50-C50)</f>
        <v/>
      </c>
      <c r="E50" s="45" t="n">
        <v>1000</v>
      </c>
      <c r="F50" s="12">
        <f>IF(B50="","",IF(B50&lt;=E50,1,0))</f>
        <v/>
      </c>
      <c r="G50" s="3" t="n"/>
      <c r="H50" s="45" t="n"/>
    </row>
    <row r="51">
      <c r="A51" s="22">
        <f>INDEX(pq_rrp_rrpontsyd!$A:$A,COUNT(pq_rrp_rrpontsyd!$A:$A)-20+ROW()-37)</f>
        <v/>
      </c>
      <c r="B51" s="45">
        <f>VLOOKUP(A51,查询3[#All],2,FALSE)</f>
        <v/>
      </c>
      <c r="C51" s="45" t="n"/>
      <c r="D51" s="12">
        <f>IF(OR(B51="",C51=""),"",B51-C51)</f>
        <v/>
      </c>
      <c r="E51" s="45" t="n">
        <v>1000</v>
      </c>
      <c r="F51" s="12">
        <f>IF(B51="","",IF(B51&lt;=E51,1,0))</f>
        <v/>
      </c>
      <c r="G51" s="3" t="n"/>
      <c r="H51" s="45" t="n"/>
    </row>
    <row r="52">
      <c r="A52" s="22">
        <f>INDEX(pq_rrp_rrpontsyd!$A:$A,COUNT(pq_rrp_rrpontsyd!$A:$A)-20+ROW()-37)</f>
        <v/>
      </c>
      <c r="B52" s="45">
        <f>VLOOKUP(A52,查询3[#All],2,FALSE)</f>
        <v/>
      </c>
      <c r="C52" s="45" t="n"/>
      <c r="D52" s="12">
        <f>IF(OR(B52="",C52=""),"",B52-C52)</f>
        <v/>
      </c>
      <c r="E52" s="45" t="n">
        <v>1000</v>
      </c>
      <c r="F52" s="12">
        <f>IF(B52="","",IF(B52&lt;=E52,1,0))</f>
        <v/>
      </c>
      <c r="G52" s="3" t="n"/>
      <c r="H52" s="45" t="n"/>
    </row>
    <row r="53">
      <c r="A53" s="22">
        <f>INDEX(pq_rrp_rrpontsyd!$A:$A,COUNT(pq_rrp_rrpontsyd!$A:$A)-20+ROW()-37)</f>
        <v/>
      </c>
      <c r="B53" s="45">
        <f>VLOOKUP(A53,查询3[#All],2,FALSE)</f>
        <v/>
      </c>
      <c r="C53" s="45" t="n"/>
      <c r="D53" s="12">
        <f>IF(OR(B53="",C53=""),"",B53-C53)</f>
        <v/>
      </c>
      <c r="E53" s="45" t="n">
        <v>1000</v>
      </c>
      <c r="F53" s="12">
        <f>IF(B53="","",IF(B53&lt;=E53,1,0))</f>
        <v/>
      </c>
      <c r="G53" s="3" t="n"/>
      <c r="H53" s="45" t="n"/>
    </row>
    <row r="54">
      <c r="A54" s="22">
        <f>INDEX(pq_rrp_rrpontsyd!$A:$A,COUNT(pq_rrp_rrpontsyd!$A:$A)-20+ROW()-37)</f>
        <v/>
      </c>
      <c r="B54" s="45">
        <f>VLOOKUP(A54,查询3[#All],2,FALSE)</f>
        <v/>
      </c>
      <c r="C54" s="45" t="n"/>
      <c r="D54" s="12">
        <f>IF(OR(B54="",C54=""),"",B54-C54)</f>
        <v/>
      </c>
      <c r="E54" s="45" t="n">
        <v>1000</v>
      </c>
      <c r="F54" s="12">
        <f>IF(B54="","",IF(B54&lt;=E54,1,0))</f>
        <v/>
      </c>
      <c r="G54" s="3" t="n"/>
      <c r="H54" s="45" t="n"/>
    </row>
    <row r="55">
      <c r="A55" s="22">
        <f>INDEX(pq_rrp_rrpontsyd!$A:$A,COUNT(pq_rrp_rrpontsyd!$A:$A)-20+ROW()-37)</f>
        <v/>
      </c>
      <c r="B55" s="45">
        <f>VLOOKUP(A55,查询3[#All],2,FALSE)</f>
        <v/>
      </c>
      <c r="C55" s="45" t="n"/>
      <c r="D55" s="12">
        <f>IF(OR(B55="",C55=""),"",B55-C55)</f>
        <v/>
      </c>
      <c r="E55" s="45" t="n">
        <v>1000</v>
      </c>
      <c r="F55" s="12">
        <f>IF(B55="","",IF(B55&lt;=E55,1,0))</f>
        <v/>
      </c>
      <c r="G55" s="3" t="n"/>
      <c r="H55" s="45" t="n"/>
    </row>
    <row r="56">
      <c r="A56" s="22">
        <f>INDEX(pq_rrp_rrpontsyd!$A:$A,COUNT(pq_rrp_rrpontsyd!$A:$A)-20+ROW()-37)</f>
        <v/>
      </c>
      <c r="B56" s="45">
        <f>VLOOKUP(A56,查询3[#All],2,FALSE)</f>
        <v/>
      </c>
      <c r="C56" s="45" t="n"/>
      <c r="D56" s="12">
        <f>IF(OR(B56="",C56=""),"",B56-C56)</f>
        <v/>
      </c>
      <c r="E56" s="45" t="n">
        <v>1000</v>
      </c>
      <c r="F56" s="12">
        <f>IF(B56="","",IF(B56&lt;=E56,1,0))</f>
        <v/>
      </c>
      <c r="G56" s="3" t="n"/>
      <c r="H56" s="45" t="n"/>
    </row>
    <row r="57">
      <c r="A57" s="22">
        <f>INDEX(pq_rrp_rrpontsyd!$A:$A,COUNT(pq_rrp_rrpontsyd!$A:$A)-20+ROW()-37)</f>
        <v/>
      </c>
      <c r="B57" s="45">
        <f>VLOOKUP(A57,查询3[#All],2,FALSE)</f>
        <v/>
      </c>
      <c r="C57" s="45" t="n"/>
      <c r="D57" s="12">
        <f>IF(OR(B57="",C57=""),"",B57-C57)</f>
        <v/>
      </c>
      <c r="E57" s="45" t="n">
        <v>1000</v>
      </c>
      <c r="F57" s="12">
        <f>IF(B57="","",IF(B57&lt;=E57,1,0))</f>
        <v/>
      </c>
      <c r="G57" s="3" t="n"/>
      <c r="H57" s="45" t="n"/>
    </row>
    <row r="58">
      <c r="A58" s="22">
        <f>INDEX(pq_rrp_rrpontsyd!$A:$A,COUNT(pq_rrp_rrpontsyd!$A:$A)-20+ROW()-37)</f>
        <v/>
      </c>
      <c r="B58" s="45">
        <f>VLOOKUP(A58,查询3[#All],2,FALSE)</f>
        <v/>
      </c>
      <c r="C58" s="45" t="n"/>
      <c r="D58" s="12">
        <f>IF(OR(B58="",C58=""),"",B58-C58)</f>
        <v/>
      </c>
      <c r="E58" s="45" t="n">
        <v>1000</v>
      </c>
      <c r="F58" s="12">
        <f>IF(B58="","",IF(B58&lt;=E58,1,0))</f>
        <v/>
      </c>
      <c r="G58" s="3" t="n"/>
      <c r="H58" s="45" t="n"/>
    </row>
  </sheetData>
  <mergeCells count="3">
    <mergeCell ref="A37:H37"/>
    <mergeCell ref="A2:H2"/>
    <mergeCell ref="A1:H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25"/>
  <sheetViews>
    <sheetView showGridLines="0" workbookViewId="0">
      <pane ySplit="5" topLeftCell="A6" activePane="bottomLeft" state="frozen"/>
      <selection pane="bottomLeft" activeCell="F6" sqref="F6"/>
    </sheetView>
  </sheetViews>
  <sheetFormatPr baseColWidth="8" defaultRowHeight="14.4"/>
  <cols>
    <col width="10" customWidth="1" style="25" min="1" max="1"/>
    <col width="18" customWidth="1" style="25" min="2" max="2"/>
    <col width="14" customWidth="1" style="25" min="3" max="7"/>
    <col width="18" customWidth="1" style="25" min="8" max="8"/>
    <col width="26" customWidth="1" style="25" min="9" max="9"/>
  </cols>
  <sheetData>
    <row r="1">
      <c r="A1" s="28" t="inlineStr">
        <is>
          <t>微观基本面（Mag 7）</t>
        </is>
      </c>
    </row>
    <row r="2">
      <c r="A2" s="27" t="inlineStr">
        <is>
          <t>每季财报后更新：EPS增速、AI占比、CapEx强度、利润率、FCF。用红线规则识别风险。</t>
        </is>
      </c>
    </row>
    <row r="3">
      <c r="A3" s="31" t="inlineStr">
        <is>
          <t>提示：成本增速 &gt; 营收增速通常触发“杀估值”；利润率( Margin )指引更关键。</t>
        </is>
      </c>
    </row>
    <row r="5" ht="28.8" customHeight="1" s="25">
      <c r="A5" s="34" t="inlineStr">
        <is>
          <t>Ticker</t>
        </is>
      </c>
      <c r="B5" s="34" t="inlineStr">
        <is>
          <t>公司</t>
        </is>
      </c>
      <c r="C5" s="34" t="inlineStr">
        <is>
          <t>EPS YoY(%) 输入</t>
        </is>
      </c>
      <c r="D5" s="34" t="inlineStr">
        <is>
          <t>预期EPS(%) 输入</t>
        </is>
      </c>
      <c r="E5" s="34" t="inlineStr">
        <is>
          <t>Surprise(公式)</t>
        </is>
      </c>
      <c r="F5" s="34" t="inlineStr">
        <is>
          <t>AI收入占比(%) 输入</t>
        </is>
      </c>
      <c r="G5" s="34" t="inlineStr">
        <is>
          <t>CapEx/Rev(%) 输入</t>
        </is>
      </c>
      <c r="H5" s="34" t="inlineStr">
        <is>
          <t>Margin QoQ(pp) 输入</t>
        </is>
      </c>
      <c r="I5" s="34" t="inlineStr">
        <is>
          <t>FCF YoY(%) 输入</t>
        </is>
      </c>
    </row>
    <row r="6">
      <c r="A6" s="5" t="inlineStr">
        <is>
          <t>AAPL</t>
        </is>
      </c>
      <c r="B6" s="3" t="inlineStr">
        <is>
          <t>Apple</t>
        </is>
      </c>
      <c r="C6" s="16">
        <f>IFERROR(((IFERROR(INDEX(pq_fh_earnings!$C:$C,MATCH($A6&amp;"|1",pq_fh_earnings!$G:$G,0)),""))-(IFERROR(INDEX(pq_fh_earnings!$C:$C,MATCH($A6&amp;"|5",pq_fh_earnings!$G:$G,0)),"")))/ABS(IFERROR(INDEX(pq_fh_earnings!$C:$C,MATCH($A6&amp;"|5",pq_fh_earnings!$G:$G,0)),""))*100,"")</f>
        <v/>
      </c>
      <c r="D6" s="16">
        <f>IFERROR(INDEX(pq_fh_earnings!$D:$D,MATCH($A6&amp;"|1",pq_fh_earnings!$G:$G,0)),"")</f>
        <v/>
      </c>
      <c r="E6" s="2">
        <f>IFERROR((INDEX(pq_fh_earnings!$C:$C,MATCH($A6&amp;"|1",pq_fh_earnings!$G:$G,0))-INDEX(pq_fh_earnings!$D:$D,MATCH($A6&amp;"|1",pq_fh_earnings!$G:$G,0)))/ABS(INDEX(pq_fh_earnings!$D:$D,MATCH($A6&amp;"|1",pq_fh_earnings!$G:$G,0)))*100,"")</f>
        <v/>
      </c>
      <c r="F6" s="16" t="n"/>
      <c r="G6" s="16">
        <f>IFERROR(INDEX(pq_fh_financials!$D:$D,MATCH($A6&amp;"|1",pq_fh_financials!$H:$H,0))/INDEX(pq_fh_financials!$C:$C,MATCH($A6&amp;"|1",pq_fh_financials!$H:$H,0))*100,"")</f>
        <v/>
      </c>
      <c r="H6" s="16">
        <f>IFERROR(INDEX(pq_fh_financials!$F:$F,MATCH($A6&amp;"|1",pq_fh_financials!$H:$H,0))-INDEX(pq_fh_financials!$F:$F,MATCH($A6&amp;"|2",pq_fh_financials!$H:$H,0)),"")</f>
        <v/>
      </c>
      <c r="I6" s="16">
        <f>IFERROR((INDEX(pq_fh_financials!$E:$E,MATCH($A6&amp;"|1",pq_fh_financials!$H:$H,0))-INDEX(pq_fh_financials!$E:$E,MATCH($A6&amp;"|5",pq_fh_financials!$H:$H,0)))/ABS(INDEX(pq_fh_financials!$E:$E,MATCH($A6&amp;"|5",pq_fh_financials!$H:$H,0)))*100,"")</f>
        <v/>
      </c>
    </row>
    <row r="7">
      <c r="A7" s="5" t="inlineStr">
        <is>
          <t>MSFT</t>
        </is>
      </c>
      <c r="B7" s="3" t="inlineStr">
        <is>
          <t>Microsoft</t>
        </is>
      </c>
      <c r="C7" s="16">
        <f>IFERROR(((IFERROR(INDEX(pq_fh_earnings!$C:$C,MATCH($A7&amp;"|1",pq_fh_earnings!$G:$G,0)),""))-(IFERROR(INDEX(pq_fh_earnings!$C:$C,MATCH($A7&amp;"|5",pq_fh_earnings!$G:$G,0)),"")))/ABS(IFERROR(INDEX(pq_fh_earnings!$C:$C,MATCH($A7&amp;"|5",pq_fh_earnings!$G:$G,0)),""))*100,"")</f>
        <v/>
      </c>
      <c r="D7" s="16">
        <f>IFERROR(INDEX(pq_fh_earnings!$D:$D,MATCH($A7&amp;"|1",pq_fh_earnings!$G:$G,0)),"")</f>
        <v/>
      </c>
      <c r="E7" s="2">
        <f>IFERROR((INDEX(pq_fh_earnings!$C:$C,MATCH($A7&amp;"|1",pq_fh_earnings!$G:$G,0))-INDEX(pq_fh_earnings!$D:$D,MATCH($A7&amp;"|1",pq_fh_earnings!$G:$G,0)))/ABS(INDEX(pq_fh_earnings!$D:$D,MATCH($A7&amp;"|1",pq_fh_earnings!$G:$G,0)))*100,"")</f>
        <v/>
      </c>
      <c r="F7" s="16" t="n"/>
      <c r="G7" s="16">
        <f>IFERROR(INDEX(pq_fh_financials!$D:$D,MATCH($A7&amp;"|1",pq_fh_financials!$H:$H,0))/INDEX(pq_fh_financials!$C:$C,MATCH($A7&amp;"|1",pq_fh_financials!$H:$H,0))*100,"")</f>
        <v/>
      </c>
      <c r="H7" s="16">
        <f>IFERROR(INDEX(pq_fh_financials!$F:$F,MATCH($A7&amp;"|1",pq_fh_financials!$H:$H,0))-INDEX(pq_fh_financials!$F:$F,MATCH($A7&amp;"|2",pq_fh_financials!$H:$H,0)),"")</f>
        <v/>
      </c>
      <c r="I7" s="16">
        <f>IFERROR((INDEX(pq_fh_financials!$E:$E,MATCH($A7&amp;"|1",pq_fh_financials!$H:$H,0))-INDEX(pq_fh_financials!$E:$E,MATCH($A7&amp;"|5",pq_fh_financials!$H:$H,0)))/ABS(INDEX(pq_fh_financials!$E:$E,MATCH($A7&amp;"|5",pq_fh_financials!$H:$H,0)))*100,"")</f>
        <v/>
      </c>
    </row>
    <row r="8">
      <c r="A8" s="5" t="inlineStr">
        <is>
          <t>NVDA</t>
        </is>
      </c>
      <c r="B8" s="3" t="inlineStr">
        <is>
          <t>NVIDIA</t>
        </is>
      </c>
      <c r="C8" s="16">
        <f>IFERROR(((IFERROR(INDEX(pq_fh_earnings!$C:$C,MATCH($A8&amp;"|1",pq_fh_earnings!$G:$G,0)),""))-(IFERROR(INDEX(pq_fh_earnings!$C:$C,MATCH($A8&amp;"|5",pq_fh_earnings!$G:$G,0)),"")))/ABS(IFERROR(INDEX(pq_fh_earnings!$C:$C,MATCH($A8&amp;"|5",pq_fh_earnings!$G:$G,0)),""))*100,"")</f>
        <v/>
      </c>
      <c r="D8" s="16">
        <f>IFERROR(INDEX(pq_fh_earnings!$D:$D,MATCH($A8&amp;"|1",pq_fh_earnings!$G:$G,0)),"")</f>
        <v/>
      </c>
      <c r="E8" s="2">
        <f>IFERROR((INDEX(pq_fh_earnings!$C:$C,MATCH($A8&amp;"|1",pq_fh_earnings!$G:$G,0))-INDEX(pq_fh_earnings!$D:$D,MATCH($A8&amp;"|1",pq_fh_earnings!$G:$G,0)))/ABS(INDEX(pq_fh_earnings!$D:$D,MATCH($A8&amp;"|1",pq_fh_earnings!$G:$G,0)))*100,"")</f>
        <v/>
      </c>
      <c r="F8" s="16" t="n"/>
      <c r="G8" s="16">
        <f>IFERROR(INDEX(pq_fh_financials!$D:$D,MATCH($A8&amp;"|1",pq_fh_financials!$H:$H,0))/INDEX(pq_fh_financials!$C:$C,MATCH($A8&amp;"|1",pq_fh_financials!$H:$H,0))*100,"")</f>
        <v/>
      </c>
      <c r="H8" s="16">
        <f>IFERROR(INDEX(pq_fh_financials!$F:$F,MATCH($A8&amp;"|1",pq_fh_financials!$H:$H,0))-INDEX(pq_fh_financials!$F:$F,MATCH($A8&amp;"|2",pq_fh_financials!$H:$H,0)),"")</f>
        <v/>
      </c>
      <c r="I8" s="16">
        <f>IFERROR((INDEX(pq_fh_financials!$E:$E,MATCH($A8&amp;"|1",pq_fh_financials!$H:$H,0))-INDEX(pq_fh_financials!$E:$E,MATCH($A8&amp;"|5",pq_fh_financials!$H:$H,0)))/ABS(INDEX(pq_fh_financials!$E:$E,MATCH($A8&amp;"|5",pq_fh_financials!$H:$H,0)))*100,"")</f>
        <v/>
      </c>
    </row>
    <row r="9">
      <c r="A9" s="5" t="inlineStr">
        <is>
          <t>GOOGL</t>
        </is>
      </c>
      <c r="B9" s="3" t="inlineStr">
        <is>
          <t>Alphabet</t>
        </is>
      </c>
      <c r="C9" s="16">
        <f>IFERROR(((IFERROR(INDEX(pq_fh_earnings!$C:$C,MATCH($A9&amp;"|1",pq_fh_earnings!$G:$G,0)),""))-(IFERROR(INDEX(pq_fh_earnings!$C:$C,MATCH($A9&amp;"|5",pq_fh_earnings!$G:$G,0)),"")))/ABS(IFERROR(INDEX(pq_fh_earnings!$C:$C,MATCH($A9&amp;"|5",pq_fh_earnings!$G:$G,0)),""))*100,"")</f>
        <v/>
      </c>
      <c r="D9" s="16">
        <f>IFERROR(INDEX(pq_fh_earnings!$D:$D,MATCH($A9&amp;"|1",pq_fh_earnings!$G:$G,0)),"")</f>
        <v/>
      </c>
      <c r="E9" s="2">
        <f>IFERROR((INDEX(pq_fh_earnings!$C:$C,MATCH($A9&amp;"|1",pq_fh_earnings!$G:$G,0))-INDEX(pq_fh_earnings!$D:$D,MATCH($A9&amp;"|1",pq_fh_earnings!$G:$G,0)))/ABS(INDEX(pq_fh_earnings!$D:$D,MATCH($A9&amp;"|1",pq_fh_earnings!$G:$G,0)))*100,"")</f>
        <v/>
      </c>
      <c r="F9" s="16" t="n"/>
      <c r="G9" s="16">
        <f>IFERROR(INDEX(pq_fh_financials!$D:$D,MATCH($A9&amp;"|1",pq_fh_financials!$H:$H,0))/INDEX(pq_fh_financials!$C:$C,MATCH($A9&amp;"|1",pq_fh_financials!$H:$H,0))*100,"")</f>
        <v/>
      </c>
      <c r="H9" s="16">
        <f>IFERROR(INDEX(pq_fh_financials!$F:$F,MATCH($A9&amp;"|1",pq_fh_financials!$H:$H,0))-INDEX(pq_fh_financials!$F:$F,MATCH($A9&amp;"|2",pq_fh_financials!$H:$H,0)),"")</f>
        <v/>
      </c>
      <c r="I9" s="16">
        <f>IFERROR((INDEX(pq_fh_financials!$E:$E,MATCH($A9&amp;"|1",pq_fh_financials!$H:$H,0))-INDEX(pq_fh_financials!$E:$E,MATCH($A9&amp;"|5",pq_fh_financials!$H:$H,0)))/ABS(INDEX(pq_fh_financials!$E:$E,MATCH($A9&amp;"|5",pq_fh_financials!$H:$H,0)))*100,"")</f>
        <v/>
      </c>
    </row>
    <row r="10">
      <c r="A10" s="5" t="inlineStr">
        <is>
          <t>AMZN</t>
        </is>
      </c>
      <c r="B10" s="3" t="inlineStr">
        <is>
          <t>Amazon</t>
        </is>
      </c>
      <c r="C10" s="16">
        <f>IFERROR(((IFERROR(INDEX(pq_fh_earnings!$C:$C,MATCH($A10&amp;"|1",pq_fh_earnings!$G:$G,0)),""))-(IFERROR(INDEX(pq_fh_earnings!$C:$C,MATCH($A10&amp;"|5",pq_fh_earnings!$G:$G,0)),"")))/ABS(IFERROR(INDEX(pq_fh_earnings!$C:$C,MATCH($A10&amp;"|5",pq_fh_earnings!$G:$G,0)),""))*100,"")</f>
        <v/>
      </c>
      <c r="D10" s="16">
        <f>IFERROR(INDEX(pq_fh_earnings!$D:$D,MATCH($A10&amp;"|1",pq_fh_earnings!$G:$G,0)),"")</f>
        <v/>
      </c>
      <c r="E10" s="2">
        <f>IFERROR((INDEX(pq_fh_earnings!$C:$C,MATCH($A10&amp;"|1",pq_fh_earnings!$G:$G,0))-INDEX(pq_fh_earnings!$D:$D,MATCH($A10&amp;"|1",pq_fh_earnings!$G:$G,0)))/ABS(INDEX(pq_fh_earnings!$D:$D,MATCH($A10&amp;"|1",pq_fh_earnings!$G:$G,0)))*100,"")</f>
        <v/>
      </c>
      <c r="F10" s="16" t="n"/>
      <c r="G10" s="16">
        <f>IFERROR(INDEX(pq_fh_financials!$D:$D,MATCH($A10&amp;"|1",pq_fh_financials!$H:$H,0))/INDEX(pq_fh_financials!$C:$C,MATCH($A10&amp;"|1",pq_fh_financials!$H:$H,0))*100,"")</f>
        <v/>
      </c>
      <c r="H10" s="16">
        <f>IFERROR(INDEX(pq_fh_financials!$F:$F,MATCH($A10&amp;"|1",pq_fh_financials!$H:$H,0))-INDEX(pq_fh_financials!$F:$F,MATCH($A10&amp;"|2",pq_fh_financials!$H:$H,0)),"")</f>
        <v/>
      </c>
      <c r="I10" s="16">
        <f>IFERROR((INDEX(pq_fh_financials!$E:$E,MATCH($A10&amp;"|1",pq_fh_financials!$H:$H,0))-INDEX(pq_fh_financials!$E:$E,MATCH($A10&amp;"|5",pq_fh_financials!$H:$H,0)))/ABS(INDEX(pq_fh_financials!$E:$E,MATCH($A10&amp;"|5",pq_fh_financials!$H:$H,0)))*100,"")</f>
        <v/>
      </c>
    </row>
    <row r="11">
      <c r="A11" s="5" t="inlineStr">
        <is>
          <t>META</t>
        </is>
      </c>
      <c r="B11" s="3" t="inlineStr">
        <is>
          <t>Meta</t>
        </is>
      </c>
      <c r="C11" s="16">
        <f>IFERROR(((IFERROR(INDEX(pq_fh_earnings!$C:$C,MATCH($A11&amp;"|1",pq_fh_earnings!$G:$G,0)),""))-(IFERROR(INDEX(pq_fh_earnings!$C:$C,MATCH($A11&amp;"|5",pq_fh_earnings!$G:$G,0)),"")))/ABS(IFERROR(INDEX(pq_fh_earnings!$C:$C,MATCH($A11&amp;"|5",pq_fh_earnings!$G:$G,0)),""))*100,"")</f>
        <v/>
      </c>
      <c r="D11" s="16">
        <f>IFERROR(INDEX(pq_fh_earnings!$D:$D,MATCH($A11&amp;"|1",pq_fh_earnings!$G:$G,0)),"")</f>
        <v/>
      </c>
      <c r="E11" s="2">
        <f>IFERROR((INDEX(pq_fh_earnings!$C:$C,MATCH($A11&amp;"|1",pq_fh_earnings!$G:$G,0))-INDEX(pq_fh_earnings!$D:$D,MATCH($A11&amp;"|1",pq_fh_earnings!$G:$G,0)))/ABS(INDEX(pq_fh_earnings!$D:$D,MATCH($A11&amp;"|1",pq_fh_earnings!$G:$G,0)))*100,"")</f>
        <v/>
      </c>
      <c r="F11" s="16" t="n"/>
      <c r="G11" s="16">
        <f>IFERROR(INDEX(pq_fh_financials!$D:$D,MATCH($A11&amp;"|1",pq_fh_financials!$H:$H,0))/INDEX(pq_fh_financials!$C:$C,MATCH($A11&amp;"|1",pq_fh_financials!$H:$H,0))*100,"")</f>
        <v/>
      </c>
      <c r="H11" s="16">
        <f>IFERROR(INDEX(pq_fh_financials!$F:$F,MATCH($A11&amp;"|1",pq_fh_financials!$H:$H,0))-INDEX(pq_fh_financials!$F:$F,MATCH($A11&amp;"|2",pq_fh_financials!$H:$H,0)),"")</f>
        <v/>
      </c>
      <c r="I11" s="16">
        <f>IFERROR((INDEX(pq_fh_financials!$E:$E,MATCH($A11&amp;"|1",pq_fh_financials!$H:$H,0))-INDEX(pq_fh_financials!$E:$E,MATCH($A11&amp;"|5",pq_fh_financials!$H:$H,0)))/ABS(INDEX(pq_fh_financials!$E:$E,MATCH($A11&amp;"|5",pq_fh_financials!$H:$H,0)))*100,"")</f>
        <v/>
      </c>
    </row>
    <row r="12">
      <c r="A12" s="5" t="inlineStr">
        <is>
          <t>TSLA</t>
        </is>
      </c>
      <c r="B12" s="3" t="inlineStr">
        <is>
          <t>Tesla</t>
        </is>
      </c>
      <c r="C12" s="16">
        <f>IFERROR(((IFERROR(INDEX(pq_fh_earnings!$C:$C,MATCH($A12&amp;"|1",pq_fh_earnings!$G:$G,0)),""))-(IFERROR(INDEX(pq_fh_earnings!$C:$C,MATCH($A12&amp;"|5",pq_fh_earnings!$G:$G,0)),"")))/ABS(IFERROR(INDEX(pq_fh_earnings!$C:$C,MATCH($A12&amp;"|5",pq_fh_earnings!$G:$G,0)),""))*100,"")</f>
        <v/>
      </c>
      <c r="D12" s="16">
        <f>IFERROR(INDEX(pq_fh_earnings!$D:$D,MATCH($A12&amp;"|1",pq_fh_earnings!$G:$G,0)),"")</f>
        <v/>
      </c>
      <c r="E12" s="2">
        <f>IFERROR((INDEX(pq_fh_earnings!$C:$C,MATCH($A12&amp;"|1",pq_fh_earnings!$G:$G,0))-INDEX(pq_fh_earnings!$D:$D,MATCH($A12&amp;"|1",pq_fh_earnings!$G:$G,0)))/ABS(INDEX(pq_fh_earnings!$D:$D,MATCH($A12&amp;"|1",pq_fh_earnings!$G:$G,0)))*100,"")</f>
        <v/>
      </c>
      <c r="F12" s="16" t="n"/>
      <c r="G12" s="16">
        <f>IFERROR(INDEX(pq_fh_financials!$D:$D,MATCH($A12&amp;"|1",pq_fh_financials!$H:$H,0))/INDEX(pq_fh_financials!$C:$C,MATCH($A12&amp;"|1",pq_fh_financials!$H:$H,0))*100,"")</f>
        <v/>
      </c>
      <c r="H12" s="16">
        <f>IFERROR(INDEX(pq_fh_financials!$F:$F,MATCH($A12&amp;"|1",pq_fh_financials!$H:$H,0))-INDEX(pq_fh_financials!$F:$F,MATCH($A12&amp;"|2",pq_fh_financials!$H:$H,0)),"")</f>
        <v/>
      </c>
      <c r="I12" s="16">
        <f>IFERROR((INDEX(pq_fh_financials!$E:$E,MATCH($A12&amp;"|1",pq_fh_financials!$H:$H,0))-INDEX(pq_fh_financials!$E:$E,MATCH($A12&amp;"|5",pq_fh_financials!$H:$H,0)))/ABS(INDEX(pq_fh_financials!$E:$E,MATCH($A12&amp;"|5",pq_fh_financials!$H:$H,0)))*100,"")</f>
        <v/>
      </c>
    </row>
    <row r="15">
      <c r="A15" s="26" t="inlineStr">
        <is>
          <t>Mag7综合得分（按“超预期+利润率+FCF”粗略打分，可自行改权重）</t>
        </is>
      </c>
    </row>
    <row r="16" ht="28.8" customHeight="1" s="25">
      <c r="A16" s="34" t="inlineStr">
        <is>
          <t>Ticker</t>
        </is>
      </c>
      <c r="B16" s="34" t="inlineStr">
        <is>
          <t>Surprise</t>
        </is>
      </c>
      <c r="C16" s="34" t="inlineStr">
        <is>
          <t>Margin QoQ</t>
        </is>
      </c>
      <c r="D16" s="34" t="inlineStr">
        <is>
          <t>FCF YoY</t>
        </is>
      </c>
      <c r="E16" s="34" t="inlineStr">
        <is>
          <t>单股得分(公式)</t>
        </is>
      </c>
      <c r="F16" s="34" t="inlineStr">
        <is>
          <t>权重(输入)</t>
        </is>
      </c>
      <c r="G16" s="34" t="inlineStr">
        <is>
          <t>加权得分(公式)</t>
        </is>
      </c>
      <c r="H16" s="34" t="inlineStr">
        <is>
          <t>备注</t>
        </is>
      </c>
      <c r="I16" s="34" t="n"/>
    </row>
    <row r="17">
      <c r="A17" s="5" t="inlineStr">
        <is>
          <t>AAPL</t>
        </is>
      </c>
      <c r="B17" s="2">
        <f>E6</f>
        <v/>
      </c>
      <c r="C17" s="2">
        <f>H6</f>
        <v/>
      </c>
      <c r="D17" s="2">
        <f>I6</f>
        <v/>
      </c>
      <c r="E17" s="2">
        <f>IFERROR(SIGN((IF(B17&gt;0,1,0)+IF(C17&gt;0,1,0)+IF(D17&gt;0,1,0))-1),"")</f>
        <v/>
      </c>
      <c r="F17" s="16" t="inlineStr">
        <is>
          <t>0.1429</t>
        </is>
      </c>
      <c r="G17" s="2">
        <f>IF(OR(E17="",F17=""),"",E17*F17)</f>
        <v/>
      </c>
      <c r="H17" s="3" t="n"/>
    </row>
    <row r="18">
      <c r="A18" s="5" t="inlineStr">
        <is>
          <t>MSFT</t>
        </is>
      </c>
      <c r="B18" s="2">
        <f>E7</f>
        <v/>
      </c>
      <c r="C18" s="2">
        <f>H7</f>
        <v/>
      </c>
      <c r="D18" s="2">
        <f>I7</f>
        <v/>
      </c>
      <c r="E18" s="2">
        <f>IFERROR(SIGN((IF(B18&gt;0,1,0)+IF(C18&gt;0,1,0)+IF(D18&gt;0,1,0))-1),"")</f>
        <v/>
      </c>
      <c r="F18" s="16" t="inlineStr">
        <is>
          <t>0.1429</t>
        </is>
      </c>
      <c r="G18" s="2">
        <f>IF(OR(E18="",F18=""),"",E18*F18)</f>
        <v/>
      </c>
      <c r="H18" s="3" t="n"/>
    </row>
    <row r="19">
      <c r="A19" s="5" t="inlineStr">
        <is>
          <t>NVDA</t>
        </is>
      </c>
      <c r="B19" s="2">
        <f>E8</f>
        <v/>
      </c>
      <c r="C19" s="2">
        <f>H8</f>
        <v/>
      </c>
      <c r="D19" s="2">
        <f>I8</f>
        <v/>
      </c>
      <c r="E19" s="2">
        <f>IFERROR(SIGN((IF(B19&gt;0,1,0)+IF(C19&gt;0,1,0)+IF(D19&gt;0,1,0))-1),"")</f>
        <v/>
      </c>
      <c r="F19" s="16" t="inlineStr">
        <is>
          <t>0.1429</t>
        </is>
      </c>
      <c r="G19" s="2">
        <f>IF(OR(E19="",F19=""),"",E19*F19)</f>
        <v/>
      </c>
      <c r="H19" s="3" t="n"/>
    </row>
    <row r="20">
      <c r="A20" s="5" t="inlineStr">
        <is>
          <t>GOOGL</t>
        </is>
      </c>
      <c r="B20" s="2">
        <f>E9</f>
        <v/>
      </c>
      <c r="C20" s="2">
        <f>H9</f>
        <v/>
      </c>
      <c r="D20" s="2">
        <f>I9</f>
        <v/>
      </c>
      <c r="E20" s="2">
        <f>IFERROR(SIGN((IF(B20&gt;0,1,0)+IF(C20&gt;0,1,0)+IF(D20&gt;0,1,0))-1),"")</f>
        <v/>
      </c>
      <c r="F20" s="16" t="inlineStr">
        <is>
          <t>0.1429</t>
        </is>
      </c>
      <c r="G20" s="2">
        <f>IF(OR(E20="",F20=""),"",E20*F20)</f>
        <v/>
      </c>
      <c r="H20" s="3" t="n"/>
    </row>
    <row r="21">
      <c r="A21" s="5" t="inlineStr">
        <is>
          <t>AMZN</t>
        </is>
      </c>
      <c r="B21" s="2">
        <f>E10</f>
        <v/>
      </c>
      <c r="C21" s="2">
        <f>H10</f>
        <v/>
      </c>
      <c r="D21" s="2">
        <f>I10</f>
        <v/>
      </c>
      <c r="E21" s="2">
        <f>IFERROR(SIGN((IF(B21&gt;0,1,0)+IF(C21&gt;0,1,0)+IF(D21&gt;0,1,0))-1),"")</f>
        <v/>
      </c>
      <c r="F21" s="16" t="inlineStr">
        <is>
          <t>0.1429</t>
        </is>
      </c>
      <c r="G21" s="2">
        <f>IF(OR(E21="",F21=""),"",E21*F21)</f>
        <v/>
      </c>
      <c r="H21" s="3" t="n"/>
    </row>
    <row r="22">
      <c r="A22" s="5" t="inlineStr">
        <is>
          <t>META</t>
        </is>
      </c>
      <c r="B22" s="2">
        <f>E11</f>
        <v/>
      </c>
      <c r="C22" s="2">
        <f>H11</f>
        <v/>
      </c>
      <c r="D22" s="2">
        <f>I11</f>
        <v/>
      </c>
      <c r="E22" s="2">
        <f>IFERROR(SIGN((IF(B22&gt;0,1,0)+IF(C22&gt;0,1,0)+IF(D22&gt;0,1,0))-1),"")</f>
        <v/>
      </c>
      <c r="F22" s="16" t="inlineStr">
        <is>
          <t>0.1429</t>
        </is>
      </c>
      <c r="G22" s="2">
        <f>IF(OR(E22="",F22=""),"",E22*F22)</f>
        <v/>
      </c>
      <c r="H22" s="3" t="n"/>
    </row>
    <row r="23">
      <c r="A23" s="5" t="inlineStr">
        <is>
          <t>TSLA</t>
        </is>
      </c>
      <c r="B23" s="2">
        <f>E12</f>
        <v/>
      </c>
      <c r="C23" s="2">
        <f>H12</f>
        <v/>
      </c>
      <c r="D23" s="2">
        <f>I12</f>
        <v/>
      </c>
      <c r="E23" s="2">
        <f>IFERROR(SIGN((IF(B23&gt;0,1,0)+IF(C23&gt;0,1,0)+IF(D23&gt;0,1,0))-1),"")</f>
        <v/>
      </c>
      <c r="F23" s="16" t="inlineStr">
        <is>
          <t>0.1429</t>
        </is>
      </c>
      <c r="G23" s="2">
        <f>IF(OR(E23="",F23=""),"",E23*F23)</f>
        <v/>
      </c>
      <c r="H23" s="3" t="n"/>
    </row>
    <row r="24">
      <c r="F24" s="15" t="inlineStr">
        <is>
          <t>权重合计</t>
        </is>
      </c>
      <c r="G24" s="14">
        <f>SUM(F17:F23)</f>
        <v/>
      </c>
    </row>
    <row r="25">
      <c r="F25" s="15" t="inlineStr">
        <is>
          <t>Mag7得分（加权）</t>
        </is>
      </c>
      <c r="G25" s="14">
        <f>SUM(G17:G23)</f>
        <v/>
      </c>
    </row>
  </sheetData>
  <mergeCells count="4">
    <mergeCell ref="A15:I15"/>
    <mergeCell ref="A2:H2"/>
    <mergeCell ref="A3:I3"/>
    <mergeCell ref="A1:H1"/>
  </mergeCells>
  <conditionalFormatting sqref="H6:H12">
    <cfRule type="cellIs" priority="1" operator="lessThan" dxfId="0">
      <formula>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1"/>
  <sheetViews>
    <sheetView showGridLines="0" workbookViewId="0">
      <pane ySplit="5" topLeftCell="A6" activePane="bottomLeft" state="frozen"/>
      <selection pane="bottomLeft" activeCell="A1" sqref="A1:H1"/>
    </sheetView>
  </sheetViews>
  <sheetFormatPr baseColWidth="8" defaultRowHeight="14.4"/>
  <cols>
    <col width="12" customWidth="1" style="25" min="1" max="1"/>
    <col width="10" customWidth="1" style="25" min="2" max="2"/>
    <col width="12" customWidth="1" style="25" min="3" max="5"/>
    <col width="14" customWidth="1" style="25" min="6" max="7"/>
    <col width="18" customWidth="1" style="25" min="8" max="8"/>
    <col width="24" customWidth="1" style="25" min="9" max="9"/>
  </cols>
  <sheetData>
    <row r="1">
      <c r="A1" s="28" t="inlineStr">
        <is>
          <t>价格行动（财报后反应）</t>
        </is>
      </c>
    </row>
    <row r="2">
      <c r="A2" s="27" t="inlineStr">
        <is>
          <t>记录“利好不涨 / 利空不跌”频率与板块联动性，用作牛熊转换最敏感信号。</t>
        </is>
      </c>
    </row>
    <row r="5" ht="28.8" customHeight="1" s="25">
      <c r="A5" s="34" t="inlineStr">
        <is>
          <t>日期</t>
        </is>
      </c>
      <c r="B5" s="34" t="inlineStr">
        <is>
          <t>Ticker</t>
        </is>
      </c>
      <c r="C5" s="34" t="inlineStr">
        <is>
          <t>EPS结果</t>
        </is>
      </c>
      <c r="D5" s="34" t="inlineStr">
        <is>
          <t>指引结果</t>
        </is>
      </c>
      <c r="E5" s="34" t="inlineStr">
        <is>
          <t>开盘反应</t>
        </is>
      </c>
      <c r="F5" s="34" t="inlineStr">
        <is>
          <t>收盘反应</t>
        </is>
      </c>
      <c r="G5" s="34" t="inlineStr">
        <is>
          <t>类型(公式)</t>
        </is>
      </c>
      <c r="H5" s="34" t="inlineStr">
        <is>
          <t>板块联动(0-1) 输入</t>
        </is>
      </c>
      <c r="I5" s="34" t="inlineStr">
        <is>
          <t>备注</t>
        </is>
      </c>
    </row>
    <row r="6">
      <c r="A6" s="16" t="n"/>
      <c r="B6" s="16" t="n"/>
      <c r="C6" s="16" t="n"/>
      <c r="D6" s="16" t="n"/>
      <c r="E6" s="16" t="n"/>
      <c r="F6" s="16" t="n"/>
      <c r="G6" s="2">
        <f>IF(OR(C6="",F6=""),"",IF(AND(OR(C6="Beat",D6="上修"),OR(F6="回落",F6="收跌")),"利好不涨",
IF(AND(OR(C6="Miss",D6="下修"),OR(F6="反弹",F6="震荡")),"利空不跌","正常")) )</f>
        <v/>
      </c>
      <c r="H6" s="16" t="n"/>
      <c r="I6" s="3" t="n"/>
    </row>
    <row r="7">
      <c r="A7" s="16" t="n"/>
      <c r="B7" s="16" t="n"/>
      <c r="C7" s="16" t="n"/>
      <c r="D7" s="16" t="n"/>
      <c r="E7" s="16" t="n"/>
      <c r="F7" s="16" t="n"/>
      <c r="G7" s="2">
        <f>IF(OR(C7="",F7=""),"",IF(AND(OR(C7="Beat",D7="上修"),OR(F7="回落",F7="收跌")),"利好不涨",
IF(AND(OR(C7="Miss",D7="下修"),OR(F7="反弹",F7="震荡")),"利空不跌","正常")) )</f>
        <v/>
      </c>
      <c r="H7" s="16" t="n"/>
      <c r="I7" s="3" t="n"/>
    </row>
    <row r="8">
      <c r="A8" s="16" t="n"/>
      <c r="B8" s="16" t="n"/>
      <c r="C8" s="16" t="n"/>
      <c r="D8" s="16" t="n"/>
      <c r="E8" s="16" t="n"/>
      <c r="F8" s="16" t="n"/>
      <c r="G8" s="2">
        <f>IF(OR(C8="",F8=""),"",IF(AND(OR(C8="Beat",D8="上修"),OR(F8="回落",F8="收跌")),"利好不涨",
IF(AND(OR(C8="Miss",D8="下修"),OR(F8="反弹",F8="震荡")),"利空不跌","正常")) )</f>
        <v/>
      </c>
      <c r="H8" s="16" t="n"/>
      <c r="I8" s="3" t="n"/>
    </row>
    <row r="9">
      <c r="A9" s="16" t="n"/>
      <c r="B9" s="16" t="n"/>
      <c r="C9" s="16" t="n"/>
      <c r="D9" s="16" t="n"/>
      <c r="E9" s="16" t="n"/>
      <c r="F9" s="16" t="n"/>
      <c r="G9" s="2">
        <f>IF(OR(C9="",F9=""),"",IF(AND(OR(C9="Beat",D9="上修"),OR(F9="回落",F9="收跌")),"利好不涨",
IF(AND(OR(C9="Miss",D9="下修"),OR(F9="反弹",F9="震荡")),"利空不跌","正常")) )</f>
        <v/>
      </c>
      <c r="H9" s="16" t="n"/>
      <c r="I9" s="3" t="n"/>
    </row>
    <row r="10">
      <c r="A10" s="16" t="n"/>
      <c r="B10" s="16" t="n"/>
      <c r="C10" s="16" t="n"/>
      <c r="D10" s="16" t="n"/>
      <c r="E10" s="16" t="n"/>
      <c r="F10" s="16" t="n"/>
      <c r="G10" s="2">
        <f>IF(OR(C10="",F10=""),"",IF(AND(OR(C10="Beat",D10="上修"),OR(F10="回落",F10="收跌")),"利好不涨",
IF(AND(OR(C10="Miss",D10="下修"),OR(F10="反弹",F10="震荡")),"利空不跌","正常")) )</f>
        <v/>
      </c>
      <c r="H10" s="16" t="n"/>
      <c r="I10" s="3" t="n"/>
    </row>
    <row r="11">
      <c r="A11" s="16" t="n"/>
      <c r="B11" s="16" t="n"/>
      <c r="C11" s="16" t="n"/>
      <c r="D11" s="16" t="n"/>
      <c r="E11" s="16" t="n"/>
      <c r="F11" s="16" t="n"/>
      <c r="G11" s="2">
        <f>IF(OR(C11="",F11=""),"",IF(AND(OR(C11="Beat",D11="上修"),OR(F11="回落",F11="收跌")),"利好不涨",
IF(AND(OR(C11="Miss",D11="下修"),OR(F11="反弹",F11="震荡")),"利空不跌","正常")) )</f>
        <v/>
      </c>
      <c r="H11" s="16" t="n"/>
      <c r="I11" s="3" t="n"/>
    </row>
    <row r="12">
      <c r="A12" s="16" t="n"/>
      <c r="B12" s="16" t="n"/>
      <c r="C12" s="16" t="n"/>
      <c r="D12" s="16" t="n"/>
      <c r="E12" s="16" t="n"/>
      <c r="F12" s="16" t="n"/>
      <c r="G12" s="2">
        <f>IF(OR(C12="",F12=""),"",IF(AND(OR(C12="Beat",D12="上修"),OR(F12="回落",F12="收跌")),"利好不涨",
IF(AND(OR(C12="Miss",D12="下修"),OR(F12="反弹",F12="震荡")),"利空不跌","正常")) )</f>
        <v/>
      </c>
      <c r="H12" s="16" t="n"/>
      <c r="I12" s="3" t="n"/>
    </row>
    <row r="13">
      <c r="A13" s="16" t="n"/>
      <c r="B13" s="16" t="n"/>
      <c r="C13" s="16" t="n"/>
      <c r="D13" s="16" t="n"/>
      <c r="E13" s="16" t="n"/>
      <c r="F13" s="16" t="n"/>
      <c r="G13" s="2">
        <f>IF(OR(C13="",F13=""),"",IF(AND(OR(C13="Beat",D13="上修"),OR(F13="回落",F13="收跌")),"利好不涨",
IF(AND(OR(C13="Miss",D13="下修"),OR(F13="反弹",F13="震荡")),"利空不跌","正常")) )</f>
        <v/>
      </c>
      <c r="H13" s="16" t="n"/>
      <c r="I13" s="3" t="n"/>
    </row>
    <row r="14">
      <c r="A14" s="16" t="n"/>
      <c r="B14" s="16" t="n"/>
      <c r="C14" s="16" t="n"/>
      <c r="D14" s="16" t="n"/>
      <c r="E14" s="16" t="n"/>
      <c r="F14" s="16" t="n"/>
      <c r="G14" s="2">
        <f>IF(OR(C14="",F14=""),"",IF(AND(OR(C14="Beat",D14="上修"),OR(F14="回落",F14="收跌")),"利好不涨",
IF(AND(OR(C14="Miss",D14="下修"),OR(F14="反弹",F14="震荡")),"利空不跌","正常")) )</f>
        <v/>
      </c>
      <c r="H14" s="16" t="n"/>
      <c r="I14" s="3" t="n"/>
    </row>
    <row r="15">
      <c r="A15" s="16" t="n"/>
      <c r="B15" s="16" t="n"/>
      <c r="C15" s="16" t="n"/>
      <c r="D15" s="16" t="n"/>
      <c r="E15" s="16" t="n"/>
      <c r="F15" s="16" t="n"/>
      <c r="G15" s="2">
        <f>IF(OR(C15="",F15=""),"",IF(AND(OR(C15="Beat",D15="上修"),OR(F15="回落",F15="收跌")),"利好不涨",
IF(AND(OR(C15="Miss",D15="下修"),OR(F15="反弹",F15="震荡")),"利空不跌","正常")) )</f>
        <v/>
      </c>
      <c r="H15" s="16" t="n"/>
      <c r="I15" s="3" t="n"/>
    </row>
    <row r="16">
      <c r="A16" s="16" t="n"/>
      <c r="B16" s="16" t="n"/>
      <c r="C16" s="16" t="n"/>
      <c r="D16" s="16" t="n"/>
      <c r="E16" s="16" t="n"/>
      <c r="F16" s="16" t="n"/>
      <c r="G16" s="2">
        <f>IF(OR(C16="",F16=""),"",IF(AND(OR(C16="Beat",D16="上修"),OR(F16="回落",F16="收跌")),"利好不涨",
IF(AND(OR(C16="Miss",D16="下修"),OR(F16="反弹",F16="震荡")),"利空不跌","正常")) )</f>
        <v/>
      </c>
      <c r="H16" s="16" t="n"/>
      <c r="I16" s="3" t="n"/>
    </row>
    <row r="17">
      <c r="A17" s="16" t="n"/>
      <c r="B17" s="16" t="n"/>
      <c r="C17" s="16" t="n"/>
      <c r="D17" s="16" t="n"/>
      <c r="E17" s="16" t="n"/>
      <c r="F17" s="16" t="n"/>
      <c r="G17" s="2">
        <f>IF(OR(C17="",F17=""),"",IF(AND(OR(C17="Beat",D17="上修"),OR(F17="回落",F17="收跌")),"利好不涨",
IF(AND(OR(C17="Miss",D17="下修"),OR(F17="反弹",F17="震荡")),"利空不跌","正常")) )</f>
        <v/>
      </c>
      <c r="H17" s="16" t="n"/>
      <c r="I17" s="3" t="n"/>
    </row>
    <row r="18">
      <c r="A18" s="16" t="n"/>
      <c r="B18" s="16" t="n"/>
      <c r="C18" s="16" t="n"/>
      <c r="D18" s="16" t="n"/>
      <c r="E18" s="16" t="n"/>
      <c r="F18" s="16" t="n"/>
      <c r="G18" s="2">
        <f>IF(OR(C18="",F18=""),"",IF(AND(OR(C18="Beat",D18="上修"),OR(F18="回落",F18="收跌")),"利好不涨",
IF(AND(OR(C18="Miss",D18="下修"),OR(F18="反弹",F18="震荡")),"利空不跌","正常")) )</f>
        <v/>
      </c>
      <c r="H18" s="16" t="n"/>
      <c r="I18" s="3" t="n"/>
    </row>
    <row r="19">
      <c r="A19" s="16" t="n"/>
      <c r="B19" s="16" t="n"/>
      <c r="C19" s="16" t="n"/>
      <c r="D19" s="16" t="n"/>
      <c r="E19" s="16" t="n"/>
      <c r="F19" s="16" t="n"/>
      <c r="G19" s="2">
        <f>IF(OR(C19="",F19=""),"",IF(AND(OR(C19="Beat",D19="上修"),OR(F19="回落",F19="收跌")),"利好不涨",
IF(AND(OR(C19="Miss",D19="下修"),OR(F19="反弹",F19="震荡")),"利空不跌","正常")) )</f>
        <v/>
      </c>
      <c r="H19" s="16" t="n"/>
      <c r="I19" s="3" t="n"/>
    </row>
    <row r="20">
      <c r="A20" s="16" t="n"/>
      <c r="B20" s="16" t="n"/>
      <c r="C20" s="16" t="n"/>
      <c r="D20" s="16" t="n"/>
      <c r="E20" s="16" t="n"/>
      <c r="F20" s="16" t="n"/>
      <c r="G20" s="2">
        <f>IF(OR(C20="",F20=""),"",IF(AND(OR(C20="Beat",D20="上修"),OR(F20="回落",F20="收跌")),"利好不涨",
IF(AND(OR(C20="Miss",D20="下修"),OR(F20="反弹",F20="震荡")),"利空不跌","正常")) )</f>
        <v/>
      </c>
      <c r="H20" s="16" t="n"/>
      <c r="I20" s="3" t="n"/>
    </row>
    <row r="21">
      <c r="A21" s="16" t="n"/>
      <c r="B21" s="16" t="n"/>
      <c r="C21" s="16" t="n"/>
      <c r="D21" s="16" t="n"/>
      <c r="E21" s="16" t="n"/>
      <c r="F21" s="16" t="n"/>
      <c r="G21" s="2">
        <f>IF(OR(C21="",F21=""),"",IF(AND(OR(C21="Beat",D21="上修"),OR(F21="回落",F21="收跌")),"利好不涨",
IF(AND(OR(C21="Miss",D21="下修"),OR(F21="反弹",F21="震荡")),"利空不跌","正常")) )</f>
        <v/>
      </c>
      <c r="H21" s="16" t="n"/>
      <c r="I21" s="3" t="n"/>
    </row>
    <row r="22">
      <c r="A22" s="16" t="n"/>
      <c r="B22" s="16" t="n"/>
      <c r="C22" s="16" t="n"/>
      <c r="D22" s="16" t="n"/>
      <c r="E22" s="16" t="n"/>
      <c r="F22" s="16" t="n"/>
      <c r="G22" s="2">
        <f>IF(OR(C22="",F22=""),"",IF(AND(OR(C22="Beat",D22="上修"),OR(F22="回落",F22="收跌")),"利好不涨",
IF(AND(OR(C22="Miss",D22="下修"),OR(F22="反弹",F22="震荡")),"利空不跌","正常")) )</f>
        <v/>
      </c>
      <c r="H22" s="16" t="n"/>
      <c r="I22" s="3" t="n"/>
    </row>
    <row r="23">
      <c r="A23" s="16" t="n"/>
      <c r="B23" s="16" t="n"/>
      <c r="C23" s="16" t="n"/>
      <c r="D23" s="16" t="n"/>
      <c r="E23" s="16" t="n"/>
      <c r="F23" s="16" t="n"/>
      <c r="G23" s="2">
        <f>IF(OR(C23="",F23=""),"",IF(AND(OR(C23="Beat",D23="上修"),OR(F23="回落",F23="收跌")),"利好不涨",
IF(AND(OR(C23="Miss",D23="下修"),OR(F23="反弹",F23="震荡")),"利空不跌","正常")) )</f>
        <v/>
      </c>
      <c r="H23" s="16" t="n"/>
      <c r="I23" s="3" t="n"/>
    </row>
    <row r="24">
      <c r="A24" s="16" t="n"/>
      <c r="B24" s="16" t="n"/>
      <c r="C24" s="16" t="n"/>
      <c r="D24" s="16" t="n"/>
      <c r="E24" s="16" t="n"/>
      <c r="F24" s="16" t="n"/>
      <c r="G24" s="2">
        <f>IF(OR(C24="",F24=""),"",IF(AND(OR(C24="Beat",D24="上修"),OR(F24="回落",F24="收跌")),"利好不涨",
IF(AND(OR(C24="Miss",D24="下修"),OR(F24="反弹",F24="震荡")),"利空不跌","正常")) )</f>
        <v/>
      </c>
      <c r="H24" s="16" t="n"/>
      <c r="I24" s="3" t="n"/>
    </row>
    <row r="25">
      <c r="A25" s="16" t="n"/>
      <c r="B25" s="16" t="n"/>
      <c r="C25" s="16" t="n"/>
      <c r="D25" s="16" t="n"/>
      <c r="E25" s="16" t="n"/>
      <c r="F25" s="16" t="n"/>
      <c r="G25" s="2">
        <f>IF(OR(C25="",F25=""),"",IF(AND(OR(C25="Beat",D25="上修"),OR(F25="回落",F25="收跌")),"利好不涨",
IF(AND(OR(C25="Miss",D25="下修"),OR(F25="反弹",F25="震荡")),"利空不跌","正常")) )</f>
        <v/>
      </c>
      <c r="H25" s="16" t="n"/>
      <c r="I25" s="3" t="n"/>
    </row>
    <row r="26">
      <c r="A26" s="16" t="n"/>
      <c r="B26" s="16" t="n"/>
      <c r="C26" s="16" t="n"/>
      <c r="D26" s="16" t="n"/>
      <c r="E26" s="16" t="n"/>
      <c r="F26" s="16" t="n"/>
      <c r="G26" s="2">
        <f>IF(OR(C26="",F26=""),"",IF(AND(OR(C26="Beat",D26="上修"),OR(F26="回落",F26="收跌")),"利好不涨",
IF(AND(OR(C26="Miss",D26="下修"),OR(F26="反弹",F26="震荡")),"利空不跌","正常")) )</f>
        <v/>
      </c>
      <c r="H26" s="16" t="n"/>
      <c r="I26" s="3" t="n"/>
    </row>
    <row r="27">
      <c r="A27" s="16" t="n"/>
      <c r="B27" s="16" t="n"/>
      <c r="C27" s="16" t="n"/>
      <c r="D27" s="16" t="n"/>
      <c r="E27" s="16" t="n"/>
      <c r="F27" s="16" t="n"/>
      <c r="G27" s="2">
        <f>IF(OR(C27="",F27=""),"",IF(AND(OR(C27="Beat",D27="上修"),OR(F27="回落",F27="收跌")),"利好不涨",
IF(AND(OR(C27="Miss",D27="下修"),OR(F27="反弹",F27="震荡")),"利空不跌","正常")) )</f>
        <v/>
      </c>
      <c r="H27" s="16" t="n"/>
      <c r="I27" s="3" t="n"/>
    </row>
    <row r="28">
      <c r="A28" s="16" t="n"/>
      <c r="B28" s="16" t="n"/>
      <c r="C28" s="16" t="n"/>
      <c r="D28" s="16" t="n"/>
      <c r="E28" s="16" t="n"/>
      <c r="F28" s="16" t="n"/>
      <c r="G28" s="2">
        <f>IF(OR(C28="",F28=""),"",IF(AND(OR(C28="Beat",D28="上修"),OR(F28="回落",F28="收跌")),"利好不涨",
IF(AND(OR(C28="Miss",D28="下修"),OR(F28="反弹",F28="震荡")),"利空不跌","正常")) )</f>
        <v/>
      </c>
      <c r="H28" s="16" t="n"/>
      <c r="I28" s="3" t="n"/>
    </row>
    <row r="29">
      <c r="A29" s="16" t="n"/>
      <c r="B29" s="16" t="n"/>
      <c r="C29" s="16" t="n"/>
      <c r="D29" s="16" t="n"/>
      <c r="E29" s="16" t="n"/>
      <c r="F29" s="16" t="n"/>
      <c r="G29" s="2">
        <f>IF(OR(C29="",F29=""),"",IF(AND(OR(C29="Beat",D29="上修"),OR(F29="回落",F29="收跌")),"利好不涨",
IF(AND(OR(C29="Miss",D29="下修"),OR(F29="反弹",F29="震荡")),"利空不跌","正常")) )</f>
        <v/>
      </c>
      <c r="H29" s="16" t="n"/>
      <c r="I29" s="3" t="n"/>
    </row>
    <row r="30">
      <c r="A30" s="16" t="n"/>
      <c r="B30" s="16" t="n"/>
      <c r="C30" s="16" t="n"/>
      <c r="D30" s="16" t="n"/>
      <c r="E30" s="16" t="n"/>
      <c r="F30" s="16" t="n"/>
      <c r="G30" s="2">
        <f>IF(OR(C30="",F30=""),"",IF(AND(OR(C30="Beat",D30="上修"),OR(F30="回落",F30="收跌")),"利好不涨",
IF(AND(OR(C30="Miss",D30="下修"),OR(F30="反弹",F30="震荡")),"利空不跌","正常")) )</f>
        <v/>
      </c>
      <c r="H30" s="16" t="n"/>
      <c r="I30" s="3" t="n"/>
    </row>
    <row r="31">
      <c r="A31" s="16" t="n"/>
      <c r="B31" s="16" t="n"/>
      <c r="C31" s="16" t="n"/>
      <c r="D31" s="16" t="n"/>
      <c r="E31" s="16" t="n"/>
      <c r="F31" s="16" t="n"/>
      <c r="G31" s="2">
        <f>IF(OR(C31="",F31=""),"",IF(AND(OR(C31="Beat",D31="上修"),OR(F31="回落",F31="收跌")),"利好不涨",
IF(AND(OR(C31="Miss",D31="下修"),OR(F31="反弹",F31="震荡")),"利空不跌","正常")) )</f>
        <v/>
      </c>
      <c r="H31" s="16" t="n"/>
      <c r="I31" s="3" t="n"/>
    </row>
    <row r="32">
      <c r="A32" s="16" t="n"/>
      <c r="B32" s="16" t="n"/>
      <c r="C32" s="16" t="n"/>
      <c r="D32" s="16" t="n"/>
      <c r="E32" s="16" t="n"/>
      <c r="F32" s="16" t="n"/>
      <c r="G32" s="2">
        <f>IF(OR(C32="",F32=""),"",IF(AND(OR(C32="Beat",D32="上修"),OR(F32="回落",F32="收跌")),"利好不涨",
IF(AND(OR(C32="Miss",D32="下修"),OR(F32="反弹",F32="震荡")),"利空不跌","正常")) )</f>
        <v/>
      </c>
      <c r="H32" s="16" t="n"/>
      <c r="I32" s="3" t="n"/>
    </row>
    <row r="33">
      <c r="A33" s="16" t="n"/>
      <c r="B33" s="16" t="n"/>
      <c r="C33" s="16" t="n"/>
      <c r="D33" s="16" t="n"/>
      <c r="E33" s="16" t="n"/>
      <c r="F33" s="16" t="n"/>
      <c r="G33" s="2">
        <f>IF(OR(C33="",F33=""),"",IF(AND(OR(C33="Beat",D33="上修"),OR(F33="回落",F33="收跌")),"利好不涨",
IF(AND(OR(C33="Miss",D33="下修"),OR(F33="反弹",F33="震荡")),"利空不跌","正常")) )</f>
        <v/>
      </c>
      <c r="H33" s="16" t="n"/>
      <c r="I33" s="3" t="n"/>
    </row>
    <row r="34">
      <c r="A34" s="16" t="n"/>
      <c r="B34" s="16" t="n"/>
      <c r="C34" s="16" t="n"/>
      <c r="D34" s="16" t="n"/>
      <c r="E34" s="16" t="n"/>
      <c r="F34" s="16" t="n"/>
      <c r="G34" s="2">
        <f>IF(OR(C34="",F34=""),"",IF(AND(OR(C34="Beat",D34="上修"),OR(F34="回落",F34="收跌")),"利好不涨",
IF(AND(OR(C34="Miss",D34="下修"),OR(F34="反弹",F34="震荡")),"利空不跌","正常")) )</f>
        <v/>
      </c>
      <c r="H34" s="16" t="n"/>
      <c r="I34" s="3" t="n"/>
    </row>
    <row r="35">
      <c r="A35" s="16" t="n"/>
      <c r="B35" s="16" t="n"/>
      <c r="C35" s="16" t="n"/>
      <c r="D35" s="16" t="n"/>
      <c r="E35" s="16" t="n"/>
      <c r="F35" s="16" t="n"/>
      <c r="G35" s="2">
        <f>IF(OR(C35="",F35=""),"",IF(AND(OR(C35="Beat",D35="上修"),OR(F35="回落",F35="收跌")),"利好不涨",
IF(AND(OR(C35="Miss",D35="下修"),OR(F35="反弹",F35="震荡")),"利空不跌","正常")) )</f>
        <v/>
      </c>
      <c r="H35" s="16" t="n"/>
      <c r="I35" s="3" t="n"/>
    </row>
    <row r="36">
      <c r="A36" s="16" t="n"/>
      <c r="B36" s="16" t="n"/>
      <c r="C36" s="16" t="n"/>
      <c r="D36" s="16" t="n"/>
      <c r="E36" s="16" t="n"/>
      <c r="F36" s="16" t="n"/>
      <c r="G36" s="2">
        <f>IF(OR(C36="",F36=""),"",IF(AND(OR(C36="Beat",D36="上修"),OR(F36="回落",F36="收跌")),"利好不涨",
IF(AND(OR(C36="Miss",D36="下修"),OR(F36="反弹",F36="震荡")),"利空不跌","正常")) )</f>
        <v/>
      </c>
      <c r="H36" s="16" t="n"/>
      <c r="I36" s="3" t="n"/>
    </row>
    <row r="37">
      <c r="A37" s="16" t="n"/>
      <c r="B37" s="16" t="n"/>
      <c r="C37" s="16" t="n"/>
      <c r="D37" s="16" t="n"/>
      <c r="E37" s="16" t="n"/>
      <c r="F37" s="16" t="n"/>
      <c r="G37" s="2">
        <f>IF(OR(C37="",F37=""),"",IF(AND(OR(C37="Beat",D37="上修"),OR(F37="回落",F37="收跌")),"利好不涨",
IF(AND(OR(C37="Miss",D37="下修"),OR(F37="反弹",F37="震荡")),"利空不跌","正常")) )</f>
        <v/>
      </c>
      <c r="H37" s="16" t="n"/>
      <c r="I37" s="3" t="n"/>
    </row>
    <row r="38">
      <c r="A38" s="16" t="n"/>
      <c r="B38" s="16" t="n"/>
      <c r="C38" s="16" t="n"/>
      <c r="D38" s="16" t="n"/>
      <c r="E38" s="16" t="n"/>
      <c r="F38" s="16" t="n"/>
      <c r="G38" s="2">
        <f>IF(OR(C38="",F38=""),"",IF(AND(OR(C38="Beat",D38="上修"),OR(F38="回落",F38="收跌")),"利好不涨",
IF(AND(OR(C38="Miss",D38="下修"),OR(F38="反弹",F38="震荡")),"利空不跌","正常")) )</f>
        <v/>
      </c>
      <c r="H38" s="16" t="n"/>
      <c r="I38" s="3" t="n"/>
    </row>
    <row r="39">
      <c r="A39" s="16" t="n"/>
      <c r="B39" s="16" t="n"/>
      <c r="C39" s="16" t="n"/>
      <c r="D39" s="16" t="n"/>
      <c r="E39" s="16" t="n"/>
      <c r="F39" s="16" t="n"/>
      <c r="G39" s="2">
        <f>IF(OR(C39="",F39=""),"",IF(AND(OR(C39="Beat",D39="上修"),OR(F39="回落",F39="收跌")),"利好不涨",
IF(AND(OR(C39="Miss",D39="下修"),OR(F39="反弹",F39="震荡")),"利空不跌","正常")) )</f>
        <v/>
      </c>
      <c r="H39" s="16" t="n"/>
      <c r="I39" s="3" t="n"/>
    </row>
    <row r="40">
      <c r="A40" s="16" t="n"/>
      <c r="B40" s="16" t="n"/>
      <c r="C40" s="16" t="n"/>
      <c r="D40" s="16" t="n"/>
      <c r="E40" s="16" t="n"/>
      <c r="F40" s="16" t="n"/>
      <c r="G40" s="2">
        <f>IF(OR(C40="",F40=""),"",IF(AND(OR(C40="Beat",D40="上修"),OR(F40="回落",F40="收跌")),"利好不涨",
IF(AND(OR(C40="Miss",D40="下修"),OR(F40="反弹",F40="震荡")),"利空不跌","正常")) )</f>
        <v/>
      </c>
      <c r="H40" s="16" t="n"/>
      <c r="I40" s="3" t="n"/>
    </row>
    <row r="41">
      <c r="A41" s="16" t="n"/>
      <c r="B41" s="16" t="n"/>
      <c r="C41" s="16" t="n"/>
      <c r="D41" s="16" t="n"/>
      <c r="E41" s="16" t="n"/>
      <c r="F41" s="16" t="n"/>
      <c r="G41" s="2">
        <f>IF(OR(C41="",F41=""),"",IF(AND(OR(C41="Beat",D41="上修"),OR(F41="回落",F41="收跌")),"利好不涨",
IF(AND(OR(C41="Miss",D41="下修"),OR(F41="反弹",F41="震荡")),"利空不跌","正常")) )</f>
        <v/>
      </c>
      <c r="H41" s="16" t="n"/>
      <c r="I41" s="3" t="n"/>
    </row>
    <row r="42">
      <c r="A42" s="16" t="n"/>
      <c r="B42" s="16" t="n"/>
      <c r="C42" s="16" t="n"/>
      <c r="D42" s="16" t="n"/>
      <c r="E42" s="16" t="n"/>
      <c r="F42" s="16" t="n"/>
      <c r="G42" s="2">
        <f>IF(OR(C42="",F42=""),"",IF(AND(OR(C42="Beat",D42="上修"),OR(F42="回落",F42="收跌")),"利好不涨",
IF(AND(OR(C42="Miss",D42="下修"),OR(F42="反弹",F42="震荡")),"利空不跌","正常")) )</f>
        <v/>
      </c>
      <c r="H42" s="16" t="n"/>
      <c r="I42" s="3" t="n"/>
    </row>
    <row r="43">
      <c r="A43" s="16" t="n"/>
      <c r="B43" s="16" t="n"/>
      <c r="C43" s="16" t="n"/>
      <c r="D43" s="16" t="n"/>
      <c r="E43" s="16" t="n"/>
      <c r="F43" s="16" t="n"/>
      <c r="G43" s="2">
        <f>IF(OR(C43="",F43=""),"",IF(AND(OR(C43="Beat",D43="上修"),OR(F43="回落",F43="收跌")),"利好不涨",
IF(AND(OR(C43="Miss",D43="下修"),OR(F43="反弹",F43="震荡")),"利空不跌","正常")) )</f>
        <v/>
      </c>
      <c r="H43" s="16" t="n"/>
      <c r="I43" s="3" t="n"/>
    </row>
    <row r="44">
      <c r="A44" s="16" t="n"/>
      <c r="B44" s="16" t="n"/>
      <c r="C44" s="16" t="n"/>
      <c r="D44" s="16" t="n"/>
      <c r="E44" s="16" t="n"/>
      <c r="F44" s="16" t="n"/>
      <c r="G44" s="2">
        <f>IF(OR(C44="",F44=""),"",IF(AND(OR(C44="Beat",D44="上修"),OR(F44="回落",F44="收跌")),"利好不涨",
IF(AND(OR(C44="Miss",D44="下修"),OR(F44="反弹",F44="震荡")),"利空不跌","正常")) )</f>
        <v/>
      </c>
      <c r="H44" s="16" t="n"/>
      <c r="I44" s="3" t="n"/>
    </row>
    <row r="45">
      <c r="A45" s="16" t="n"/>
      <c r="B45" s="16" t="n"/>
      <c r="C45" s="16" t="n"/>
      <c r="D45" s="16" t="n"/>
      <c r="E45" s="16" t="n"/>
      <c r="F45" s="16" t="n"/>
      <c r="G45" s="2">
        <f>IF(OR(C45="",F45=""),"",IF(AND(OR(C45="Beat",D45="上修"),OR(F45="回落",F45="收跌")),"利好不涨",
IF(AND(OR(C45="Miss",D45="下修"),OR(F45="反弹",F45="震荡")),"利空不跌","正常")) )</f>
        <v/>
      </c>
      <c r="H45" s="16" t="n"/>
      <c r="I45" s="3" t="n"/>
    </row>
    <row r="46">
      <c r="A46" s="16" t="n"/>
      <c r="B46" s="16" t="n"/>
      <c r="C46" s="16" t="n"/>
      <c r="D46" s="16" t="n"/>
      <c r="E46" s="16" t="n"/>
      <c r="F46" s="16" t="n"/>
      <c r="G46" s="2">
        <f>IF(OR(C46="",F46=""),"",IF(AND(OR(C46="Beat",D46="上修"),OR(F46="回落",F46="收跌")),"利好不涨",
IF(AND(OR(C46="Miss",D46="下修"),OR(F46="反弹",F46="震荡")),"利空不跌","正常")) )</f>
        <v/>
      </c>
      <c r="H46" s="16" t="n"/>
      <c r="I46" s="3" t="n"/>
    </row>
    <row r="47">
      <c r="A47" s="16" t="n"/>
      <c r="B47" s="16" t="n"/>
      <c r="C47" s="16" t="n"/>
      <c r="D47" s="16" t="n"/>
      <c r="E47" s="16" t="n"/>
      <c r="F47" s="16" t="n"/>
      <c r="G47" s="2">
        <f>IF(OR(C47="",F47=""),"",IF(AND(OR(C47="Beat",D47="上修"),OR(F47="回落",F47="收跌")),"利好不涨",
IF(AND(OR(C47="Miss",D47="下修"),OR(F47="反弹",F47="震荡")),"利空不跌","正常")) )</f>
        <v/>
      </c>
      <c r="H47" s="16" t="n"/>
      <c r="I47" s="3" t="n"/>
    </row>
    <row r="48">
      <c r="A48" s="16" t="n"/>
      <c r="B48" s="16" t="n"/>
      <c r="C48" s="16" t="n"/>
      <c r="D48" s="16" t="n"/>
      <c r="E48" s="16" t="n"/>
      <c r="F48" s="16" t="n"/>
      <c r="G48" s="2">
        <f>IF(OR(C48="",F48=""),"",IF(AND(OR(C48="Beat",D48="上修"),OR(F48="回落",F48="收跌")),"利好不涨",
IF(AND(OR(C48="Miss",D48="下修"),OR(F48="反弹",F48="震荡")),"利空不跌","正常")) )</f>
        <v/>
      </c>
      <c r="H48" s="16" t="n"/>
      <c r="I48" s="3" t="n"/>
    </row>
    <row r="49">
      <c r="A49" s="16" t="n"/>
      <c r="B49" s="16" t="n"/>
      <c r="C49" s="16" t="n"/>
      <c r="D49" s="16" t="n"/>
      <c r="E49" s="16" t="n"/>
      <c r="F49" s="16" t="n"/>
      <c r="G49" s="2">
        <f>IF(OR(C49="",F49=""),"",IF(AND(OR(C49="Beat",D49="上修"),OR(F49="回落",F49="收跌")),"利好不涨",
IF(AND(OR(C49="Miss",D49="下修"),OR(F49="反弹",F49="震荡")),"利空不跌","正常")) )</f>
        <v/>
      </c>
      <c r="H49" s="16" t="n"/>
      <c r="I49" s="3" t="n"/>
    </row>
    <row r="50">
      <c r="A50" s="16" t="n"/>
      <c r="B50" s="16" t="n"/>
      <c r="C50" s="16" t="n"/>
      <c r="D50" s="16" t="n"/>
      <c r="E50" s="16" t="n"/>
      <c r="F50" s="16" t="n"/>
      <c r="G50" s="2">
        <f>IF(OR(C50="",F50=""),"",IF(AND(OR(C50="Beat",D50="上修"),OR(F50="回落",F50="收跌")),"利好不涨",
IF(AND(OR(C50="Miss",D50="下修"),OR(F50="反弹",F50="震荡")),"利空不跌","正常")) )</f>
        <v/>
      </c>
      <c r="H50" s="16" t="n"/>
      <c r="I50" s="3" t="n"/>
    </row>
    <row r="51">
      <c r="A51" s="16" t="n"/>
      <c r="B51" s="16" t="n"/>
      <c r="C51" s="16" t="n"/>
      <c r="D51" s="16" t="n"/>
      <c r="E51" s="16" t="n"/>
      <c r="F51" s="16" t="n"/>
      <c r="G51" s="2">
        <f>IF(OR(C51="",F51=""),"",IF(AND(OR(C51="Beat",D51="上修"),OR(F51="回落",F51="收跌")),"利好不涨",
IF(AND(OR(C51="Miss",D51="下修"),OR(F51="反弹",F51="震荡")),"利空不跌","正常")) )</f>
        <v/>
      </c>
      <c r="H51" s="16" t="n"/>
      <c r="I51" s="3" t="n"/>
    </row>
    <row r="52">
      <c r="A52" s="16" t="n"/>
      <c r="B52" s="16" t="n"/>
      <c r="C52" s="16" t="n"/>
      <c r="D52" s="16" t="n"/>
      <c r="E52" s="16" t="n"/>
      <c r="F52" s="16" t="n"/>
      <c r="G52" s="2">
        <f>IF(OR(C52="",F52=""),"",IF(AND(OR(C52="Beat",D52="上修"),OR(F52="回落",F52="收跌")),"利好不涨",
IF(AND(OR(C52="Miss",D52="下修"),OR(F52="反弹",F52="震荡")),"利空不跌","正常")) )</f>
        <v/>
      </c>
      <c r="H52" s="16" t="n"/>
      <c r="I52" s="3" t="n"/>
    </row>
    <row r="53">
      <c r="A53" s="16" t="n"/>
      <c r="B53" s="16" t="n"/>
      <c r="C53" s="16" t="n"/>
      <c r="D53" s="16" t="n"/>
      <c r="E53" s="16" t="n"/>
      <c r="F53" s="16" t="n"/>
      <c r="G53" s="2">
        <f>IF(OR(C53="",F53=""),"",IF(AND(OR(C53="Beat",D53="上修"),OR(F53="回落",F53="收跌")),"利好不涨",
IF(AND(OR(C53="Miss",D53="下修"),OR(F53="反弹",F53="震荡")),"利空不跌","正常")) )</f>
        <v/>
      </c>
      <c r="H53" s="16" t="n"/>
      <c r="I53" s="3" t="n"/>
    </row>
    <row r="54">
      <c r="A54" s="16" t="n"/>
      <c r="B54" s="16" t="n"/>
      <c r="C54" s="16" t="n"/>
      <c r="D54" s="16" t="n"/>
      <c r="E54" s="16" t="n"/>
      <c r="F54" s="16" t="n"/>
      <c r="G54" s="2">
        <f>IF(OR(C54="",F54=""),"",IF(AND(OR(C54="Beat",D54="上修"),OR(F54="回落",F54="收跌")),"利好不涨",
IF(AND(OR(C54="Miss",D54="下修"),OR(F54="反弹",F54="震荡")),"利空不跌","正常")) )</f>
        <v/>
      </c>
      <c r="H54" s="16" t="n"/>
      <c r="I54" s="3" t="n"/>
    </row>
    <row r="55">
      <c r="A55" s="16" t="n"/>
      <c r="B55" s="16" t="n"/>
      <c r="C55" s="16" t="n"/>
      <c r="D55" s="16" t="n"/>
      <c r="E55" s="16" t="n"/>
      <c r="F55" s="16" t="n"/>
      <c r="G55" s="2">
        <f>IF(OR(C55="",F55=""),"",IF(AND(OR(C55="Beat",D55="上修"),OR(F55="回落",F55="收跌")),"利好不涨",
IF(AND(OR(C55="Miss",D55="下修"),OR(F55="反弹",F55="震荡")),"利空不跌","正常")) )</f>
        <v/>
      </c>
      <c r="H55" s="16" t="n"/>
      <c r="I55" s="3" t="n"/>
    </row>
    <row r="56">
      <c r="A56" s="16" t="n"/>
      <c r="B56" s="16" t="n"/>
      <c r="C56" s="16" t="n"/>
      <c r="D56" s="16" t="n"/>
      <c r="E56" s="16" t="n"/>
      <c r="F56" s="16" t="n"/>
      <c r="G56" s="2">
        <f>IF(OR(C56="",F56=""),"",IF(AND(OR(C56="Beat",D56="上修"),OR(F56="回落",F56="收跌")),"利好不涨",
IF(AND(OR(C56="Miss",D56="下修"),OR(F56="反弹",F56="震荡")),"利空不跌","正常")) )</f>
        <v/>
      </c>
      <c r="H56" s="16" t="n"/>
      <c r="I56" s="3" t="n"/>
    </row>
    <row r="57">
      <c r="A57" s="16" t="n"/>
      <c r="B57" s="16" t="n"/>
      <c r="C57" s="16" t="n"/>
      <c r="D57" s="16" t="n"/>
      <c r="E57" s="16" t="n"/>
      <c r="F57" s="16" t="n"/>
      <c r="G57" s="2">
        <f>IF(OR(C57="",F57=""),"",IF(AND(OR(C57="Beat",D57="上修"),OR(F57="回落",F57="收跌")),"利好不涨",
IF(AND(OR(C57="Miss",D57="下修"),OR(F57="反弹",F57="震荡")),"利空不跌","正常")) )</f>
        <v/>
      </c>
      <c r="H57" s="16" t="n"/>
      <c r="I57" s="3" t="n"/>
    </row>
    <row r="58">
      <c r="A58" s="16" t="n"/>
      <c r="B58" s="16" t="n"/>
      <c r="C58" s="16" t="n"/>
      <c r="D58" s="16" t="n"/>
      <c r="E58" s="16" t="n"/>
      <c r="F58" s="16" t="n"/>
      <c r="G58" s="2">
        <f>IF(OR(C58="",F58=""),"",IF(AND(OR(C58="Beat",D58="上修"),OR(F58="回落",F58="收跌")),"利好不涨",
IF(AND(OR(C58="Miss",D58="下修"),OR(F58="反弹",F58="震荡")),"利空不跌","正常")) )</f>
        <v/>
      </c>
      <c r="H58" s="16" t="n"/>
      <c r="I58" s="3" t="n"/>
    </row>
    <row r="59">
      <c r="A59" s="16" t="n"/>
      <c r="B59" s="16" t="n"/>
      <c r="C59" s="16" t="n"/>
      <c r="D59" s="16" t="n"/>
      <c r="E59" s="16" t="n"/>
      <c r="F59" s="16" t="n"/>
      <c r="G59" s="2">
        <f>IF(OR(C59="",F59=""),"",IF(AND(OR(C59="Beat",D59="上修"),OR(F59="回落",F59="收跌")),"利好不涨",
IF(AND(OR(C59="Miss",D59="下修"),OR(F59="反弹",F59="震荡")),"利空不跌","正常")) )</f>
        <v/>
      </c>
      <c r="H59" s="16" t="n"/>
      <c r="I59" s="3" t="n"/>
    </row>
    <row r="60">
      <c r="A60" s="16" t="n"/>
      <c r="B60" s="16" t="n"/>
      <c r="C60" s="16" t="n"/>
      <c r="D60" s="16" t="n"/>
      <c r="E60" s="16" t="n"/>
      <c r="F60" s="16" t="n"/>
      <c r="G60" s="2">
        <f>IF(OR(C60="",F60=""),"",IF(AND(OR(C60="Beat",D60="上修"),OR(F60="回落",F60="收跌")),"利好不涨",
IF(AND(OR(C60="Miss",D60="下修"),OR(F60="反弹",F60="震荡")),"利空不跌","正常")) )</f>
        <v/>
      </c>
      <c r="H60" s="16" t="n"/>
      <c r="I60" s="3" t="n"/>
    </row>
    <row r="61">
      <c r="A61" s="16" t="n"/>
      <c r="B61" s="16" t="n"/>
      <c r="C61" s="16" t="n"/>
      <c r="D61" s="16" t="n"/>
      <c r="E61" s="16" t="n"/>
      <c r="F61" s="16" t="n"/>
      <c r="G61" s="2">
        <f>IF(OR(C61="",F61=""),"",IF(AND(OR(C61="Beat",D61="上修"),OR(F61="回落",F61="收跌")),"利好不涨",
IF(AND(OR(C61="Miss",D61="下修"),OR(F61="反弹",F61="震荡")),"利空不跌","正常")) )</f>
        <v/>
      </c>
      <c r="H61" s="16" t="n"/>
      <c r="I61" s="3" t="n"/>
    </row>
    <row r="62">
      <c r="A62" s="16" t="n"/>
      <c r="B62" s="16" t="n"/>
      <c r="C62" s="16" t="n"/>
      <c r="D62" s="16" t="n"/>
      <c r="E62" s="16" t="n"/>
      <c r="F62" s="16" t="n"/>
      <c r="G62" s="2">
        <f>IF(OR(C62="",F62=""),"",IF(AND(OR(C62="Beat",D62="上修"),OR(F62="回落",F62="收跌")),"利好不涨",
IF(AND(OR(C62="Miss",D62="下修"),OR(F62="反弹",F62="震荡")),"利空不跌","正常")) )</f>
        <v/>
      </c>
      <c r="H62" s="16" t="n"/>
      <c r="I62" s="3" t="n"/>
    </row>
    <row r="63">
      <c r="A63" s="16" t="n"/>
      <c r="B63" s="16" t="n"/>
      <c r="C63" s="16" t="n"/>
      <c r="D63" s="16" t="n"/>
      <c r="E63" s="16" t="n"/>
      <c r="F63" s="16" t="n"/>
      <c r="G63" s="2">
        <f>IF(OR(C63="",F63=""),"",IF(AND(OR(C63="Beat",D63="上修"),OR(F63="回落",F63="收跌")),"利好不涨",
IF(AND(OR(C63="Miss",D63="下修"),OR(F63="反弹",F63="震荡")),"利空不跌","正常")) )</f>
        <v/>
      </c>
      <c r="H63" s="16" t="n"/>
      <c r="I63" s="3" t="n"/>
    </row>
    <row r="64">
      <c r="A64" s="16" t="n"/>
      <c r="B64" s="16" t="n"/>
      <c r="C64" s="16" t="n"/>
      <c r="D64" s="16" t="n"/>
      <c r="E64" s="16" t="n"/>
      <c r="F64" s="16" t="n"/>
      <c r="G64" s="2">
        <f>IF(OR(C64="",F64=""),"",IF(AND(OR(C64="Beat",D64="上修"),OR(F64="回落",F64="收跌")),"利好不涨",
IF(AND(OR(C64="Miss",D64="下修"),OR(F64="反弹",F64="震荡")),"利空不跌","正常")) )</f>
        <v/>
      </c>
      <c r="H64" s="16" t="n"/>
      <c r="I64" s="3" t="n"/>
    </row>
    <row r="65">
      <c r="A65" s="16" t="n"/>
      <c r="B65" s="16" t="n"/>
      <c r="C65" s="16" t="n"/>
      <c r="D65" s="16" t="n"/>
      <c r="E65" s="16" t="n"/>
      <c r="F65" s="16" t="n"/>
      <c r="G65" s="2">
        <f>IF(OR(C65="",F65=""),"",IF(AND(OR(C65="Beat",D65="上修"),OR(F65="回落",F65="收跌")),"利好不涨",
IF(AND(OR(C65="Miss",D65="下修"),OR(F65="反弹",F65="震荡")),"利空不跌","正常")) )</f>
        <v/>
      </c>
      <c r="H65" s="16" t="n"/>
      <c r="I65" s="3" t="n"/>
    </row>
    <row r="66">
      <c r="A66" s="16" t="n"/>
      <c r="B66" s="16" t="n"/>
      <c r="C66" s="16" t="n"/>
      <c r="D66" s="16" t="n"/>
      <c r="E66" s="16" t="n"/>
      <c r="F66" s="16" t="n"/>
      <c r="G66" s="2">
        <f>IF(OR(C66="",F66=""),"",IF(AND(OR(C66="Beat",D66="上修"),OR(F66="回落",F66="收跌")),"利好不涨",
IF(AND(OR(C66="Miss",D66="下修"),OR(F66="反弹",F66="震荡")),"利空不跌","正常")) )</f>
        <v/>
      </c>
      <c r="H66" s="16" t="n"/>
      <c r="I66" s="3" t="n"/>
    </row>
    <row r="67">
      <c r="A67" s="16" t="n"/>
      <c r="B67" s="16" t="n"/>
      <c r="C67" s="16" t="n"/>
      <c r="D67" s="16" t="n"/>
      <c r="E67" s="16" t="n"/>
      <c r="F67" s="16" t="n"/>
      <c r="G67" s="2">
        <f>IF(OR(C67="",F67=""),"",IF(AND(OR(C67="Beat",D67="上修"),OR(F67="回落",F67="收跌")),"利好不涨",
IF(AND(OR(C67="Miss",D67="下修"),OR(F67="反弹",F67="震荡")),"利空不跌","正常")) )</f>
        <v/>
      </c>
      <c r="H67" s="16" t="n"/>
      <c r="I67" s="3" t="n"/>
    </row>
    <row r="68">
      <c r="A68" s="16" t="n"/>
      <c r="B68" s="16" t="n"/>
      <c r="C68" s="16" t="n"/>
      <c r="D68" s="16" t="n"/>
      <c r="E68" s="16" t="n"/>
      <c r="F68" s="16" t="n"/>
      <c r="G68" s="2">
        <f>IF(OR(C68="",F68=""),"",IF(AND(OR(C68="Beat",D68="上修"),OR(F68="回落",F68="收跌")),"利好不涨",
IF(AND(OR(C68="Miss",D68="下修"),OR(F68="反弹",F68="震荡")),"利空不跌","正常")) )</f>
        <v/>
      </c>
      <c r="H68" s="16" t="n"/>
      <c r="I68" s="3" t="n"/>
    </row>
    <row r="69">
      <c r="A69" s="16" t="n"/>
      <c r="B69" s="16" t="n"/>
      <c r="C69" s="16" t="n"/>
      <c r="D69" s="16" t="n"/>
      <c r="E69" s="16" t="n"/>
      <c r="F69" s="16" t="n"/>
      <c r="G69" s="2">
        <f>IF(OR(C69="",F69=""),"",IF(AND(OR(C69="Beat",D69="上修"),OR(F69="回落",F69="收跌")),"利好不涨",
IF(AND(OR(C69="Miss",D69="下修"),OR(F69="反弹",F69="震荡")),"利空不跌","正常")) )</f>
        <v/>
      </c>
      <c r="H69" s="16" t="n"/>
      <c r="I69" s="3" t="n"/>
    </row>
    <row r="70">
      <c r="A70" s="16" t="n"/>
      <c r="B70" s="16" t="n"/>
      <c r="C70" s="16" t="n"/>
      <c r="D70" s="16" t="n"/>
      <c r="E70" s="16" t="n"/>
      <c r="F70" s="16" t="n"/>
      <c r="G70" s="2">
        <f>IF(OR(C70="",F70=""),"",IF(AND(OR(C70="Beat",D70="上修"),OR(F70="回落",F70="收跌")),"利好不涨",
IF(AND(OR(C70="Miss",D70="下修"),OR(F70="反弹",F70="震荡")),"利空不跌","正常")) )</f>
        <v/>
      </c>
      <c r="H70" s="16" t="n"/>
      <c r="I70" s="3" t="n"/>
    </row>
    <row r="71">
      <c r="A71" s="16" t="n"/>
      <c r="B71" s="16" t="n"/>
      <c r="C71" s="16" t="n"/>
      <c r="D71" s="16" t="n"/>
      <c r="E71" s="16" t="n"/>
      <c r="F71" s="16" t="n"/>
      <c r="G71" s="2">
        <f>IF(OR(C71="",F71=""),"",IF(AND(OR(C71="Beat",D71="上修"),OR(F71="回落",F71="收跌")),"利好不涨",
IF(AND(OR(C71="Miss",D71="下修"),OR(F71="反弹",F71="震荡")),"利空不跌","正常")) )</f>
        <v/>
      </c>
      <c r="H71" s="16" t="n"/>
      <c r="I71" s="3" t="n"/>
    </row>
    <row r="72">
      <c r="A72" s="16" t="n"/>
      <c r="B72" s="16" t="n"/>
      <c r="C72" s="16" t="n"/>
      <c r="D72" s="16" t="n"/>
      <c r="E72" s="16" t="n"/>
      <c r="F72" s="16" t="n"/>
      <c r="G72" s="2">
        <f>IF(OR(C72="",F72=""),"",IF(AND(OR(C72="Beat",D72="上修"),OR(F72="回落",F72="收跌")),"利好不涨",
IF(AND(OR(C72="Miss",D72="下修"),OR(F72="反弹",F72="震荡")),"利空不跌","正常")) )</f>
        <v/>
      </c>
      <c r="H72" s="16" t="n"/>
      <c r="I72" s="3" t="n"/>
    </row>
    <row r="73">
      <c r="A73" s="16" t="n"/>
      <c r="B73" s="16" t="n"/>
      <c r="C73" s="16" t="n"/>
      <c r="D73" s="16" t="n"/>
      <c r="E73" s="16" t="n"/>
      <c r="F73" s="16" t="n"/>
      <c r="G73" s="2">
        <f>IF(OR(C73="",F73=""),"",IF(AND(OR(C73="Beat",D73="上修"),OR(F73="回落",F73="收跌")),"利好不涨",
IF(AND(OR(C73="Miss",D73="下修"),OR(F73="反弹",F73="震荡")),"利空不跌","正常")) )</f>
        <v/>
      </c>
      <c r="H73" s="16" t="n"/>
      <c r="I73" s="3" t="n"/>
    </row>
    <row r="74">
      <c r="A74" s="16" t="n"/>
      <c r="B74" s="16" t="n"/>
      <c r="C74" s="16" t="n"/>
      <c r="D74" s="16" t="n"/>
      <c r="E74" s="16" t="n"/>
      <c r="F74" s="16" t="n"/>
      <c r="G74" s="2">
        <f>IF(OR(C74="",F74=""),"",IF(AND(OR(C74="Beat",D74="上修"),OR(F74="回落",F74="收跌")),"利好不涨",
IF(AND(OR(C74="Miss",D74="下修"),OR(F74="反弹",F74="震荡")),"利空不跌","正常")) )</f>
        <v/>
      </c>
      <c r="H74" s="16" t="n"/>
      <c r="I74" s="3" t="n"/>
    </row>
    <row r="75">
      <c r="A75" s="16" t="n"/>
      <c r="B75" s="16" t="n"/>
      <c r="C75" s="16" t="n"/>
      <c r="D75" s="16" t="n"/>
      <c r="E75" s="16" t="n"/>
      <c r="F75" s="16" t="n"/>
      <c r="G75" s="2">
        <f>IF(OR(C75="",F75=""),"",IF(AND(OR(C75="Beat",D75="上修"),OR(F75="回落",F75="收跌")),"利好不涨",
IF(AND(OR(C75="Miss",D75="下修"),OR(F75="反弹",F75="震荡")),"利空不跌","正常")) )</f>
        <v/>
      </c>
      <c r="H75" s="16" t="n"/>
      <c r="I75" s="3" t="n"/>
    </row>
    <row r="76">
      <c r="A76" s="16" t="n"/>
      <c r="B76" s="16" t="n"/>
      <c r="C76" s="16" t="n"/>
      <c r="D76" s="16" t="n"/>
      <c r="E76" s="16" t="n"/>
      <c r="F76" s="16" t="n"/>
      <c r="G76" s="2">
        <f>IF(OR(C76="",F76=""),"",IF(AND(OR(C76="Beat",D76="上修"),OR(F76="回落",F76="收跌")),"利好不涨",
IF(AND(OR(C76="Miss",D76="下修"),OR(F76="反弹",F76="震荡")),"利空不跌","正常")) )</f>
        <v/>
      </c>
      <c r="H76" s="16" t="n"/>
      <c r="I76" s="3" t="n"/>
    </row>
    <row r="77">
      <c r="A77" s="16" t="n"/>
      <c r="B77" s="16" t="n"/>
      <c r="C77" s="16" t="n"/>
      <c r="D77" s="16" t="n"/>
      <c r="E77" s="16" t="n"/>
      <c r="F77" s="16" t="n"/>
      <c r="G77" s="2">
        <f>IF(OR(C77="",F77=""),"",IF(AND(OR(C77="Beat",D77="上修"),OR(F77="回落",F77="收跌")),"利好不涨",
IF(AND(OR(C77="Miss",D77="下修"),OR(F77="反弹",F77="震荡")),"利空不跌","正常")) )</f>
        <v/>
      </c>
      <c r="H77" s="16" t="n"/>
      <c r="I77" s="3" t="n"/>
    </row>
    <row r="78">
      <c r="A78" s="16" t="n"/>
      <c r="B78" s="16" t="n"/>
      <c r="C78" s="16" t="n"/>
      <c r="D78" s="16" t="n"/>
      <c r="E78" s="16" t="n"/>
      <c r="F78" s="16" t="n"/>
      <c r="G78" s="2">
        <f>IF(OR(C78="",F78=""),"",IF(AND(OR(C78="Beat",D78="上修"),OR(F78="回落",F78="收跌")),"利好不涨",
IF(AND(OR(C78="Miss",D78="下修"),OR(F78="反弹",F78="震荡")),"利空不跌","正常")) )</f>
        <v/>
      </c>
      <c r="H78" s="16" t="n"/>
      <c r="I78" s="3" t="n"/>
    </row>
    <row r="79">
      <c r="A79" s="16" t="n"/>
      <c r="B79" s="16" t="n"/>
      <c r="C79" s="16" t="n"/>
      <c r="D79" s="16" t="n"/>
      <c r="E79" s="16" t="n"/>
      <c r="F79" s="16" t="n"/>
      <c r="G79" s="2">
        <f>IF(OR(C79="",F79=""),"",IF(AND(OR(C79="Beat",D79="上修"),OR(F79="回落",F79="收跌")),"利好不涨",
IF(AND(OR(C79="Miss",D79="下修"),OR(F79="反弹",F79="震荡")),"利空不跌","正常")) )</f>
        <v/>
      </c>
      <c r="H79" s="16" t="n"/>
      <c r="I79" s="3" t="n"/>
    </row>
    <row r="80">
      <c r="A80" s="16" t="n"/>
      <c r="B80" s="16" t="n"/>
      <c r="C80" s="16" t="n"/>
      <c r="D80" s="16" t="n"/>
      <c r="E80" s="16" t="n"/>
      <c r="F80" s="16" t="n"/>
      <c r="G80" s="2">
        <f>IF(OR(C80="",F80=""),"",IF(AND(OR(C80="Beat",D80="上修"),OR(F80="回落",F80="收跌")),"利好不涨",
IF(AND(OR(C80="Miss",D80="下修"),OR(F80="反弹",F80="震荡")),"利空不跌","正常")) )</f>
        <v/>
      </c>
      <c r="H80" s="16" t="n"/>
      <c r="I80" s="3" t="n"/>
    </row>
    <row r="81">
      <c r="A81" s="16" t="n"/>
      <c r="B81" s="16" t="n"/>
      <c r="C81" s="16" t="n"/>
      <c r="D81" s="16" t="n"/>
      <c r="E81" s="16" t="n"/>
      <c r="F81" s="16" t="n"/>
      <c r="G81" s="2">
        <f>IF(OR(C81="",F81=""),"",IF(AND(OR(C81="Beat",D81="上修"),OR(F81="回落",F81="收跌")),"利好不涨",
IF(AND(OR(C81="Miss",D81="下修"),OR(F81="反弹",F81="震荡")),"利空不跌","正常")) )</f>
        <v/>
      </c>
      <c r="H81" s="16" t="n"/>
      <c r="I81" s="3" t="n"/>
    </row>
    <row r="82">
      <c r="A82" s="16" t="n"/>
      <c r="B82" s="16" t="n"/>
      <c r="C82" s="16" t="n"/>
      <c r="D82" s="16" t="n"/>
      <c r="E82" s="16" t="n"/>
      <c r="F82" s="16" t="n"/>
      <c r="G82" s="2">
        <f>IF(OR(C82="",F82=""),"",IF(AND(OR(C82="Beat",D82="上修"),OR(F82="回落",F82="收跌")),"利好不涨",
IF(AND(OR(C82="Miss",D82="下修"),OR(F82="反弹",F82="震荡")),"利空不跌","正常")) )</f>
        <v/>
      </c>
      <c r="H82" s="16" t="n"/>
      <c r="I82" s="3" t="n"/>
    </row>
    <row r="83">
      <c r="A83" s="16" t="n"/>
      <c r="B83" s="16" t="n"/>
      <c r="C83" s="16" t="n"/>
      <c r="D83" s="16" t="n"/>
      <c r="E83" s="16" t="n"/>
      <c r="F83" s="16" t="n"/>
      <c r="G83" s="2">
        <f>IF(OR(C83="",F83=""),"",IF(AND(OR(C83="Beat",D83="上修"),OR(F83="回落",F83="收跌")),"利好不涨",
IF(AND(OR(C83="Miss",D83="下修"),OR(F83="反弹",F83="震荡")),"利空不跌","正常")) )</f>
        <v/>
      </c>
      <c r="H83" s="16" t="n"/>
      <c r="I83" s="3" t="n"/>
    </row>
    <row r="84">
      <c r="A84" s="16" t="n"/>
      <c r="B84" s="16" t="n"/>
      <c r="C84" s="16" t="n"/>
      <c r="D84" s="16" t="n"/>
      <c r="E84" s="16" t="n"/>
      <c r="F84" s="16" t="n"/>
      <c r="G84" s="2">
        <f>IF(OR(C84="",F84=""),"",IF(AND(OR(C84="Beat",D84="上修"),OR(F84="回落",F84="收跌")),"利好不涨",
IF(AND(OR(C84="Miss",D84="下修"),OR(F84="反弹",F84="震荡")),"利空不跌","正常")) )</f>
        <v/>
      </c>
      <c r="H84" s="16" t="n"/>
      <c r="I84" s="3" t="n"/>
    </row>
    <row r="85">
      <c r="A85" s="16" t="n"/>
      <c r="B85" s="16" t="n"/>
      <c r="C85" s="16" t="n"/>
      <c r="D85" s="16" t="n"/>
      <c r="E85" s="16" t="n"/>
      <c r="F85" s="16" t="n"/>
      <c r="G85" s="2">
        <f>IF(OR(C85="",F85=""),"",IF(AND(OR(C85="Beat",D85="上修"),OR(F85="回落",F85="收跌")),"利好不涨",
IF(AND(OR(C85="Miss",D85="下修"),OR(F85="反弹",F85="震荡")),"利空不跌","正常")) )</f>
        <v/>
      </c>
      <c r="H85" s="16" t="n"/>
      <c r="I85" s="3" t="n"/>
    </row>
    <row r="88">
      <c r="A88" s="26" t="inlineStr">
        <is>
          <t>统计（最近80条记录）</t>
        </is>
      </c>
    </row>
    <row r="89">
      <c r="A89" s="15" t="inlineStr">
        <is>
          <t>利好不涨比例</t>
        </is>
      </c>
      <c r="B89" s="17">
        <f>IFERROR(COUNTIF(G6:G85,"利好不涨")/COUNTIF(G6:G85,"&lt;&gt;"),"")</f>
        <v/>
      </c>
    </row>
    <row r="90">
      <c r="A90" s="15" t="inlineStr">
        <is>
          <t>利空不跌比例</t>
        </is>
      </c>
      <c r="B90" s="17">
        <f>IFERROR(COUNTIF(G6:G85,"利空不跌")/COUNTIF(G6:G85,"&lt;&gt;"),"")</f>
        <v/>
      </c>
    </row>
    <row r="91">
      <c r="A91" s="15" t="inlineStr">
        <is>
          <t>板块联动均值</t>
        </is>
      </c>
      <c r="B91" s="18">
        <f>IFERROR(AVERAGEIF(H6:H85,"&gt;=0"),"")</f>
        <v/>
      </c>
    </row>
  </sheetData>
  <mergeCells count="3">
    <mergeCell ref="A88:I88"/>
    <mergeCell ref="A2:H2"/>
    <mergeCell ref="A1:H1"/>
  </mergeCells>
  <dataValidations count="4">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showDropDown="0" showInputMessage="0" showErrorMessage="0" allowBlank="1" type="list">
      <formula1>"Beat,Meet,Miss"</formula1>
    </dataValidation>
    <dataValidation sqref="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showDropDown="0" showInputMessage="0" showErrorMessage="0" allowBlank="1" type="list">
      <formula1>"上修,维持,下修"</formula1>
    </dataValidation>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showDropDown="0" showInputMessage="0" showErrorMessage="0" allowBlank="1" type="list">
      <formula1>"高开,平开,低开"</formula1>
    </dataValidation>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showDropDown="0" showInputMessage="0" showErrorMessage="0" allowBlank="1" type="list">
      <formula1>"走高,震荡,回落,收跌,反弹"</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2"/>
  <sheetViews>
    <sheetView showGridLines="0" workbookViewId="0">
      <selection activeCell="A1" sqref="A1:J1"/>
    </sheetView>
  </sheetViews>
  <sheetFormatPr baseColWidth="8" defaultRowHeight="14.4"/>
  <cols>
    <col width="28" customWidth="1" style="25" min="1" max="1"/>
    <col width="70" customWidth="1" style="25" min="2" max="2"/>
    <col width="90" customWidth="1" style="25" min="3" max="3"/>
    <col width="54" customWidth="1" style="25" min="4" max="4"/>
    <col width="34" customWidth="1" style="25" min="5" max="5"/>
    <col width="22" customWidth="1" style="25" min="6" max="6"/>
    <col width="14" customWidth="1" style="25" min="7" max="7"/>
    <col width="12" customWidth="1" style="25" min="8" max="9"/>
    <col width="26" customWidth="1" style="25" min="10" max="10"/>
  </cols>
  <sheetData>
    <row r="1">
      <c r="A1" s="32" t="inlineStr">
        <is>
          <t>数据接口字段占位（FRED / 财政部）— 便于 PowerQuery 自动抓取</t>
        </is>
      </c>
    </row>
    <row r="2">
      <c r="A2" s="44" t="inlineStr">
        <is>
          <t>更新时间：2026-02-10  |  说明：本页只提供“接口字段占位 + 建议查询参数”，便于你在 PowerQuery 里复制粘贴并映射到各Sheet。</t>
        </is>
      </c>
    </row>
    <row r="4">
      <c r="A4" s="26" t="inlineStr">
        <is>
          <t>A) FRED（宏观利率/通胀预期/流动性代理）</t>
        </is>
      </c>
    </row>
    <row r="5" ht="28.8" customHeight="1" s="25">
      <c r="A5" s="34" t="inlineStr">
        <is>
          <t>目标字段</t>
        </is>
      </c>
      <c r="B5" s="34" t="inlineStr">
        <is>
          <t>来源</t>
        </is>
      </c>
      <c r="C5" s="34" t="inlineStr">
        <is>
          <t>Series ID / 数据集</t>
        </is>
      </c>
      <c r="D5" s="34" t="inlineStr">
        <is>
          <t>Endpoint 模板</t>
        </is>
      </c>
      <c r="E5" s="34" t="inlineStr">
        <is>
          <t>关键参数占位</t>
        </is>
      </c>
      <c r="F5" s="34" t="inlineStr">
        <is>
          <t>PowerQuery 目标表名</t>
        </is>
      </c>
      <c r="G5" s="34" t="inlineStr">
        <is>
          <t>刷新频率建议</t>
        </is>
      </c>
      <c r="H5" s="34" t="inlineStr">
        <is>
          <t>日期字段</t>
        </is>
      </c>
      <c r="I5" s="34" t="inlineStr">
        <is>
          <t>数值字段</t>
        </is>
      </c>
      <c r="J5" s="34" t="inlineStr">
        <is>
          <t>备注</t>
        </is>
      </c>
    </row>
    <row r="6" ht="57.6" customHeight="1" s="25">
      <c r="A6" s="2" t="inlineStr">
        <is>
          <t>联邦基金利率</t>
        </is>
      </c>
      <c r="B6" s="2" t="inlineStr">
        <is>
          <t>FRED</t>
        </is>
      </c>
      <c r="C6" s="2" t="inlineStr">
        <is>
          <t>DFF</t>
        </is>
      </c>
      <c r="D6" s="19" t="inlineStr">
        <is>
          <t>https://api.stlouisfed.org/fred/series/observations?series_id={SERIES_ID}&amp;api_key={FRED_API_KEY}&amp;file_type=json&amp;observation_start={START_DATE}&amp;observation_end={END_DATE}&amp;frequency={FREQ}</t>
        </is>
      </c>
      <c r="E6" s="19" t="inlineStr">
        <is>
          <t>{FRED_API_KEY}; {START_DATE}; {END_DATE}; FREQ=d</t>
        </is>
      </c>
      <c r="F6" s="2" t="inlineStr">
        <is>
          <t>pq_fedfunds_dff</t>
        </is>
      </c>
      <c r="G6" s="2" t="inlineStr">
        <is>
          <t>日/周</t>
        </is>
      </c>
      <c r="H6" s="2" t="inlineStr">
        <is>
          <t>date</t>
        </is>
      </c>
      <c r="I6" s="2" t="inlineStr">
        <is>
          <t>value</t>
        </is>
      </c>
      <c r="J6" s="33" t="inlineStr">
        <is>
          <t>用于验证点阵图与市场定价偏离</t>
        </is>
      </c>
    </row>
    <row r="7" ht="57.6" customHeight="1" s="25">
      <c r="A7" s="2" t="inlineStr">
        <is>
          <t>10Y TIPS 实际利率</t>
        </is>
      </c>
      <c r="B7" s="2" t="inlineStr">
        <is>
          <t>FRED</t>
        </is>
      </c>
      <c r="C7" s="2" t="inlineStr">
        <is>
          <t>DFII10</t>
        </is>
      </c>
      <c r="D7" s="19" t="inlineStr">
        <is>
          <t>https://api.stlouisfed.org/fred/series/observations?series_id={SERIES_ID}&amp;api_key={FRED_API_KEY}&amp;file_type=json&amp;observation_start={START_DATE}&amp;observation_end={END_DATE}&amp;frequency={FREQ}</t>
        </is>
      </c>
      <c r="E7" s="19" t="inlineStr">
        <is>
          <t>{FRED_API_KEY}; {START_DATE}; {END_DATE}; FREQ=d</t>
        </is>
      </c>
      <c r="F7" s="2" t="inlineStr">
        <is>
          <t>pq_tips_dfii10</t>
        </is>
      </c>
      <c r="G7" s="2" t="inlineStr">
        <is>
          <t>日/周</t>
        </is>
      </c>
      <c r="H7" s="2" t="inlineStr">
        <is>
          <t>date</t>
        </is>
      </c>
      <c r="I7" s="2" t="inlineStr">
        <is>
          <t>value</t>
        </is>
      </c>
      <c r="J7" s="33" t="inlineStr">
        <is>
          <t>用于Sheet2：实际利率阈值(0.50–0.75%)</t>
        </is>
      </c>
    </row>
    <row r="8" ht="57.6" customHeight="1" s="25">
      <c r="A8" s="2" t="inlineStr">
        <is>
          <t>10Y 通胀预期（Breakeven）</t>
        </is>
      </c>
      <c r="B8" s="2" t="inlineStr">
        <is>
          <t>FRED</t>
        </is>
      </c>
      <c r="C8" s="2" t="inlineStr">
        <is>
          <t>T10YIE</t>
        </is>
      </c>
      <c r="D8" s="19" t="inlineStr">
        <is>
          <t>https://api.stlouisfed.org/fred/series/observations?series_id={SERIES_ID}&amp;api_key={FRED_API_KEY}&amp;file_type=json&amp;observation_start={START_DATE}&amp;observation_end={END_DATE}&amp;frequency={FREQ}</t>
        </is>
      </c>
      <c r="E8" s="19" t="inlineStr">
        <is>
          <t>{FRED_API_KEY}; {START_DATE}; {END_DATE}; FREQ=d</t>
        </is>
      </c>
      <c r="F8" s="2" t="inlineStr">
        <is>
          <t>pq_breakeven_t10yie</t>
        </is>
      </c>
      <c r="G8" s="2" t="inlineStr">
        <is>
          <t>日/周</t>
        </is>
      </c>
      <c r="H8" s="2" t="inlineStr">
        <is>
          <t>date</t>
        </is>
      </c>
      <c r="I8" s="2" t="inlineStr">
        <is>
          <t>value</t>
        </is>
      </c>
      <c r="J8" s="33" t="inlineStr">
        <is>
          <t>名义-实际的隐含通胀预期</t>
        </is>
      </c>
    </row>
    <row r="9" ht="57.6" customHeight="1" s="25">
      <c r="A9" s="2" t="inlineStr">
        <is>
          <t>财政部一般账户TGA（代理）</t>
        </is>
      </c>
      <c r="B9" s="2" t="inlineStr">
        <is>
          <t>FRED</t>
        </is>
      </c>
      <c r="C9" s="2" t="inlineStr">
        <is>
          <t>WTREGEN</t>
        </is>
      </c>
      <c r="D9" s="19" t="inlineStr">
        <is>
          <t>https://api.stlouisfed.org/fred/series/observations?series_id={SERIES_ID}&amp;api_key={FRED_API_KEY}&amp;file_type=json&amp;observation_start={START_DATE}&amp;observation_end={END_DATE}&amp;frequency={FREQ}</t>
        </is>
      </c>
      <c r="E9" s="19" t="inlineStr">
        <is>
          <t>{FRED_API_KEY}; {START_DATE}; {END_DATE}; FREQ=w</t>
        </is>
      </c>
      <c r="F9" s="2" t="inlineStr">
        <is>
          <t>pq_tga_wtregen</t>
        </is>
      </c>
      <c r="G9" s="2" t="inlineStr">
        <is>
          <t>周</t>
        </is>
      </c>
      <c r="H9" s="2" t="inlineStr">
        <is>
          <t>date</t>
        </is>
      </c>
      <c r="I9" s="2" t="inlineStr">
        <is>
          <t>value</t>
        </is>
      </c>
      <c r="J9" s="33" t="inlineStr">
        <is>
          <t>用于Sheet3：TGA监控（注意单位/口径）</t>
        </is>
      </c>
    </row>
    <row r="10" ht="57.6" customHeight="1" s="25">
      <c r="A10" s="2" t="inlineStr">
        <is>
          <t>隔夜逆回购 ON RRP</t>
        </is>
      </c>
      <c r="B10" s="2" t="inlineStr">
        <is>
          <t>FRED</t>
        </is>
      </c>
      <c r="C10" s="2" t="inlineStr">
        <is>
          <t>RRPONTSYD</t>
        </is>
      </c>
      <c r="D10" s="19" t="inlineStr">
        <is>
          <t>https://api.stlouisfed.org/fred/series/observations?series_id={SERIES_ID}&amp;api_key={FRED_API_KEY}&amp;file_type=json&amp;observation_start={START_DATE}&amp;observation_end={END_DATE}&amp;frequency={FREQ}</t>
        </is>
      </c>
      <c r="E10" s="19" t="inlineStr">
        <is>
          <t>{FRED_API_KEY}; {START_DATE}; {END_DATE}; FREQ=d</t>
        </is>
      </c>
      <c r="F10" s="2" t="inlineStr">
        <is>
          <t>pq_rrp_rrpontsyd</t>
        </is>
      </c>
      <c r="G10" s="2" t="inlineStr">
        <is>
          <t>日/周</t>
        </is>
      </c>
      <c r="H10" s="2" t="inlineStr">
        <is>
          <t>date</t>
        </is>
      </c>
      <c r="I10" s="2" t="inlineStr">
        <is>
          <t>value</t>
        </is>
      </c>
      <c r="J10" s="33" t="inlineStr">
        <is>
          <t>用于Sheet3：RRP见底信号</t>
        </is>
      </c>
    </row>
    <row r="13">
      <c r="A13" s="26" t="inlineStr">
        <is>
          <t>B) 美国财政部 Fiscal Data API（财政部官网接口，用于TGA/现金收支等更细口径）</t>
        </is>
      </c>
    </row>
    <row r="14" ht="28.8" customHeight="1" s="25">
      <c r="A14" s="34" t="inlineStr">
        <is>
          <t>目标字段</t>
        </is>
      </c>
      <c r="B14" s="34" t="inlineStr">
        <is>
          <t>来源</t>
        </is>
      </c>
      <c r="C14" s="34" t="inlineStr">
        <is>
          <t>数据集 / 路径占位</t>
        </is>
      </c>
      <c r="D14" s="34" t="inlineStr">
        <is>
          <t>Endpoint 模板</t>
        </is>
      </c>
      <c r="E14" s="34" t="inlineStr">
        <is>
          <t>关键参数占位</t>
        </is>
      </c>
      <c r="F14" s="34" t="inlineStr">
        <is>
          <t>PowerQuery 目标表名</t>
        </is>
      </c>
      <c r="G14" s="34" t="inlineStr">
        <is>
          <t>刷新频率建议</t>
        </is>
      </c>
      <c r="H14" s="34" t="inlineStr">
        <is>
          <t>日期字段</t>
        </is>
      </c>
      <c r="I14" s="34" t="inlineStr">
        <is>
          <t>数值字段</t>
        </is>
      </c>
      <c r="J14" s="34" t="inlineStr">
        <is>
          <t>备注</t>
        </is>
      </c>
    </row>
    <row r="15" ht="72" customHeight="1" s="25">
      <c r="A15" s="2" t="inlineStr">
        <is>
          <t>TGA 余额（官方口径）</t>
        </is>
      </c>
      <c r="B15" s="2" t="inlineStr">
        <is>
          <t>Treasury Fiscal Data</t>
        </is>
      </c>
      <c r="C15" s="19" t="inlineStr">
        <is>
          <t>{PATH} 例如: account_balances/operating_cash_balance</t>
        </is>
      </c>
      <c r="D15" s="19" t="inlineStr">
        <is>
          <t>https://api.fiscaldata.treasury.gov/services/api/fiscal_service/v2/{PATH}?filter={FILTER}&amp;fields={FIELDS}&amp;sort={SORT}&amp;page[number]={PAGE_NO}&amp;page[size]={PAGE_SIZE}</t>
        </is>
      </c>
      <c r="E15" s="19" t="inlineStr">
        <is>
          <t>{PATH}; FILTER=record_date:gte:{START_DATE},record_date:lte:{END_DATE}; FIELDS=record_date,open_today_bal; SORT=record_date</t>
        </is>
      </c>
      <c r="F15" s="2" t="inlineStr">
        <is>
          <t>pq_tga_treasury_official</t>
        </is>
      </c>
      <c r="G15" s="2" t="inlineStr">
        <is>
          <t>日/周</t>
        </is>
      </c>
      <c r="H15" s="2" t="inlineStr">
        <is>
          <t>record_date</t>
        </is>
      </c>
      <c r="I15" s="2" t="inlineStr">
        <is>
          <t>open_today_bal</t>
        </is>
      </c>
      <c r="J15" s="33" t="inlineStr">
        <is>
          <t>不同数据集字段名可能略有差异：在PQ里先预览再改FIELDS</t>
        </is>
      </c>
    </row>
    <row r="16" ht="72" customHeight="1" s="25">
      <c r="A16" s="2" t="inlineStr">
        <is>
          <t>财政部现金收支（可选）</t>
        </is>
      </c>
      <c r="B16" s="2" t="inlineStr">
        <is>
          <t>Treasury Fiscal Data</t>
        </is>
      </c>
      <c r="C16" s="19" t="inlineStr">
        <is>
          <t>{PATH} 例如: federal_accounting/operating_cash_balance 或 DTS相关数据集</t>
        </is>
      </c>
      <c r="D16" s="19" t="inlineStr">
        <is>
          <t>https://api.fiscaldata.treasury.gov/services/api/fiscal_service/v2/{PATH}?filter={FILTER}&amp;fields={FIELDS}&amp;sort={SORT}&amp;page[number]={PAGE_NO}&amp;page[size]={PAGE_SIZE}</t>
        </is>
      </c>
      <c r="E16" s="19" t="inlineStr">
        <is>
          <t>{PATH}; FILTER=...; FIELDS=...; SORT=...</t>
        </is>
      </c>
      <c r="F16" s="2" t="inlineStr">
        <is>
          <t>pq_treasury_cashflow_optional</t>
        </is>
      </c>
      <c r="G16" s="2" t="inlineStr">
        <is>
          <t>周/月</t>
        </is>
      </c>
      <c r="H16" s="2" t="inlineStr">
        <is>
          <t>record_date</t>
        </is>
      </c>
      <c r="I16" s="2" t="inlineStr">
        <is>
          <t>value</t>
        </is>
      </c>
      <c r="J16" s="33" t="inlineStr">
        <is>
          <t>用于解释TGA变动背后：发债/支出节奏</t>
        </is>
      </c>
    </row>
    <row r="19">
      <c r="A19" s="26" t="inlineStr">
        <is>
          <t>C) 映射到本模板各Sheet的建议（PowerQuery加载后“表→单元格”引用）</t>
        </is>
      </c>
    </row>
    <row r="20">
      <c r="A20" s="34" t="inlineStr">
        <is>
          <t>目标Sheet</t>
        </is>
      </c>
      <c r="B20" s="34" t="inlineStr">
        <is>
          <t>字段映射</t>
        </is>
      </c>
      <c r="C20" s="34" t="inlineStr">
        <is>
          <t>建议做法</t>
        </is>
      </c>
      <c r="D20" s="35" t="n"/>
      <c r="E20" s="35" t="n"/>
      <c r="F20" s="35" t="n"/>
      <c r="G20" s="35" t="n"/>
      <c r="H20" s="35" t="n"/>
      <c r="I20" s="35" t="n"/>
      <c r="J20" s="36" t="n"/>
    </row>
    <row r="21" ht="57.6" customHeight="1" s="25">
      <c r="A21" s="2" t="inlineStr">
        <is>
          <t>Sheet2_RealRate_Valuation</t>
        </is>
      </c>
      <c r="B21" s="33" t="inlineStr">
        <is>
          <t>10Y TIPS(%) ← pq_tips_dfii10[value]（按日期匹配/最新值）</t>
        </is>
      </c>
      <c r="C21" s="33" t="inlineStr">
        <is>
          <t>把“最新值”写入B列；日期写入A列；可用PQ直接生成两列表后粘贴为值或连接表格。</t>
        </is>
      </c>
      <c r="D21" s="35" t="n"/>
      <c r="E21" s="35" t="n"/>
      <c r="F21" s="35" t="n"/>
      <c r="G21" s="35" t="n"/>
      <c r="H21" s="35" t="n"/>
      <c r="I21" s="35" t="n"/>
      <c r="J21" s="36" t="n"/>
    </row>
    <row r="22" ht="86.40000000000001" customHeight="1" s="25">
      <c r="A22" s="2" t="inlineStr">
        <is>
          <t>Sheet3_TGA_RRP</t>
        </is>
      </c>
      <c r="B22" s="33" t="inlineStr">
        <is>
          <t>TGA(亿美元) ← pq_tga_wtregen 或 pq_tga_treasury_official（注意单位换算）</t>
        </is>
      </c>
      <c r="C22" s="33" t="inlineStr">
        <is>
          <t>建议在PQ里先把单位统一成“亿美元”，再加载到Sheet3。</t>
        </is>
      </c>
      <c r="D22" s="35" t="n"/>
      <c r="E22" s="35" t="n"/>
      <c r="F22" s="35" t="n"/>
      <c r="G22" s="35" t="n"/>
      <c r="H22" s="35" t="n"/>
      <c r="I22" s="35" t="n"/>
      <c r="J22" s="36" t="n"/>
    </row>
    <row r="23" ht="57.6" customHeight="1" s="25">
      <c r="A23" s="2" t="inlineStr">
        <is>
          <t>Sheet3_TGA_RRP</t>
        </is>
      </c>
      <c r="B23" s="33" t="inlineStr">
        <is>
          <t>RRP(亿美元) ← pq_rrp_rrpontsyd[value]（注意单位）</t>
        </is>
      </c>
      <c r="C23" s="33" t="inlineStr">
        <is>
          <t>RRP常以美元计，建议PQ里/1e8转换为亿美元。</t>
        </is>
      </c>
      <c r="D23" s="35" t="n"/>
      <c r="E23" s="35" t="n"/>
      <c r="F23" s="35" t="n"/>
      <c r="G23" s="35" t="n"/>
      <c r="H23" s="35" t="n"/>
      <c r="I23" s="35" t="n"/>
      <c r="J23" s="36" t="n"/>
    </row>
    <row r="24" ht="57.6" customHeight="1" s="25">
      <c r="A24" s="2" t="inlineStr">
        <is>
          <t>Sheet1_Macro_Liquidity</t>
        </is>
      </c>
      <c r="B24" s="33" t="inlineStr">
        <is>
          <t>联邦基金利率 ← pq_fedfunds_dff[value]（辅助监控）</t>
        </is>
      </c>
      <c r="C24" s="33" t="inlineStr">
        <is>
          <t>点阵图仍需要手动更新，但可用联邦基金利率校验“实际路径”。</t>
        </is>
      </c>
      <c r="D24" s="35" t="n"/>
      <c r="E24" s="35" t="n"/>
      <c r="F24" s="35" t="n"/>
      <c r="G24" s="35" t="n"/>
      <c r="H24" s="35" t="n"/>
      <c r="I24" s="35" t="n"/>
      <c r="J24" s="36" t="n"/>
    </row>
    <row r="26">
      <c r="A26" s="26" t="inlineStr">
        <is>
          <t>D) PowerQuery快速步骤（复制到你团队文档也行）</t>
        </is>
      </c>
    </row>
    <row r="27">
      <c r="A27" s="33" t="inlineStr">
        <is>
          <t>1) Excel → 数据(Data) → 获取数据(Get Data) → 从其他源(From Other Sources) → 空白查询(Blank Query)
2) 在高级编辑器(Advanced Editor)中粘贴 Web.Contents(...) 的URL（上面黄色单元格里的模板）
3) 解析 JSON：转为表 → 展开 data/observations → 选择 date/value 字段
4) 类型转换：date→日期，value→数字；必要时过滤 '.' 或空值
5) 单位统一：例如 RRP/TGA 换算为“亿美元”
6) 加载为表到工作簿：表名建议使用 pq_* 前缀
7) Dashboard 用链接引用这些表的最新值（LOOKUP/INDEX/MATCH）或直接在各Sheet把表“粘贴为值”
提示：FRED 需要 FRED_API_KEY；财政部 Fiscal Data API 一般不需要 Key。</t>
        </is>
      </c>
      <c r="B27" s="37" t="n"/>
      <c r="C27" s="37" t="n"/>
      <c r="D27" s="37" t="n"/>
      <c r="E27" s="37" t="n"/>
      <c r="F27" s="37" t="n"/>
      <c r="G27" s="37" t="n"/>
      <c r="H27" s="37" t="n"/>
      <c r="I27" s="37" t="n"/>
      <c r="J27" s="38" t="n"/>
    </row>
    <row r="28">
      <c r="A28" s="39" t="n"/>
      <c r="J28" s="40" t="n"/>
    </row>
    <row r="29">
      <c r="A29" s="39" t="n"/>
      <c r="J29" s="40" t="n"/>
    </row>
    <row r="30">
      <c r="A30" s="39" t="n"/>
      <c r="J30" s="40" t="n"/>
    </row>
    <row r="31">
      <c r="A31" s="41" t="n"/>
      <c r="B31" s="42" t="n"/>
      <c r="C31" s="42" t="n"/>
      <c r="D31" s="42" t="n"/>
      <c r="E31" s="42" t="n"/>
      <c r="F31" s="42" t="n"/>
      <c r="G31" s="42" t="n"/>
      <c r="H31" s="42" t="n"/>
      <c r="I31" s="42" t="n"/>
      <c r="J31" s="43" t="n"/>
    </row>
    <row r="33">
      <c r="A33" s="47" t="inlineStr">
        <is>
          <t>D) Finnhub 微观基本面（用于 Sheet4：4_Micro_Fundamentals）</t>
        </is>
      </c>
    </row>
    <row r="34">
      <c r="A34" t="inlineStr">
        <is>
          <t>API Key（在 7_Config!B2 填入）</t>
        </is>
      </c>
    </row>
    <row r="35">
      <c r="A35" t="inlineStr">
        <is>
          <t>Earnings Endpoint</t>
        </is>
      </c>
      <c r="C35" t="inlineStr">
        <is>
          <t>https://finnhub.io/api/v1/stock/earnings?symbol={SYMBOL}&amp;token={FINNHUB_API_KEY}</t>
        </is>
      </c>
    </row>
    <row r="36">
      <c r="A36" t="inlineStr">
        <is>
          <t>Financials Endpoint</t>
        </is>
      </c>
      <c r="C36" t="inlineStr">
        <is>
          <t>https://finnhub.io/api/v1/stock/financials-reported?symbol={SYMBOL}&amp;token={FINNHUB_API_KEY}</t>
        </is>
      </c>
    </row>
    <row r="38">
      <c r="A38" t="inlineStr">
        <is>
          <t>PowerQuery 目标表（把结果加载到这些Sheet）</t>
        </is>
      </c>
    </row>
    <row r="39">
      <c r="A39" t="inlineStr">
        <is>
          <t>pq_fh_earnings</t>
        </is>
      </c>
      <c r="B39" t="inlineStr">
        <is>
          <t>字段：symbol, period, actual_eps, estimate_eps, surprise_pct（按 symbol 升序 + period 降序排序）</t>
        </is>
      </c>
    </row>
    <row r="40">
      <c r="A40" t="inlineStr">
        <is>
          <t>pq_fh_financials</t>
        </is>
      </c>
      <c r="B40" t="inlineStr">
        <is>
          <t>字段：symbol, period, revenue, capex, free_cash_flow, net_profit_margin（按 symbol 升序 + period 降序排序）</t>
        </is>
      </c>
    </row>
    <row r="42">
      <c r="A42" t="inlineStr">
        <is>
          <t>注意：模板已在 Sheet4 用 INDEX/MATCH 自动取每个 ticker 的 Rank=1（最新）与 Rank=5（同比）数据。</t>
        </is>
      </c>
    </row>
  </sheetData>
  <mergeCells count="12">
    <mergeCell ref="A1:J1"/>
    <mergeCell ref="C21:J21"/>
    <mergeCell ref="C20:J20"/>
    <mergeCell ref="C24:J24"/>
    <mergeCell ref="A27:J31"/>
    <mergeCell ref="A4:J4"/>
    <mergeCell ref="A26:J26"/>
    <mergeCell ref="C22:J22"/>
    <mergeCell ref="A2:J2"/>
    <mergeCell ref="A13:J13"/>
    <mergeCell ref="C23:J23"/>
    <mergeCell ref="A19:J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526"/>
  <sheetViews>
    <sheetView workbookViewId="0">
      <selection activeCell="A1502" sqref="A1502:A1526"/>
    </sheetView>
  </sheetViews>
  <sheetFormatPr baseColWidth="8" defaultRowHeight="14.4"/>
  <cols>
    <col width="12.88671875" bestFit="1" customWidth="1" style="25" min="1" max="1"/>
    <col width="10.44140625" bestFit="1" customWidth="1" style="25" min="2" max="2"/>
  </cols>
  <sheetData>
    <row r="1">
      <c r="A1" t="inlineStr">
        <is>
          <t>date</t>
        </is>
      </c>
      <c r="B1" t="inlineStr">
        <is>
          <t>value</t>
        </is>
      </c>
    </row>
    <row r="2">
      <c r="A2" s="21" t="n">
        <v>43832</v>
      </c>
      <c r="B2" t="n">
        <v>0.08</v>
      </c>
    </row>
    <row r="3">
      <c r="A3" s="21" t="n">
        <v>43833</v>
      </c>
      <c r="B3" t="n">
        <v>0.03</v>
      </c>
    </row>
    <row r="4">
      <c r="A4" s="21" t="n">
        <v>43836</v>
      </c>
      <c r="B4" t="n">
        <v>0.06</v>
      </c>
    </row>
    <row r="5">
      <c r="A5" s="21" t="n">
        <v>43837</v>
      </c>
      <c r="B5" t="n">
        <v>0.09</v>
      </c>
    </row>
    <row r="6">
      <c r="A6" s="21" t="n">
        <v>43838</v>
      </c>
      <c r="B6" t="n">
        <v>0.12</v>
      </c>
    </row>
    <row r="7">
      <c r="A7" s="21" t="n">
        <v>43839</v>
      </c>
      <c r="B7" t="n">
        <v>0.11</v>
      </c>
    </row>
    <row r="8">
      <c r="A8" s="21" t="n">
        <v>43840</v>
      </c>
      <c r="B8" t="n">
        <v>0.07000000000000001</v>
      </c>
    </row>
    <row r="9">
      <c r="A9" s="21" t="n">
        <v>43843</v>
      </c>
      <c r="B9" t="n">
        <v>0.08</v>
      </c>
    </row>
    <row r="10">
      <c r="A10" s="21" t="n">
        <v>43844</v>
      </c>
      <c r="B10" t="n">
        <v>0.05</v>
      </c>
    </row>
    <row r="11">
      <c r="A11" s="21" t="n">
        <v>43845</v>
      </c>
      <c r="B11" t="n">
        <v>0.04</v>
      </c>
    </row>
    <row r="12">
      <c r="A12" s="21" t="n">
        <v>43846</v>
      </c>
      <c r="B12" t="n">
        <v>0.07000000000000001</v>
      </c>
    </row>
    <row r="13">
      <c r="A13" s="21" t="n">
        <v>43847</v>
      </c>
      <c r="B13" t="n">
        <v>0.09</v>
      </c>
    </row>
    <row r="14">
      <c r="A14" s="21" t="n">
        <v>43851</v>
      </c>
      <c r="B14" t="n">
        <v>0.04</v>
      </c>
    </row>
    <row r="15">
      <c r="A15" s="21" t="n">
        <v>43852</v>
      </c>
      <c r="B15" t="n">
        <v>0.05</v>
      </c>
    </row>
    <row r="16">
      <c r="A16" s="21" t="n">
        <v>43853</v>
      </c>
      <c r="B16" t="n">
        <v>0.04</v>
      </c>
    </row>
    <row r="17">
      <c r="A17" s="21" t="n">
        <v>43854</v>
      </c>
      <c r="B17" t="n">
        <v>0.02</v>
      </c>
    </row>
    <row r="18">
      <c r="A18" s="21" t="n">
        <v>43857</v>
      </c>
      <c r="B18" t="n">
        <v>-0.02</v>
      </c>
    </row>
    <row r="19">
      <c r="A19" s="21" t="n">
        <v>43858</v>
      </c>
      <c r="B19" t="n">
        <v>0</v>
      </c>
    </row>
    <row r="20">
      <c r="A20" s="21" t="n">
        <v>43859</v>
      </c>
      <c r="B20" t="n">
        <v>-0.04</v>
      </c>
    </row>
    <row r="21">
      <c r="A21" s="21" t="n">
        <v>43860</v>
      </c>
      <c r="B21" t="n">
        <v>-0.07000000000000001</v>
      </c>
    </row>
    <row r="22">
      <c r="A22" s="21" t="n">
        <v>43861</v>
      </c>
      <c r="B22" t="n">
        <v>-0.14</v>
      </c>
    </row>
    <row r="23">
      <c r="A23" s="21" t="n">
        <v>43864</v>
      </c>
      <c r="B23" t="n">
        <v>-0.09</v>
      </c>
    </row>
    <row r="24">
      <c r="A24" s="21" t="n">
        <v>43865</v>
      </c>
      <c r="B24" t="n">
        <v>-0.03</v>
      </c>
    </row>
    <row r="25">
      <c r="A25" s="21" t="n">
        <v>43866</v>
      </c>
      <c r="B25" t="n">
        <v>0</v>
      </c>
    </row>
    <row r="26">
      <c r="A26" s="21" t="n">
        <v>43867</v>
      </c>
      <c r="B26" t="n">
        <v>-0.02</v>
      </c>
    </row>
    <row r="27">
      <c r="A27" s="21" t="n">
        <v>43868</v>
      </c>
      <c r="B27" t="n">
        <v>-0.07000000000000001</v>
      </c>
    </row>
    <row r="28">
      <c r="A28" s="21" t="n">
        <v>43871</v>
      </c>
      <c r="B28" t="n">
        <v>-0.1</v>
      </c>
    </row>
    <row r="29">
      <c r="A29" s="21" t="n">
        <v>43872</v>
      </c>
      <c r="B29" t="n">
        <v>-0.06</v>
      </c>
    </row>
    <row r="30">
      <c r="A30" s="21" t="n">
        <v>43873</v>
      </c>
      <c r="B30" t="n">
        <v>-0.04</v>
      </c>
    </row>
    <row r="31">
      <c r="A31" s="21" t="n">
        <v>43874</v>
      </c>
      <c r="B31" t="n">
        <v>-0.06</v>
      </c>
    </row>
    <row r="32">
      <c r="A32" s="21" t="n">
        <v>43875</v>
      </c>
      <c r="B32" t="n">
        <v>-0.07000000000000001</v>
      </c>
    </row>
    <row r="33">
      <c r="A33" s="21" t="n">
        <v>43879</v>
      </c>
      <c r="B33" t="n">
        <v>-0.1</v>
      </c>
    </row>
    <row r="34">
      <c r="A34" s="21" t="n">
        <v>43880</v>
      </c>
      <c r="B34" t="n">
        <v>-0.09</v>
      </c>
    </row>
    <row r="35">
      <c r="A35" s="21" t="n">
        <v>43881</v>
      </c>
      <c r="B35" t="n">
        <v>-0.11</v>
      </c>
    </row>
    <row r="36">
      <c r="A36" s="21" t="n">
        <v>43882</v>
      </c>
      <c r="B36" t="n">
        <v>-0.15</v>
      </c>
    </row>
    <row r="37">
      <c r="A37" s="21" t="n">
        <v>43885</v>
      </c>
      <c r="B37" t="n">
        <v>-0.21</v>
      </c>
    </row>
    <row r="38">
      <c r="A38" s="21" t="n">
        <v>43886</v>
      </c>
      <c r="B38" t="n">
        <v>-0.2</v>
      </c>
    </row>
    <row r="39">
      <c r="A39" s="21" t="n">
        <v>43887</v>
      </c>
      <c r="B39" t="n">
        <v>-0.21</v>
      </c>
    </row>
    <row r="40">
      <c r="A40" s="21" t="n">
        <v>43888</v>
      </c>
      <c r="B40" t="n">
        <v>-0.23</v>
      </c>
    </row>
    <row r="41">
      <c r="A41" s="21" t="n">
        <v>43889</v>
      </c>
      <c r="B41" t="n">
        <v>-0.28</v>
      </c>
    </row>
    <row r="42">
      <c r="A42" s="21" t="n">
        <v>43892</v>
      </c>
      <c r="B42" t="n">
        <v>-0.31</v>
      </c>
    </row>
    <row r="43">
      <c r="A43" s="21" t="n">
        <v>43893</v>
      </c>
      <c r="B43" t="n">
        <v>-0.43</v>
      </c>
    </row>
    <row r="44">
      <c r="A44" s="21" t="n">
        <v>43894</v>
      </c>
      <c r="B44" t="n">
        <v>-0.44</v>
      </c>
    </row>
    <row r="45">
      <c r="A45" s="21" t="n">
        <v>43895</v>
      </c>
      <c r="B45" t="n">
        <v>-0.48</v>
      </c>
    </row>
    <row r="46">
      <c r="A46" s="21" t="n">
        <v>43896</v>
      </c>
      <c r="B46" t="n">
        <v>-0.57</v>
      </c>
    </row>
    <row r="47">
      <c r="A47" s="21" t="n">
        <v>43899</v>
      </c>
      <c r="B47" t="n">
        <v>-0.45</v>
      </c>
    </row>
    <row r="48">
      <c r="A48" s="21" t="n">
        <v>43900</v>
      </c>
      <c r="B48" t="n">
        <v>-0.24</v>
      </c>
    </row>
    <row r="49">
      <c r="A49" s="21" t="n">
        <v>43901</v>
      </c>
      <c r="B49" t="n">
        <v>-0.14</v>
      </c>
    </row>
    <row r="50">
      <c r="A50" s="21" t="n">
        <v>43902</v>
      </c>
      <c r="B50" t="n">
        <v>-0.04</v>
      </c>
    </row>
    <row r="51">
      <c r="A51" s="21" t="n">
        <v>43903</v>
      </c>
      <c r="B51" t="n">
        <v>0.04</v>
      </c>
    </row>
    <row r="52">
      <c r="A52" s="21" t="n">
        <v>43906</v>
      </c>
      <c r="B52" t="n">
        <v>0</v>
      </c>
    </row>
    <row r="53">
      <c r="A53" s="21" t="n">
        <v>43907</v>
      </c>
      <c r="B53" t="n">
        <v>0.39</v>
      </c>
    </row>
    <row r="54">
      <c r="A54" s="21" t="n">
        <v>43908</v>
      </c>
      <c r="B54" t="n">
        <v>0.55</v>
      </c>
    </row>
    <row r="55">
      <c r="A55" s="21" t="n">
        <v>43909</v>
      </c>
      <c r="B55" t="n">
        <v>0.62</v>
      </c>
    </row>
    <row r="56">
      <c r="A56" s="21" t="n">
        <v>43910</v>
      </c>
      <c r="B56" t="n">
        <v>0.17</v>
      </c>
    </row>
    <row r="57">
      <c r="A57" s="21" t="n">
        <v>43913</v>
      </c>
      <c r="B57" t="n">
        <v>-0.04</v>
      </c>
    </row>
    <row r="58">
      <c r="A58" s="21" t="n">
        <v>43914</v>
      </c>
      <c r="B58" t="n">
        <v>-0.13</v>
      </c>
    </row>
    <row r="59">
      <c r="A59" s="21" t="n">
        <v>43915</v>
      </c>
      <c r="B59" t="n">
        <v>-0.19</v>
      </c>
    </row>
    <row r="60">
      <c r="A60" s="21" t="n">
        <v>43916</v>
      </c>
      <c r="B60" t="n">
        <v>-0.24</v>
      </c>
    </row>
    <row r="61">
      <c r="A61" s="21" t="n">
        <v>43917</v>
      </c>
      <c r="B61" t="n">
        <v>-0.22</v>
      </c>
    </row>
    <row r="62">
      <c r="A62" s="21" t="n">
        <v>43920</v>
      </c>
      <c r="B62" t="n">
        <v>-0.25</v>
      </c>
    </row>
    <row r="63">
      <c r="A63" s="21" t="n">
        <v>43921</v>
      </c>
      <c r="B63" t="n">
        <v>-0.17</v>
      </c>
    </row>
    <row r="64">
      <c r="A64" s="21" t="n">
        <v>43922</v>
      </c>
      <c r="B64" t="n">
        <v>-0.29</v>
      </c>
    </row>
    <row r="65">
      <c r="A65" s="21" t="n">
        <v>43923</v>
      </c>
      <c r="B65" t="n">
        <v>-0.4</v>
      </c>
    </row>
    <row r="66">
      <c r="A66" s="21" t="n">
        <v>43924</v>
      </c>
      <c r="B66" t="n">
        <v>-0.46</v>
      </c>
    </row>
    <row r="67">
      <c r="A67" s="21" t="n">
        <v>43927</v>
      </c>
      <c r="B67" t="n">
        <v>-0.47</v>
      </c>
    </row>
    <row r="68">
      <c r="A68" s="21" t="n">
        <v>43928</v>
      </c>
      <c r="B68" t="n">
        <v>-0.42</v>
      </c>
    </row>
    <row r="69">
      <c r="A69" s="21" t="n">
        <v>43929</v>
      </c>
      <c r="B69" t="n">
        <v>-0.42</v>
      </c>
    </row>
    <row r="70">
      <c r="A70" s="21" t="n">
        <v>43930</v>
      </c>
      <c r="B70" t="n">
        <v>-0.5</v>
      </c>
    </row>
    <row r="71">
      <c r="A71" s="21" t="n">
        <v>43934</v>
      </c>
      <c r="B71" t="n">
        <v>-0.5</v>
      </c>
    </row>
    <row r="72">
      <c r="A72" s="21" t="n">
        <v>43935</v>
      </c>
      <c r="B72" t="n">
        <v>-0.53</v>
      </c>
    </row>
    <row r="73">
      <c r="A73" s="21" t="n">
        <v>43936</v>
      </c>
      <c r="B73" t="n">
        <v>-0.5600000000000001</v>
      </c>
    </row>
    <row r="74">
      <c r="A74" s="21" t="n">
        <v>43937</v>
      </c>
      <c r="B74" t="n">
        <v>-0.42</v>
      </c>
    </row>
    <row r="75">
      <c r="A75" s="21" t="n">
        <v>43938</v>
      </c>
      <c r="B75" t="n">
        <v>-0.36</v>
      </c>
    </row>
    <row r="76">
      <c r="A76" s="21" t="n">
        <v>43941</v>
      </c>
      <c r="B76" t="n">
        <v>-0.31</v>
      </c>
    </row>
    <row r="77">
      <c r="A77" s="21" t="n">
        <v>43942</v>
      </c>
      <c r="B77" t="n">
        <v>-0.38</v>
      </c>
    </row>
    <row r="78">
      <c r="A78" s="21" t="n">
        <v>43943</v>
      </c>
      <c r="B78" t="n">
        <v>-0.43</v>
      </c>
    </row>
    <row r="79">
      <c r="A79" s="21" t="n">
        <v>43944</v>
      </c>
      <c r="B79" t="n">
        <v>-0.44</v>
      </c>
    </row>
    <row r="80">
      <c r="A80" s="21" t="n">
        <v>43945</v>
      </c>
      <c r="B80" t="n">
        <v>-0.51</v>
      </c>
    </row>
    <row r="81">
      <c r="A81" s="21" t="n">
        <v>43948</v>
      </c>
      <c r="B81" t="n">
        <v>-0.5</v>
      </c>
    </row>
    <row r="82">
      <c r="A82" s="21" t="n">
        <v>43949</v>
      </c>
      <c r="B82" t="n">
        <v>-0.52</v>
      </c>
    </row>
    <row r="83">
      <c r="A83" s="21" t="n">
        <v>43950</v>
      </c>
      <c r="B83" t="n">
        <v>-0.51</v>
      </c>
    </row>
    <row r="84">
      <c r="A84" s="21" t="n">
        <v>43951</v>
      </c>
      <c r="B84" t="n">
        <v>-0.43</v>
      </c>
    </row>
    <row r="85">
      <c r="A85" s="21" t="n">
        <v>43952</v>
      </c>
      <c r="B85" t="n">
        <v>-0.42</v>
      </c>
    </row>
    <row r="86">
      <c r="A86" s="21" t="n">
        <v>43955</v>
      </c>
      <c r="B86" t="n">
        <v>-0.43</v>
      </c>
    </row>
    <row r="87">
      <c r="A87" s="21" t="n">
        <v>43956</v>
      </c>
      <c r="B87" t="n">
        <v>-0.44</v>
      </c>
    </row>
    <row r="88">
      <c r="A88" s="21" t="n">
        <v>43957</v>
      </c>
      <c r="B88" t="n">
        <v>-0.38</v>
      </c>
    </row>
    <row r="89">
      <c r="A89" s="21" t="n">
        <v>43958</v>
      </c>
      <c r="B89" t="n">
        <v>-0.45</v>
      </c>
    </row>
    <row r="90">
      <c r="A90" s="21" t="n">
        <v>43959</v>
      </c>
      <c r="B90" t="n">
        <v>-0.43</v>
      </c>
    </row>
    <row r="91">
      <c r="A91" s="21" t="n">
        <v>43962</v>
      </c>
      <c r="B91" t="n">
        <v>-0.4</v>
      </c>
    </row>
    <row r="92">
      <c r="A92" s="21" t="n">
        <v>43963</v>
      </c>
      <c r="B92" t="n">
        <v>-0.4</v>
      </c>
    </row>
    <row r="93">
      <c r="A93" s="21" t="n">
        <v>43964</v>
      </c>
      <c r="B93" t="n">
        <v>-0.43</v>
      </c>
    </row>
    <row r="94">
      <c r="A94" s="21" t="n">
        <v>43965</v>
      </c>
      <c r="B94" t="n">
        <v>-0.43</v>
      </c>
    </row>
    <row r="95">
      <c r="A95" s="21" t="n">
        <v>43966</v>
      </c>
      <c r="B95" t="n">
        <v>-0.45</v>
      </c>
    </row>
    <row r="96">
      <c r="A96" s="21" t="n">
        <v>43969</v>
      </c>
      <c r="B96" t="n">
        <v>-0.44</v>
      </c>
    </row>
    <row r="97">
      <c r="A97" s="21" t="n">
        <v>43970</v>
      </c>
      <c r="B97" t="n">
        <v>-0.45</v>
      </c>
    </row>
    <row r="98">
      <c r="A98" s="21" t="n">
        <v>43971</v>
      </c>
      <c r="B98" t="n">
        <v>-0.48</v>
      </c>
    </row>
    <row r="99">
      <c r="A99" s="21" t="n">
        <v>43972</v>
      </c>
      <c r="B99" t="n">
        <v>-0.46</v>
      </c>
    </row>
    <row r="100">
      <c r="A100" s="21" t="n">
        <v>43973</v>
      </c>
      <c r="B100" t="n">
        <v>-0.46</v>
      </c>
    </row>
    <row r="101">
      <c r="A101" s="21" t="n">
        <v>43977</v>
      </c>
      <c r="B101" t="n">
        <v>-0.44</v>
      </c>
    </row>
    <row r="102">
      <c r="A102" s="21" t="n">
        <v>43978</v>
      </c>
      <c r="B102" t="n">
        <v>-0.46</v>
      </c>
    </row>
    <row r="103">
      <c r="A103" s="21" t="n">
        <v>43979</v>
      </c>
      <c r="B103" t="n">
        <v>-0.48</v>
      </c>
    </row>
    <row r="104">
      <c r="A104" s="21" t="n">
        <v>43980</v>
      </c>
      <c r="B104" t="n">
        <v>-0.5</v>
      </c>
    </row>
    <row r="105">
      <c r="A105" s="21" t="n">
        <v>43983</v>
      </c>
      <c r="B105" t="n">
        <v>-0.52</v>
      </c>
    </row>
    <row r="106">
      <c r="A106" s="21" t="n">
        <v>43984</v>
      </c>
      <c r="B106" t="n">
        <v>-0.5</v>
      </c>
    </row>
    <row r="107">
      <c r="A107" s="21" t="n">
        <v>43985</v>
      </c>
      <c r="B107" t="n">
        <v>-0.44</v>
      </c>
    </row>
    <row r="108">
      <c r="A108" s="21" t="n">
        <v>43986</v>
      </c>
      <c r="B108" t="n">
        <v>-0.4</v>
      </c>
    </row>
    <row r="109">
      <c r="A109" s="21" t="n">
        <v>43987</v>
      </c>
      <c r="B109" t="n">
        <v>-0.36</v>
      </c>
    </row>
    <row r="110">
      <c r="A110" s="21" t="n">
        <v>43990</v>
      </c>
      <c r="B110" t="n">
        <v>-0.4</v>
      </c>
    </row>
    <row r="111">
      <c r="A111" s="21" t="n">
        <v>43991</v>
      </c>
      <c r="B111" t="n">
        <v>-0.42</v>
      </c>
    </row>
    <row r="112">
      <c r="A112" s="21" t="n">
        <v>43992</v>
      </c>
      <c r="B112" t="n">
        <v>-0.52</v>
      </c>
    </row>
    <row r="113">
      <c r="A113" s="21" t="n">
        <v>43993</v>
      </c>
      <c r="B113" t="n">
        <v>-0.55</v>
      </c>
    </row>
    <row r="114">
      <c r="A114" s="21" t="n">
        <v>43994</v>
      </c>
      <c r="B114" t="n">
        <v>-0.5</v>
      </c>
    </row>
    <row r="115">
      <c r="A115" s="21" t="n">
        <v>43997</v>
      </c>
      <c r="B115" t="n">
        <v>-0.52</v>
      </c>
    </row>
    <row r="116">
      <c r="A116" s="21" t="n">
        <v>43998</v>
      </c>
      <c r="B116" t="n">
        <v>-0.52</v>
      </c>
    </row>
    <row r="117">
      <c r="A117" s="21" t="n">
        <v>43999</v>
      </c>
      <c r="B117" t="n">
        <v>-0.52</v>
      </c>
    </row>
    <row r="118">
      <c r="A118" s="21" t="n">
        <v>44000</v>
      </c>
      <c r="B118" t="n">
        <v>-0.57</v>
      </c>
    </row>
    <row r="119">
      <c r="A119" s="21" t="n">
        <v>44001</v>
      </c>
      <c r="B119" t="n">
        <v>-0.6</v>
      </c>
    </row>
    <row r="120">
      <c r="A120" s="21" t="n">
        <v>44004</v>
      </c>
      <c r="B120" t="n">
        <v>-0.63</v>
      </c>
    </row>
    <row r="121">
      <c r="A121" s="21" t="n">
        <v>44005</v>
      </c>
      <c r="B121" t="n">
        <v>-0.66</v>
      </c>
    </row>
    <row r="122">
      <c r="A122" s="21" t="n">
        <v>44006</v>
      </c>
      <c r="B122" t="n">
        <v>-0.64</v>
      </c>
    </row>
    <row r="123">
      <c r="A123" s="21" t="n">
        <v>44007</v>
      </c>
      <c r="B123" t="n">
        <v>-0.65</v>
      </c>
    </row>
    <row r="124">
      <c r="A124" s="21" t="n">
        <v>44008</v>
      </c>
      <c r="B124" t="n">
        <v>-0.68</v>
      </c>
    </row>
    <row r="125">
      <c r="A125" s="21" t="n">
        <v>44011</v>
      </c>
      <c r="B125" t="n">
        <v>-0.7</v>
      </c>
    </row>
    <row r="126">
      <c r="A126" s="21" t="n">
        <v>44012</v>
      </c>
      <c r="B126" t="n">
        <v>-0.68</v>
      </c>
    </row>
    <row r="127">
      <c r="A127" s="21" t="n">
        <v>44013</v>
      </c>
      <c r="B127" t="n">
        <v>-0.68</v>
      </c>
    </row>
    <row r="128">
      <c r="A128" s="21" t="n">
        <v>44014</v>
      </c>
      <c r="B128" t="n">
        <v>-0.73</v>
      </c>
    </row>
    <row r="129">
      <c r="A129" s="21" t="n">
        <v>44018</v>
      </c>
      <c r="B129" t="n">
        <v>-0.76</v>
      </c>
    </row>
    <row r="130">
      <c r="A130" s="21" t="n">
        <v>44019</v>
      </c>
      <c r="B130" t="n">
        <v>-0.78</v>
      </c>
    </row>
    <row r="131">
      <c r="A131" s="21" t="n">
        <v>44020</v>
      </c>
      <c r="B131" t="n">
        <v>-0.75</v>
      </c>
    </row>
    <row r="132">
      <c r="A132" s="21" t="n">
        <v>44021</v>
      </c>
      <c r="B132" t="n">
        <v>-0.77</v>
      </c>
    </row>
    <row r="133">
      <c r="A133" s="21" t="n">
        <v>44022</v>
      </c>
      <c r="B133" t="n">
        <v>-0.76</v>
      </c>
    </row>
    <row r="134">
      <c r="A134" s="21" t="n">
        <v>44025</v>
      </c>
      <c r="B134" t="n">
        <v>-0.78</v>
      </c>
    </row>
    <row r="135">
      <c r="A135" s="21" t="n">
        <v>44026</v>
      </c>
      <c r="B135" t="n">
        <v>-0.78</v>
      </c>
    </row>
    <row r="136">
      <c r="A136" s="21" t="n">
        <v>44027</v>
      </c>
      <c r="B136" t="n">
        <v>-0.77</v>
      </c>
    </row>
    <row r="137">
      <c r="A137" s="21" t="n">
        <v>44028</v>
      </c>
      <c r="B137" t="n">
        <v>-0.79</v>
      </c>
    </row>
    <row r="138">
      <c r="A138" s="21" t="n">
        <v>44029</v>
      </c>
      <c r="B138" t="n">
        <v>-0.82</v>
      </c>
    </row>
    <row r="139">
      <c r="A139" s="21" t="n">
        <v>44032</v>
      </c>
      <c r="B139" t="n">
        <v>-0.84</v>
      </c>
    </row>
    <row r="140">
      <c r="A140" s="21" t="n">
        <v>44033</v>
      </c>
      <c r="B140" t="n">
        <v>-0.87</v>
      </c>
    </row>
    <row r="141">
      <c r="A141" s="21" t="n">
        <v>44034</v>
      </c>
      <c r="B141" t="n">
        <v>-0.88</v>
      </c>
    </row>
    <row r="142">
      <c r="A142" s="21" t="n">
        <v>44035</v>
      </c>
      <c r="B142" t="n">
        <v>-0.9</v>
      </c>
    </row>
    <row r="143">
      <c r="A143" s="21" t="n">
        <v>44036</v>
      </c>
      <c r="B143" t="n">
        <v>-0.92</v>
      </c>
    </row>
    <row r="144">
      <c r="A144" s="21" t="n">
        <v>44039</v>
      </c>
      <c r="B144" t="n">
        <v>-0.9</v>
      </c>
    </row>
    <row r="145">
      <c r="A145" s="21" t="n">
        <v>44040</v>
      </c>
      <c r="B145" t="n">
        <v>-0.92</v>
      </c>
    </row>
    <row r="146">
      <c r="A146" s="21" t="n">
        <v>44041</v>
      </c>
      <c r="B146" t="n">
        <v>-0.95</v>
      </c>
    </row>
    <row r="147">
      <c r="A147" s="21" t="n">
        <v>44042</v>
      </c>
      <c r="B147" t="n">
        <v>-0.97</v>
      </c>
    </row>
    <row r="148">
      <c r="A148" s="21" t="n">
        <v>44043</v>
      </c>
      <c r="B148" t="n">
        <v>-1</v>
      </c>
    </row>
    <row r="149">
      <c r="A149" s="21" t="n">
        <v>44046</v>
      </c>
      <c r="B149" t="n">
        <v>-1.02</v>
      </c>
    </row>
    <row r="150">
      <c r="A150" s="21" t="n">
        <v>44047</v>
      </c>
      <c r="B150" t="n">
        <v>-1.05</v>
      </c>
    </row>
    <row r="151">
      <c r="A151" s="21" t="n">
        <v>44048</v>
      </c>
      <c r="B151" t="n">
        <v>-1.06</v>
      </c>
    </row>
    <row r="152">
      <c r="A152" s="21" t="n">
        <v>44049</v>
      </c>
      <c r="B152" t="n">
        <v>-1.08</v>
      </c>
    </row>
    <row r="153">
      <c r="A153" s="21" t="n">
        <v>44050</v>
      </c>
      <c r="B153" t="n">
        <v>-1.04</v>
      </c>
    </row>
    <row r="154">
      <c r="A154" s="21" t="n">
        <v>44053</v>
      </c>
      <c r="B154" t="n">
        <v>-1.02</v>
      </c>
    </row>
    <row r="155">
      <c r="A155" s="21" t="n">
        <v>44054</v>
      </c>
      <c r="B155" t="n">
        <v>-0.99</v>
      </c>
    </row>
    <row r="156">
      <c r="A156" s="21" t="n">
        <v>44055</v>
      </c>
      <c r="B156" t="n">
        <v>-0.98</v>
      </c>
    </row>
    <row r="157">
      <c r="A157" s="21" t="n">
        <v>44056</v>
      </c>
      <c r="B157" t="n">
        <v>-0.96</v>
      </c>
    </row>
    <row r="158">
      <c r="A158" s="21" t="n">
        <v>44057</v>
      </c>
      <c r="B158" t="n">
        <v>-0.9399999999999999</v>
      </c>
    </row>
    <row r="159">
      <c r="A159" s="21" t="n">
        <v>44060</v>
      </c>
      <c r="B159" t="n">
        <v>-0.97</v>
      </c>
    </row>
    <row r="160">
      <c r="A160" s="21" t="n">
        <v>44061</v>
      </c>
      <c r="B160" t="n">
        <v>-1.01</v>
      </c>
    </row>
    <row r="161">
      <c r="A161" s="21" t="n">
        <v>44062</v>
      </c>
      <c r="B161" t="n">
        <v>-0.99</v>
      </c>
    </row>
    <row r="162">
      <c r="A162" s="21" t="n">
        <v>44063</v>
      </c>
      <c r="B162" t="n">
        <v>-0.97</v>
      </c>
    </row>
    <row r="163">
      <c r="A163" s="21" t="n">
        <v>44064</v>
      </c>
      <c r="B163" t="n">
        <v>-1</v>
      </c>
    </row>
    <row r="164">
      <c r="A164" s="21" t="n">
        <v>44067</v>
      </c>
      <c r="B164" t="n">
        <v>-1.02</v>
      </c>
    </row>
    <row r="165">
      <c r="A165" s="21" t="n">
        <v>44068</v>
      </c>
      <c r="B165" t="n">
        <v>-1.01</v>
      </c>
    </row>
    <row r="166">
      <c r="A166" s="21" t="n">
        <v>44069</v>
      </c>
      <c r="B166" t="n">
        <v>-1.03</v>
      </c>
    </row>
    <row r="167">
      <c r="A167" s="21" t="n">
        <v>44070</v>
      </c>
      <c r="B167" t="n">
        <v>-0.99</v>
      </c>
    </row>
    <row r="168">
      <c r="A168" s="21" t="n">
        <v>44071</v>
      </c>
      <c r="B168" t="n">
        <v>-1.03</v>
      </c>
    </row>
    <row r="169">
      <c r="A169" s="21" t="n">
        <v>44074</v>
      </c>
      <c r="B169" t="n">
        <v>-1.08</v>
      </c>
    </row>
    <row r="170">
      <c r="A170" s="21" t="n">
        <v>44075</v>
      </c>
      <c r="B170" t="n">
        <v>-1.08</v>
      </c>
    </row>
    <row r="171">
      <c r="A171" s="21" t="n">
        <v>44076</v>
      </c>
      <c r="B171" t="n">
        <v>-1.07</v>
      </c>
    </row>
    <row r="172">
      <c r="A172" s="21" t="n">
        <v>44077</v>
      </c>
      <c r="B172" t="n">
        <v>-1.02</v>
      </c>
    </row>
    <row r="173">
      <c r="A173" s="21" t="n">
        <v>44078</v>
      </c>
      <c r="B173" t="n">
        <v>-0.98</v>
      </c>
    </row>
    <row r="174">
      <c r="A174" s="21" t="n">
        <v>44082</v>
      </c>
      <c r="B174" t="n">
        <v>-0.99</v>
      </c>
    </row>
    <row r="175">
      <c r="A175" s="21" t="n">
        <v>44083</v>
      </c>
      <c r="B175" t="n">
        <v>-1</v>
      </c>
    </row>
    <row r="176">
      <c r="A176" s="21" t="n">
        <v>44084</v>
      </c>
      <c r="B176" t="n">
        <v>-1.01</v>
      </c>
    </row>
    <row r="177">
      <c r="A177" s="21" t="n">
        <v>44085</v>
      </c>
      <c r="B177" t="n">
        <v>-0.98</v>
      </c>
    </row>
    <row r="178">
      <c r="A178" s="21" t="n">
        <v>44088</v>
      </c>
      <c r="B178" t="n">
        <v>-0.97</v>
      </c>
    </row>
    <row r="179">
      <c r="A179" s="21" t="n">
        <v>44089</v>
      </c>
      <c r="B179" t="n">
        <v>-0.99</v>
      </c>
    </row>
    <row r="180">
      <c r="A180" s="21" t="n">
        <v>44090</v>
      </c>
      <c r="B180" t="n">
        <v>-0.99</v>
      </c>
    </row>
    <row r="181">
      <c r="A181" s="21" t="n">
        <v>44091</v>
      </c>
      <c r="B181" t="n">
        <v>-0.97</v>
      </c>
    </row>
    <row r="182">
      <c r="A182" s="21" t="n">
        <v>44092</v>
      </c>
      <c r="B182" t="n">
        <v>-0.97</v>
      </c>
    </row>
    <row r="183">
      <c r="A183" s="21" t="n">
        <v>44095</v>
      </c>
      <c r="B183" t="n">
        <v>-0.9399999999999999</v>
      </c>
    </row>
    <row r="184">
      <c r="A184" s="21" t="n">
        <v>44096</v>
      </c>
      <c r="B184" t="n">
        <v>-0.9399999999999999</v>
      </c>
    </row>
    <row r="185">
      <c r="A185" s="21" t="n">
        <v>44097</v>
      </c>
      <c r="B185" t="n">
        <v>-0.92</v>
      </c>
    </row>
    <row r="186">
      <c r="A186" s="21" t="n">
        <v>44098</v>
      </c>
      <c r="B186" t="n">
        <v>-0.91</v>
      </c>
    </row>
    <row r="187">
      <c r="A187" s="21" t="n">
        <v>44099</v>
      </c>
      <c r="B187" t="n">
        <v>-0.92</v>
      </c>
    </row>
    <row r="188">
      <c r="A188" s="21" t="n">
        <v>44102</v>
      </c>
      <c r="B188" t="n">
        <v>-0.9399999999999999</v>
      </c>
    </row>
    <row r="189">
      <c r="A189" s="21" t="n">
        <v>44103</v>
      </c>
      <c r="B189" t="n">
        <v>-0.98</v>
      </c>
    </row>
    <row r="190">
      <c r="A190" s="21" t="n">
        <v>44104</v>
      </c>
      <c r="B190" t="n">
        <v>-0.9399999999999999</v>
      </c>
    </row>
    <row r="191">
      <c r="A191" s="21" t="n">
        <v>44105</v>
      </c>
      <c r="B191" t="n">
        <v>-0.95</v>
      </c>
    </row>
    <row r="192">
      <c r="A192" s="21" t="n">
        <v>44106</v>
      </c>
      <c r="B192" t="n">
        <v>-0.9399999999999999</v>
      </c>
    </row>
    <row r="193">
      <c r="A193" s="21" t="n">
        <v>44109</v>
      </c>
      <c r="B193" t="n">
        <v>-0.9</v>
      </c>
    </row>
    <row r="194">
      <c r="A194" s="21" t="n">
        <v>44110</v>
      </c>
      <c r="B194" t="n">
        <v>-0.9</v>
      </c>
    </row>
    <row r="195">
      <c r="A195" s="21" t="n">
        <v>44111</v>
      </c>
      <c r="B195" t="n">
        <v>-0.9</v>
      </c>
    </row>
    <row r="196">
      <c r="A196" s="21" t="n">
        <v>44112</v>
      </c>
      <c r="B196" t="n">
        <v>-0.9399999999999999</v>
      </c>
    </row>
    <row r="197">
      <c r="A197" s="21" t="n">
        <v>44113</v>
      </c>
      <c r="B197" t="n">
        <v>-0.9399999999999999</v>
      </c>
    </row>
    <row r="198">
      <c r="A198" s="21" t="n">
        <v>44117</v>
      </c>
      <c r="B198" t="n">
        <v>-0.96</v>
      </c>
    </row>
    <row r="199">
      <c r="A199" s="21" t="n">
        <v>44118</v>
      </c>
      <c r="B199" t="n">
        <v>-0.96</v>
      </c>
    </row>
    <row r="200">
      <c r="A200" s="21" t="n">
        <v>44119</v>
      </c>
      <c r="B200" t="n">
        <v>-0.95</v>
      </c>
    </row>
    <row r="201">
      <c r="A201" s="21" t="n">
        <v>44120</v>
      </c>
      <c r="B201" t="n">
        <v>-0.95</v>
      </c>
    </row>
    <row r="202">
      <c r="A202" s="21" t="n">
        <v>44123</v>
      </c>
      <c r="B202" t="n">
        <v>-0.93</v>
      </c>
    </row>
    <row r="203">
      <c r="A203" s="21" t="n">
        <v>44124</v>
      </c>
      <c r="B203" t="n">
        <v>-0.91</v>
      </c>
    </row>
    <row r="204">
      <c r="A204" s="21" t="n">
        <v>44125</v>
      </c>
      <c r="B204" t="n">
        <v>-0.91</v>
      </c>
    </row>
    <row r="205">
      <c r="A205" s="21" t="n">
        <v>44126</v>
      </c>
      <c r="B205" t="n">
        <v>-0.89</v>
      </c>
    </row>
    <row r="206">
      <c r="A206" s="21" t="n">
        <v>44127</v>
      </c>
      <c r="B206" t="n">
        <v>-0.9</v>
      </c>
    </row>
    <row r="207">
      <c r="A207" s="21" t="n">
        <v>44130</v>
      </c>
      <c r="B207" t="n">
        <v>-0.91</v>
      </c>
    </row>
    <row r="208">
      <c r="A208" s="21" t="n">
        <v>44131</v>
      </c>
      <c r="B208" t="n">
        <v>-0.92</v>
      </c>
    </row>
    <row r="209">
      <c r="A209" s="21" t="n">
        <v>44132</v>
      </c>
      <c r="B209" t="n">
        <v>-0.91</v>
      </c>
    </row>
    <row r="210">
      <c r="A210" s="21" t="n">
        <v>44133</v>
      </c>
      <c r="B210" t="n">
        <v>-0.86</v>
      </c>
    </row>
    <row r="211">
      <c r="A211" s="21" t="n">
        <v>44134</v>
      </c>
      <c r="B211" t="n">
        <v>-0.82</v>
      </c>
    </row>
    <row r="212">
      <c r="A212" s="21" t="n">
        <v>44137</v>
      </c>
      <c r="B212" t="n">
        <v>-0.84</v>
      </c>
    </row>
    <row r="213">
      <c r="A213" s="21" t="n">
        <v>44138</v>
      </c>
      <c r="B213" t="n">
        <v>-0.82</v>
      </c>
    </row>
    <row r="214">
      <c r="A214" s="21" t="n">
        <v>44139</v>
      </c>
      <c r="B214" t="n">
        <v>-0.86</v>
      </c>
    </row>
    <row r="215">
      <c r="A215" s="21" t="n">
        <v>44140</v>
      </c>
      <c r="B215" t="n">
        <v>-0.87</v>
      </c>
    </row>
    <row r="216">
      <c r="A216" s="21" t="n">
        <v>44141</v>
      </c>
      <c r="B216" t="n">
        <v>-0.82</v>
      </c>
    </row>
    <row r="217">
      <c r="A217" s="21" t="n">
        <v>44144</v>
      </c>
      <c r="B217" t="n">
        <v>-0.77</v>
      </c>
    </row>
    <row r="218">
      <c r="A218" s="21" t="n">
        <v>44145</v>
      </c>
      <c r="B218" t="n">
        <v>-0.78</v>
      </c>
    </row>
    <row r="219">
      <c r="A219" s="21" t="n">
        <v>44147</v>
      </c>
      <c r="B219" t="n">
        <v>-0.83</v>
      </c>
    </row>
    <row r="220">
      <c r="A220" s="21" t="n">
        <v>44148</v>
      </c>
      <c r="B220" t="n">
        <v>-0.83</v>
      </c>
    </row>
    <row r="221">
      <c r="A221" s="21" t="n">
        <v>44151</v>
      </c>
      <c r="B221" t="n">
        <v>-0.8100000000000001</v>
      </c>
    </row>
    <row r="222">
      <c r="A222" s="21" t="n">
        <v>44152</v>
      </c>
      <c r="B222" t="n">
        <v>-0.83</v>
      </c>
    </row>
    <row r="223">
      <c r="A223" s="21" t="n">
        <v>44153</v>
      </c>
      <c r="B223" t="n">
        <v>-0.82</v>
      </c>
    </row>
    <row r="224">
      <c r="A224" s="21" t="n">
        <v>44154</v>
      </c>
      <c r="B224" t="n">
        <v>-0.84</v>
      </c>
    </row>
    <row r="225">
      <c r="A225" s="21" t="n">
        <v>44155</v>
      </c>
      <c r="B225" t="n">
        <v>-0.86</v>
      </c>
    </row>
    <row r="226">
      <c r="A226" s="21" t="n">
        <v>44158</v>
      </c>
      <c r="B226" t="n">
        <v>-0.85</v>
      </c>
    </row>
    <row r="227">
      <c r="A227" s="21" t="n">
        <v>44159</v>
      </c>
      <c r="B227" t="n">
        <v>-0.86</v>
      </c>
    </row>
    <row r="228">
      <c r="A228" s="21" t="n">
        <v>44160</v>
      </c>
      <c r="B228" t="n">
        <v>-0.87</v>
      </c>
    </row>
    <row r="229">
      <c r="A229" s="21" t="n">
        <v>44162</v>
      </c>
      <c r="B229" t="n">
        <v>-0.91</v>
      </c>
    </row>
    <row r="230">
      <c r="A230" s="21" t="n">
        <v>44165</v>
      </c>
      <c r="B230" t="n">
        <v>-0.93</v>
      </c>
    </row>
    <row r="231">
      <c r="A231" s="21" t="n">
        <v>44166</v>
      </c>
      <c r="B231" t="n">
        <v>-0.89</v>
      </c>
    </row>
    <row r="232">
      <c r="A232" s="21" t="n">
        <v>44167</v>
      </c>
      <c r="B232" t="n">
        <v>-0.9</v>
      </c>
    </row>
    <row r="233">
      <c r="A233" s="21" t="n">
        <v>44168</v>
      </c>
      <c r="B233" t="n">
        <v>-0.9399999999999999</v>
      </c>
    </row>
    <row r="234">
      <c r="A234" s="21" t="n">
        <v>44169</v>
      </c>
      <c r="B234" t="n">
        <v>-0.92</v>
      </c>
    </row>
    <row r="235">
      <c r="A235" s="21" t="n">
        <v>44172</v>
      </c>
      <c r="B235" t="n">
        <v>-0.9399999999999999</v>
      </c>
    </row>
    <row r="236">
      <c r="A236" s="21" t="n">
        <v>44173</v>
      </c>
      <c r="B236" t="n">
        <v>-0.97</v>
      </c>
    </row>
    <row r="237">
      <c r="A237" s="21" t="n">
        <v>44174</v>
      </c>
      <c r="B237" t="n">
        <v>-0.96</v>
      </c>
    </row>
    <row r="238">
      <c r="A238" s="21" t="n">
        <v>44175</v>
      </c>
      <c r="B238" t="n">
        <v>-0.96</v>
      </c>
    </row>
    <row r="239">
      <c r="A239" s="21" t="n">
        <v>44176</v>
      </c>
      <c r="B239" t="n">
        <v>-0.97</v>
      </c>
    </row>
    <row r="240">
      <c r="A240" s="21" t="n">
        <v>44179</v>
      </c>
      <c r="B240" t="n">
        <v>-0.98</v>
      </c>
    </row>
    <row r="241">
      <c r="A241" s="21" t="n">
        <v>44180</v>
      </c>
      <c r="B241" t="n">
        <v>-0.99</v>
      </c>
    </row>
    <row r="242">
      <c r="A242" s="21" t="n">
        <v>44181</v>
      </c>
      <c r="B242" t="n">
        <v>-1</v>
      </c>
    </row>
    <row r="243">
      <c r="A243" s="21" t="n">
        <v>44182</v>
      </c>
      <c r="B243" t="n">
        <v>-1</v>
      </c>
    </row>
    <row r="244">
      <c r="A244" s="21" t="n">
        <v>44183</v>
      </c>
      <c r="B244" t="n">
        <v>-1</v>
      </c>
    </row>
    <row r="245">
      <c r="A245" s="21" t="n">
        <v>44186</v>
      </c>
      <c r="B245" t="n">
        <v>-1</v>
      </c>
    </row>
    <row r="246">
      <c r="A246" s="21" t="n">
        <v>44187</v>
      </c>
      <c r="B246" t="n">
        <v>-1.01</v>
      </c>
    </row>
    <row r="247">
      <c r="A247" s="21" t="n">
        <v>44188</v>
      </c>
      <c r="B247" t="n">
        <v>-1.01</v>
      </c>
    </row>
    <row r="248">
      <c r="A248" s="21" t="n">
        <v>44189</v>
      </c>
      <c r="B248" t="n">
        <v>-1.03</v>
      </c>
    </row>
    <row r="249">
      <c r="A249" s="21" t="n">
        <v>44193</v>
      </c>
      <c r="B249" t="n">
        <v>-1.03</v>
      </c>
    </row>
    <row r="250">
      <c r="A250" s="21" t="n">
        <v>44194</v>
      </c>
      <c r="B250" t="n">
        <v>-1.02</v>
      </c>
    </row>
    <row r="251">
      <c r="A251" s="21" t="n">
        <v>44195</v>
      </c>
      <c r="B251" t="n">
        <v>-1.03</v>
      </c>
    </row>
    <row r="252">
      <c r="A252" s="21" t="n">
        <v>44196</v>
      </c>
      <c r="B252" t="n">
        <v>-1.06</v>
      </c>
    </row>
    <row r="253">
      <c r="A253" s="21" t="n">
        <v>44200</v>
      </c>
      <c r="B253" t="n">
        <v>-1.08</v>
      </c>
    </row>
    <row r="254">
      <c r="A254" s="21" t="n">
        <v>44201</v>
      </c>
      <c r="B254" t="n">
        <v>-1.07</v>
      </c>
    </row>
    <row r="255">
      <c r="A255" s="21" t="n">
        <v>44202</v>
      </c>
      <c r="B255" t="n">
        <v>-1.02</v>
      </c>
    </row>
    <row r="256">
      <c r="A256" s="21" t="n">
        <v>44203</v>
      </c>
      <c r="B256" t="n">
        <v>-1.01</v>
      </c>
    </row>
    <row r="257">
      <c r="A257" s="21" t="n">
        <v>44204</v>
      </c>
      <c r="B257" t="n">
        <v>-0.93</v>
      </c>
    </row>
    <row r="258">
      <c r="A258" s="21" t="n">
        <v>44207</v>
      </c>
      <c r="B258" t="n">
        <v>-0.91</v>
      </c>
    </row>
    <row r="259">
      <c r="A259" s="21" t="n">
        <v>44208</v>
      </c>
      <c r="B259" t="n">
        <v>-0.93</v>
      </c>
    </row>
    <row r="260">
      <c r="A260" s="21" t="n">
        <v>44209</v>
      </c>
      <c r="B260" t="n">
        <v>-0.96</v>
      </c>
    </row>
    <row r="261">
      <c r="A261" s="21" t="n">
        <v>44210</v>
      </c>
      <c r="B261" t="n">
        <v>-0.9399999999999999</v>
      </c>
    </row>
    <row r="262">
      <c r="A262" s="21" t="n">
        <v>44211</v>
      </c>
      <c r="B262" t="n">
        <v>-0.99</v>
      </c>
    </row>
    <row r="263">
      <c r="A263" s="21" t="n">
        <v>44215</v>
      </c>
      <c r="B263" t="n">
        <v>-1</v>
      </c>
    </row>
    <row r="264">
      <c r="A264" s="21" t="n">
        <v>44216</v>
      </c>
      <c r="B264" t="n">
        <v>-1.02</v>
      </c>
    </row>
    <row r="265">
      <c r="A265" s="21" t="n">
        <v>44217</v>
      </c>
      <c r="B265" t="n">
        <v>-0.98</v>
      </c>
    </row>
    <row r="266">
      <c r="A266" s="21" t="n">
        <v>44218</v>
      </c>
      <c r="B266" t="n">
        <v>-0.99</v>
      </c>
    </row>
    <row r="267">
      <c r="A267" s="21" t="n">
        <v>44221</v>
      </c>
      <c r="B267" t="n">
        <v>-1.03</v>
      </c>
    </row>
    <row r="268">
      <c r="A268" s="21" t="n">
        <v>44222</v>
      </c>
      <c r="B268" t="n">
        <v>-1.03</v>
      </c>
    </row>
    <row r="269">
      <c r="A269" s="21" t="n">
        <v>44223</v>
      </c>
      <c r="B269" t="n">
        <v>-1.04</v>
      </c>
    </row>
    <row r="270">
      <c r="A270" s="21" t="n">
        <v>44224</v>
      </c>
      <c r="B270" t="n">
        <v>-1.06</v>
      </c>
    </row>
    <row r="271">
      <c r="A271" s="21" t="n">
        <v>44225</v>
      </c>
      <c r="B271" t="n">
        <v>-1.02</v>
      </c>
    </row>
    <row r="272">
      <c r="A272" s="21" t="n">
        <v>44228</v>
      </c>
      <c r="B272" t="n">
        <v>-1.02</v>
      </c>
    </row>
    <row r="273">
      <c r="A273" s="21" t="n">
        <v>44229</v>
      </c>
      <c r="B273" t="n">
        <v>-1.03</v>
      </c>
    </row>
    <row r="274">
      <c r="A274" s="21" t="n">
        <v>44230</v>
      </c>
      <c r="B274" t="n">
        <v>-1.04</v>
      </c>
    </row>
    <row r="275">
      <c r="A275" s="21" t="n">
        <v>44231</v>
      </c>
      <c r="B275" t="n">
        <v>-1.02</v>
      </c>
    </row>
    <row r="276">
      <c r="A276" s="21" t="n">
        <v>44232</v>
      </c>
      <c r="B276" t="n">
        <v>-1.02</v>
      </c>
    </row>
    <row r="277">
      <c r="A277" s="21" t="n">
        <v>44235</v>
      </c>
      <c r="B277" t="n">
        <v>-1.03</v>
      </c>
    </row>
    <row r="278">
      <c r="A278" s="21" t="n">
        <v>44236</v>
      </c>
      <c r="B278" t="n">
        <v>-1.04</v>
      </c>
    </row>
    <row r="279">
      <c r="A279" s="21" t="n">
        <v>44237</v>
      </c>
      <c r="B279" t="n">
        <v>-1.06</v>
      </c>
    </row>
    <row r="280">
      <c r="A280" s="21" t="n">
        <v>44238</v>
      </c>
      <c r="B280" t="n">
        <v>-1.04</v>
      </c>
    </row>
    <row r="281">
      <c r="A281" s="21" t="n">
        <v>44239</v>
      </c>
      <c r="B281" t="n">
        <v>-1.01</v>
      </c>
    </row>
    <row r="282">
      <c r="A282" s="21" t="n">
        <v>44243</v>
      </c>
      <c r="B282" t="n">
        <v>-0.9399999999999999</v>
      </c>
    </row>
    <row r="283">
      <c r="A283" s="21" t="n">
        <v>44244</v>
      </c>
      <c r="B283" t="n">
        <v>-0.92</v>
      </c>
    </row>
    <row r="284">
      <c r="A284" s="21" t="n">
        <v>44245</v>
      </c>
      <c r="B284" t="n">
        <v>-0.87</v>
      </c>
    </row>
    <row r="285">
      <c r="A285" s="21" t="n">
        <v>44246</v>
      </c>
      <c r="B285" t="n">
        <v>-0.8</v>
      </c>
    </row>
    <row r="286">
      <c r="A286" s="21" t="n">
        <v>44249</v>
      </c>
      <c r="B286" t="n">
        <v>-0.79</v>
      </c>
    </row>
    <row r="287">
      <c r="A287" s="21" t="n">
        <v>44250</v>
      </c>
      <c r="B287" t="n">
        <v>-0.79</v>
      </c>
    </row>
    <row r="288">
      <c r="A288" s="21" t="n">
        <v>44251</v>
      </c>
      <c r="B288" t="n">
        <v>-0.79</v>
      </c>
    </row>
    <row r="289">
      <c r="A289" s="21" t="n">
        <v>44252</v>
      </c>
      <c r="B289" t="n">
        <v>-0.6</v>
      </c>
    </row>
    <row r="290">
      <c r="A290" s="21" t="n">
        <v>44253</v>
      </c>
      <c r="B290" t="n">
        <v>-0.71</v>
      </c>
    </row>
    <row r="291">
      <c r="A291" s="21" t="n">
        <v>44256</v>
      </c>
      <c r="B291" t="n">
        <v>-0.71</v>
      </c>
    </row>
    <row r="292">
      <c r="A292" s="21" t="n">
        <v>44257</v>
      </c>
      <c r="B292" t="n">
        <v>-0.78</v>
      </c>
    </row>
    <row r="293">
      <c r="A293" s="21" t="n">
        <v>44258</v>
      </c>
      <c r="B293" t="n">
        <v>-0.74</v>
      </c>
    </row>
    <row r="294">
      <c r="A294" s="21" t="n">
        <v>44259</v>
      </c>
      <c r="B294" t="n">
        <v>-0.66</v>
      </c>
    </row>
    <row r="295">
      <c r="A295" s="21" t="n">
        <v>44260</v>
      </c>
      <c r="B295" t="n">
        <v>-0.66</v>
      </c>
    </row>
    <row r="296">
      <c r="A296" s="21" t="n">
        <v>44263</v>
      </c>
      <c r="B296" t="n">
        <v>-0.62</v>
      </c>
    </row>
    <row r="297">
      <c r="A297" s="21" t="n">
        <v>44264</v>
      </c>
      <c r="B297" t="n">
        <v>-0.66</v>
      </c>
    </row>
    <row r="298">
      <c r="A298" s="21" t="n">
        <v>44265</v>
      </c>
      <c r="B298" t="n">
        <v>-0.73</v>
      </c>
    </row>
    <row r="299">
      <c r="A299" s="21" t="n">
        <v>44266</v>
      </c>
      <c r="B299" t="n">
        <v>-0.74</v>
      </c>
    </row>
    <row r="300">
      <c r="A300" s="21" t="n">
        <v>44267</v>
      </c>
      <c r="B300" t="n">
        <v>-0.62</v>
      </c>
    </row>
    <row r="301">
      <c r="A301" s="21" t="n">
        <v>44270</v>
      </c>
      <c r="B301" t="n">
        <v>-0.65</v>
      </c>
    </row>
    <row r="302">
      <c r="A302" s="21" t="n">
        <v>44271</v>
      </c>
      <c r="B302" t="n">
        <v>-0.68</v>
      </c>
    </row>
    <row r="303">
      <c r="A303" s="21" t="n">
        <v>44272</v>
      </c>
      <c r="B303" t="n">
        <v>-0.67</v>
      </c>
    </row>
    <row r="304">
      <c r="A304" s="21" t="n">
        <v>44273</v>
      </c>
      <c r="B304" t="n">
        <v>-0.5600000000000001</v>
      </c>
    </row>
    <row r="305">
      <c r="A305" s="21" t="n">
        <v>44274</v>
      </c>
      <c r="B305" t="n">
        <v>-0.57</v>
      </c>
    </row>
    <row r="306">
      <c r="A306" s="21" t="n">
        <v>44277</v>
      </c>
      <c r="B306" t="n">
        <v>-0.64</v>
      </c>
    </row>
    <row r="307">
      <c r="A307" s="21" t="n">
        <v>44278</v>
      </c>
      <c r="B307" t="n">
        <v>-0.66</v>
      </c>
    </row>
    <row r="308">
      <c r="A308" s="21" t="n">
        <v>44279</v>
      </c>
      <c r="B308" t="n">
        <v>-0.6899999999999999</v>
      </c>
    </row>
    <row r="309">
      <c r="A309" s="21" t="n">
        <v>44280</v>
      </c>
      <c r="B309" t="n">
        <v>-0.6899999999999999</v>
      </c>
    </row>
    <row r="310">
      <c r="A310" s="21" t="n">
        <v>44281</v>
      </c>
      <c r="B310" t="n">
        <v>-0.67</v>
      </c>
    </row>
    <row r="311">
      <c r="A311" s="21" t="n">
        <v>44284</v>
      </c>
      <c r="B311" t="n">
        <v>-0.63</v>
      </c>
    </row>
    <row r="312">
      <c r="A312" s="21" t="n">
        <v>44285</v>
      </c>
      <c r="B312" t="n">
        <v>-0.62</v>
      </c>
    </row>
    <row r="313">
      <c r="A313" s="21" t="n">
        <v>44286</v>
      </c>
      <c r="B313" t="n">
        <v>-0.63</v>
      </c>
    </row>
    <row r="314">
      <c r="A314" s="21" t="n">
        <v>44287</v>
      </c>
      <c r="B314" t="n">
        <v>-0.66</v>
      </c>
    </row>
    <row r="315">
      <c r="A315" s="21" t="n">
        <v>44288</v>
      </c>
      <c r="B315" t="n">
        <v>-0.64</v>
      </c>
    </row>
    <row r="316">
      <c r="A316" s="21" t="n">
        <v>44291</v>
      </c>
      <c r="B316" t="n">
        <v>-0.62</v>
      </c>
    </row>
    <row r="317">
      <c r="A317" s="21" t="n">
        <v>44292</v>
      </c>
      <c r="B317" t="n">
        <v>-0.65</v>
      </c>
    </row>
    <row r="318">
      <c r="A318" s="21" t="n">
        <v>44293</v>
      </c>
      <c r="B318" t="n">
        <v>-0.66</v>
      </c>
    </row>
    <row r="319">
      <c r="A319" s="21" t="n">
        <v>44294</v>
      </c>
      <c r="B319" t="n">
        <v>-0.6899999999999999</v>
      </c>
    </row>
    <row r="320">
      <c r="A320" s="21" t="n">
        <v>44295</v>
      </c>
      <c r="B320" t="n">
        <v>-0.64</v>
      </c>
    </row>
    <row r="321">
      <c r="A321" s="21" t="n">
        <v>44298</v>
      </c>
      <c r="B321" t="n">
        <v>-0.64</v>
      </c>
    </row>
    <row r="322">
      <c r="A322" s="21" t="n">
        <v>44299</v>
      </c>
      <c r="B322" t="n">
        <v>-0.6899999999999999</v>
      </c>
    </row>
    <row r="323">
      <c r="A323" s="21" t="n">
        <v>44300</v>
      </c>
      <c r="B323" t="n">
        <v>-0.6899999999999999</v>
      </c>
    </row>
    <row r="324">
      <c r="A324" s="21" t="n">
        <v>44301</v>
      </c>
      <c r="B324" t="n">
        <v>-0.77</v>
      </c>
    </row>
    <row r="325">
      <c r="A325" s="21" t="n">
        <v>44302</v>
      </c>
      <c r="B325" t="n">
        <v>-0.77</v>
      </c>
    </row>
    <row r="326">
      <c r="A326" s="21" t="n">
        <v>44305</v>
      </c>
      <c r="B326" t="n">
        <v>-0.73</v>
      </c>
    </row>
    <row r="327">
      <c r="A327" s="21" t="n">
        <v>44306</v>
      </c>
      <c r="B327" t="n">
        <v>-0.74</v>
      </c>
    </row>
    <row r="328">
      <c r="A328" s="21" t="n">
        <v>44307</v>
      </c>
      <c r="B328" t="n">
        <v>-0.76</v>
      </c>
    </row>
    <row r="329">
      <c r="A329" s="21" t="n">
        <v>44308</v>
      </c>
      <c r="B329" t="n">
        <v>-0.76</v>
      </c>
    </row>
    <row r="330">
      <c r="A330" s="21" t="n">
        <v>44309</v>
      </c>
      <c r="B330" t="n">
        <v>-0.76</v>
      </c>
    </row>
    <row r="331">
      <c r="A331" s="21" t="n">
        <v>44312</v>
      </c>
      <c r="B331" t="n">
        <v>-0.78</v>
      </c>
    </row>
    <row r="332">
      <c r="A332" s="21" t="n">
        <v>44313</v>
      </c>
      <c r="B332" t="n">
        <v>-0.76</v>
      </c>
    </row>
    <row r="333">
      <c r="A333" s="21" t="n">
        <v>44314</v>
      </c>
      <c r="B333" t="n">
        <v>-0.78</v>
      </c>
    </row>
    <row r="334">
      <c r="A334" s="21" t="n">
        <v>44315</v>
      </c>
      <c r="B334" t="n">
        <v>-0.77</v>
      </c>
    </row>
    <row r="335">
      <c r="A335" s="21" t="n">
        <v>44316</v>
      </c>
      <c r="B335" t="n">
        <v>-0.76</v>
      </c>
    </row>
    <row r="336">
      <c r="A336" s="21" t="n">
        <v>44319</v>
      </c>
      <c r="B336" t="n">
        <v>-0.79</v>
      </c>
    </row>
    <row r="337">
      <c r="A337" s="21" t="n">
        <v>44320</v>
      </c>
      <c r="B337" t="n">
        <v>-0.8100000000000001</v>
      </c>
    </row>
    <row r="338">
      <c r="A338" s="21" t="n">
        <v>44321</v>
      </c>
      <c r="B338" t="n">
        <v>-0.88</v>
      </c>
    </row>
    <row r="339">
      <c r="A339" s="21" t="n">
        <v>44322</v>
      </c>
      <c r="B339" t="n">
        <v>-0.87</v>
      </c>
    </row>
    <row r="340">
      <c r="A340" s="21" t="n">
        <v>44323</v>
      </c>
      <c r="B340" t="n">
        <v>-0.89</v>
      </c>
    </row>
    <row r="341">
      <c r="A341" s="21" t="n">
        <v>44326</v>
      </c>
      <c r="B341" t="n">
        <v>-0.91</v>
      </c>
    </row>
    <row r="342">
      <c r="A342" s="21" t="n">
        <v>44327</v>
      </c>
      <c r="B342" t="n">
        <v>-0.89</v>
      </c>
    </row>
    <row r="343">
      <c r="A343" s="21" t="n">
        <v>44328</v>
      </c>
      <c r="B343" t="n">
        <v>-0.85</v>
      </c>
    </row>
    <row r="344">
      <c r="A344" s="21" t="n">
        <v>44329</v>
      </c>
      <c r="B344" t="n">
        <v>-0.85</v>
      </c>
    </row>
    <row r="345">
      <c r="A345" s="21" t="n">
        <v>44330</v>
      </c>
      <c r="B345" t="n">
        <v>-0.88</v>
      </c>
    </row>
    <row r="346">
      <c r="A346" s="21" t="n">
        <v>44333</v>
      </c>
      <c r="B346" t="n">
        <v>-0.9</v>
      </c>
    </row>
    <row r="347">
      <c r="A347" s="21" t="n">
        <v>44334</v>
      </c>
      <c r="B347" t="n">
        <v>-0.88</v>
      </c>
    </row>
    <row r="348">
      <c r="A348" s="21" t="n">
        <v>44335</v>
      </c>
      <c r="B348" t="n">
        <v>-0.8</v>
      </c>
    </row>
    <row r="349">
      <c r="A349" s="21" t="n">
        <v>44336</v>
      </c>
      <c r="B349" t="n">
        <v>-0.78</v>
      </c>
    </row>
    <row r="350">
      <c r="A350" s="21" t="n">
        <v>44337</v>
      </c>
      <c r="B350" t="n">
        <v>-0.8</v>
      </c>
    </row>
    <row r="351">
      <c r="A351" s="21" t="n">
        <v>44340</v>
      </c>
      <c r="B351" t="n">
        <v>-0.83</v>
      </c>
    </row>
    <row r="352">
      <c r="A352" s="21" t="n">
        <v>44341</v>
      </c>
      <c r="B352" t="n">
        <v>-0.86</v>
      </c>
    </row>
    <row r="353">
      <c r="A353" s="21" t="n">
        <v>44342</v>
      </c>
      <c r="B353" t="n">
        <v>-0.82</v>
      </c>
    </row>
    <row r="354">
      <c r="A354" s="21" t="n">
        <v>44343</v>
      </c>
      <c r="B354" t="n">
        <v>-0.8100000000000001</v>
      </c>
    </row>
    <row r="355">
      <c r="A355" s="21" t="n">
        <v>44344</v>
      </c>
      <c r="B355" t="n">
        <v>-0.84</v>
      </c>
    </row>
    <row r="356">
      <c r="A356" s="21" t="n">
        <v>44348</v>
      </c>
      <c r="B356" t="n">
        <v>-0.84</v>
      </c>
    </row>
    <row r="357">
      <c r="A357" s="21" t="n">
        <v>44349</v>
      </c>
      <c r="B357" t="n">
        <v>-0.85</v>
      </c>
    </row>
    <row r="358">
      <c r="A358" s="21" t="n">
        <v>44350</v>
      </c>
      <c r="B358" t="n">
        <v>-0.79</v>
      </c>
    </row>
    <row r="359">
      <c r="A359" s="21" t="n">
        <v>44351</v>
      </c>
      <c r="B359" t="n">
        <v>-0.84</v>
      </c>
    </row>
    <row r="360">
      <c r="A360" s="21" t="n">
        <v>44354</v>
      </c>
      <c r="B360" t="n">
        <v>-0.82</v>
      </c>
    </row>
    <row r="361">
      <c r="A361" s="21" t="n">
        <v>44355</v>
      </c>
      <c r="B361" t="n">
        <v>-0.83</v>
      </c>
    </row>
    <row r="362">
      <c r="A362" s="21" t="n">
        <v>44356</v>
      </c>
      <c r="B362" t="n">
        <v>-0.82</v>
      </c>
    </row>
    <row r="363">
      <c r="A363" s="21" t="n">
        <v>44357</v>
      </c>
      <c r="B363" t="n">
        <v>-0.9</v>
      </c>
    </row>
    <row r="364">
      <c r="A364" s="21" t="n">
        <v>44358</v>
      </c>
      <c r="B364" t="n">
        <v>-0.85</v>
      </c>
    </row>
    <row r="365">
      <c r="A365" s="21" t="n">
        <v>44361</v>
      </c>
      <c r="B365" t="n">
        <v>-0.85</v>
      </c>
    </row>
    <row r="366">
      <c r="A366" s="21" t="n">
        <v>44362</v>
      </c>
      <c r="B366" t="n">
        <v>-0.87</v>
      </c>
    </row>
    <row r="367">
      <c r="A367" s="21" t="n">
        <v>44363</v>
      </c>
      <c r="B367" t="n">
        <v>-0.75</v>
      </c>
    </row>
    <row r="368">
      <c r="A368" s="21" t="n">
        <v>44364</v>
      </c>
      <c r="B368" t="n">
        <v>-0.75</v>
      </c>
    </row>
    <row r="369">
      <c r="A369" s="21" t="n">
        <v>44365</v>
      </c>
      <c r="B369" t="n">
        <v>-0.79</v>
      </c>
    </row>
    <row r="370">
      <c r="A370" s="21" t="n">
        <v>44368</v>
      </c>
      <c r="B370" t="n">
        <v>-0.75</v>
      </c>
    </row>
    <row r="371">
      <c r="A371" s="21" t="n">
        <v>44369</v>
      </c>
      <c r="B371" t="n">
        <v>-0.83</v>
      </c>
    </row>
    <row r="372">
      <c r="A372" s="21" t="n">
        <v>44370</v>
      </c>
      <c r="B372" t="n">
        <v>-0.84</v>
      </c>
    </row>
    <row r="373">
      <c r="A373" s="21" t="n">
        <v>44371</v>
      </c>
      <c r="B373" t="n">
        <v>-0.8100000000000001</v>
      </c>
    </row>
    <row r="374">
      <c r="A374" s="21" t="n">
        <v>44372</v>
      </c>
      <c r="B374" t="n">
        <v>-0.8</v>
      </c>
    </row>
    <row r="375">
      <c r="A375" s="21" t="n">
        <v>44375</v>
      </c>
      <c r="B375" t="n">
        <v>-0.84</v>
      </c>
    </row>
    <row r="376">
      <c r="A376" s="21" t="n">
        <v>44376</v>
      </c>
      <c r="B376" t="n">
        <v>-0.83</v>
      </c>
    </row>
    <row r="377">
      <c r="A377" s="21" t="n">
        <v>44377</v>
      </c>
      <c r="B377" t="n">
        <v>-0.87</v>
      </c>
    </row>
    <row r="378">
      <c r="A378" s="21" t="n">
        <v>44378</v>
      </c>
      <c r="B378" t="n">
        <v>-0.87</v>
      </c>
    </row>
    <row r="379">
      <c r="A379" s="21" t="n">
        <v>44379</v>
      </c>
      <c r="B379" t="n">
        <v>-0.89</v>
      </c>
    </row>
    <row r="380">
      <c r="A380" s="21" t="n">
        <v>44383</v>
      </c>
      <c r="B380" t="n">
        <v>-0.9399999999999999</v>
      </c>
    </row>
    <row r="381">
      <c r="A381" s="21" t="n">
        <v>44384</v>
      </c>
      <c r="B381" t="n">
        <v>-0.95</v>
      </c>
    </row>
    <row r="382">
      <c r="A382" s="21" t="n">
        <v>44385</v>
      </c>
      <c r="B382" t="n">
        <v>-0.92</v>
      </c>
    </row>
    <row r="383">
      <c r="A383" s="21" t="n">
        <v>44386</v>
      </c>
      <c r="B383" t="n">
        <v>-0.91</v>
      </c>
    </row>
    <row r="384">
      <c r="A384" s="21" t="n">
        <v>44389</v>
      </c>
      <c r="B384" t="n">
        <v>-0.95</v>
      </c>
    </row>
    <row r="385">
      <c r="A385" s="21" t="n">
        <v>44390</v>
      </c>
      <c r="B385" t="n">
        <v>-0.9399999999999999</v>
      </c>
    </row>
    <row r="386">
      <c r="A386" s="21" t="n">
        <v>44391</v>
      </c>
      <c r="B386" t="n">
        <v>-0.97</v>
      </c>
    </row>
    <row r="387">
      <c r="A387" s="21" t="n">
        <v>44392</v>
      </c>
      <c r="B387" t="n">
        <v>-1.01</v>
      </c>
    </row>
    <row r="388">
      <c r="A388" s="21" t="n">
        <v>44393</v>
      </c>
      <c r="B388" t="n">
        <v>-1.02</v>
      </c>
    </row>
    <row r="389">
      <c r="A389" s="21" t="n">
        <v>44396</v>
      </c>
      <c r="B389" t="n">
        <v>-1.05</v>
      </c>
    </row>
    <row r="390">
      <c r="A390" s="21" t="n">
        <v>44397</v>
      </c>
      <c r="B390" t="n">
        <v>-1.03</v>
      </c>
    </row>
    <row r="391">
      <c r="A391" s="21" t="n">
        <v>44398</v>
      </c>
      <c r="B391" t="n">
        <v>-0.98</v>
      </c>
    </row>
    <row r="392">
      <c r="A392" s="21" t="n">
        <v>44399</v>
      </c>
      <c r="B392" t="n">
        <v>-1.01</v>
      </c>
    </row>
    <row r="393">
      <c r="A393" s="21" t="n">
        <v>44400</v>
      </c>
      <c r="B393" t="n">
        <v>-1.05</v>
      </c>
    </row>
    <row r="394">
      <c r="A394" s="21" t="n">
        <v>44403</v>
      </c>
      <c r="B394" t="n">
        <v>-1.11</v>
      </c>
    </row>
    <row r="395">
      <c r="A395" s="21" t="n">
        <v>44404</v>
      </c>
      <c r="B395" t="n">
        <v>-1.13</v>
      </c>
    </row>
    <row r="396">
      <c r="A396" s="21" t="n">
        <v>44405</v>
      </c>
      <c r="B396" t="n">
        <v>-1.15</v>
      </c>
    </row>
    <row r="397">
      <c r="A397" s="21" t="n">
        <v>44406</v>
      </c>
      <c r="B397" t="n">
        <v>-1.15</v>
      </c>
    </row>
    <row r="398">
      <c r="A398" s="21" t="n">
        <v>44407</v>
      </c>
      <c r="B398" t="n">
        <v>-1.16</v>
      </c>
    </row>
    <row r="399">
      <c r="A399" s="21" t="n">
        <v>44410</v>
      </c>
      <c r="B399" t="n">
        <v>-1.17</v>
      </c>
    </row>
    <row r="400">
      <c r="A400" s="21" t="n">
        <v>44411</v>
      </c>
      <c r="B400" t="n">
        <v>-1.19</v>
      </c>
    </row>
    <row r="401">
      <c r="A401" s="21" t="n">
        <v>44412</v>
      </c>
      <c r="B401" t="n">
        <v>-1.16</v>
      </c>
    </row>
    <row r="402">
      <c r="A402" s="21" t="n">
        <v>44413</v>
      </c>
      <c r="B402" t="n">
        <v>-1.1</v>
      </c>
    </row>
    <row r="403">
      <c r="A403" s="21" t="n">
        <v>44414</v>
      </c>
      <c r="B403" t="n">
        <v>-1.06</v>
      </c>
    </row>
    <row r="404">
      <c r="A404" s="21" t="n">
        <v>44417</v>
      </c>
      <c r="B404" t="n">
        <v>-1.04</v>
      </c>
    </row>
    <row r="405">
      <c r="A405" s="21" t="n">
        <v>44418</v>
      </c>
      <c r="B405" t="n">
        <v>-1.04</v>
      </c>
    </row>
    <row r="406">
      <c r="A406" s="21" t="n">
        <v>44419</v>
      </c>
      <c r="B406" t="n">
        <v>-1.07</v>
      </c>
    </row>
    <row r="407">
      <c r="A407" s="21" t="n">
        <v>44420</v>
      </c>
      <c r="B407" t="n">
        <v>-1.05</v>
      </c>
    </row>
    <row r="408">
      <c r="A408" s="21" t="n">
        <v>44421</v>
      </c>
      <c r="B408" t="n">
        <v>-1.08</v>
      </c>
    </row>
    <row r="409">
      <c r="A409" s="21" t="n">
        <v>44424</v>
      </c>
      <c r="B409" t="n">
        <v>-1.1</v>
      </c>
    </row>
    <row r="410">
      <c r="A410" s="21" t="n">
        <v>44425</v>
      </c>
      <c r="B410" t="n">
        <v>-1.07</v>
      </c>
    </row>
    <row r="411">
      <c r="A411" s="21" t="n">
        <v>44426</v>
      </c>
      <c r="B411" t="n">
        <v>-1.05</v>
      </c>
    </row>
    <row r="412">
      <c r="A412" s="21" t="n">
        <v>44427</v>
      </c>
      <c r="B412" t="n">
        <v>-1.04</v>
      </c>
    </row>
    <row r="413">
      <c r="A413" s="21" t="n">
        <v>44428</v>
      </c>
      <c r="B413" t="n">
        <v>-1.01</v>
      </c>
    </row>
    <row r="414">
      <c r="A414" s="21" t="n">
        <v>44431</v>
      </c>
      <c r="B414" t="n">
        <v>-1.02</v>
      </c>
    </row>
    <row r="415">
      <c r="A415" s="21" t="n">
        <v>44432</v>
      </c>
      <c r="B415" t="n">
        <v>-1.01</v>
      </c>
    </row>
    <row r="416">
      <c r="A416" s="21" t="n">
        <v>44433</v>
      </c>
      <c r="B416" t="n">
        <v>-1</v>
      </c>
    </row>
    <row r="417">
      <c r="A417" s="21" t="n">
        <v>44434</v>
      </c>
      <c r="B417" t="n">
        <v>-0.99</v>
      </c>
    </row>
    <row r="418">
      <c r="A418" s="21" t="n">
        <v>44435</v>
      </c>
      <c r="B418" t="n">
        <v>-1.08</v>
      </c>
    </row>
    <row r="419">
      <c r="A419" s="21" t="n">
        <v>44438</v>
      </c>
      <c r="B419" t="n">
        <v>-1.08</v>
      </c>
    </row>
    <row r="420">
      <c r="A420" s="21" t="n">
        <v>44439</v>
      </c>
      <c r="B420" t="n">
        <v>-1.03</v>
      </c>
    </row>
    <row r="421">
      <c r="A421" s="21" t="n">
        <v>44440</v>
      </c>
      <c r="B421" t="n">
        <v>-1.03</v>
      </c>
    </row>
    <row r="422">
      <c r="A422" s="21" t="n">
        <v>44441</v>
      </c>
      <c r="B422" t="n">
        <v>-1.03</v>
      </c>
    </row>
    <row r="423">
      <c r="A423" s="21" t="n">
        <v>44442</v>
      </c>
      <c r="B423" t="n">
        <v>-1.01</v>
      </c>
    </row>
    <row r="424">
      <c r="A424" s="21" t="n">
        <v>44446</v>
      </c>
      <c r="B424" t="n">
        <v>-0.98</v>
      </c>
    </row>
    <row r="425">
      <c r="A425" s="21" t="n">
        <v>44447</v>
      </c>
      <c r="B425" t="n">
        <v>-1.03</v>
      </c>
    </row>
    <row r="426">
      <c r="A426" s="21" t="n">
        <v>44448</v>
      </c>
      <c r="B426" t="n">
        <v>-1.08</v>
      </c>
    </row>
    <row r="427">
      <c r="A427" s="21" t="n">
        <v>44449</v>
      </c>
      <c r="B427" t="n">
        <v>-1.05</v>
      </c>
    </row>
    <row r="428">
      <c r="A428" s="21" t="n">
        <v>44452</v>
      </c>
      <c r="B428" t="n">
        <v>-1.04</v>
      </c>
    </row>
    <row r="429">
      <c r="A429" s="21" t="n">
        <v>44453</v>
      </c>
      <c r="B429" t="n">
        <v>-1.05</v>
      </c>
    </row>
    <row r="430">
      <c r="A430" s="21" t="n">
        <v>44454</v>
      </c>
      <c r="B430" t="n">
        <v>-1.04</v>
      </c>
    </row>
    <row r="431">
      <c r="A431" s="21" t="n">
        <v>44455</v>
      </c>
      <c r="B431" t="n">
        <v>-1.01</v>
      </c>
    </row>
    <row r="432">
      <c r="A432" s="21" t="n">
        <v>44456</v>
      </c>
      <c r="B432" t="n">
        <v>-0.96</v>
      </c>
    </row>
    <row r="433">
      <c r="A433" s="21" t="n">
        <v>44459</v>
      </c>
      <c r="B433" t="n">
        <v>-0.98</v>
      </c>
    </row>
    <row r="434">
      <c r="A434" s="21" t="n">
        <v>44460</v>
      </c>
      <c r="B434" t="n">
        <v>-0.96</v>
      </c>
    </row>
    <row r="435">
      <c r="A435" s="21" t="n">
        <v>44461</v>
      </c>
      <c r="B435" t="n">
        <v>-0.96</v>
      </c>
    </row>
    <row r="436">
      <c r="A436" s="21" t="n">
        <v>44462</v>
      </c>
      <c r="B436" t="n">
        <v>-0.9</v>
      </c>
    </row>
    <row r="437">
      <c r="A437" s="21" t="n">
        <v>44463</v>
      </c>
      <c r="B437" t="n">
        <v>-0.87</v>
      </c>
    </row>
    <row r="438">
      <c r="A438" s="21" t="n">
        <v>44466</v>
      </c>
      <c r="B438" t="n">
        <v>-0.87</v>
      </c>
    </row>
    <row r="439">
      <c r="A439" s="21" t="n">
        <v>44467</v>
      </c>
      <c r="B439" t="n">
        <v>-0.84</v>
      </c>
    </row>
    <row r="440">
      <c r="A440" s="21" t="n">
        <v>44468</v>
      </c>
      <c r="B440" t="n">
        <v>-0.82</v>
      </c>
    </row>
    <row r="441">
      <c r="A441" s="21" t="n">
        <v>44469</v>
      </c>
      <c r="B441" t="n">
        <v>-0.85</v>
      </c>
    </row>
    <row r="442">
      <c r="A442" s="21" t="n">
        <v>44470</v>
      </c>
      <c r="B442" t="n">
        <v>-0.9</v>
      </c>
    </row>
    <row r="443">
      <c r="A443" s="21" t="n">
        <v>44473</v>
      </c>
      <c r="B443" t="n">
        <v>-0.89</v>
      </c>
    </row>
    <row r="444">
      <c r="A444" s="21" t="n">
        <v>44474</v>
      </c>
      <c r="B444" t="n">
        <v>-0.91</v>
      </c>
    </row>
    <row r="445">
      <c r="A445" s="21" t="n">
        <v>44475</v>
      </c>
      <c r="B445" t="n">
        <v>-0.9</v>
      </c>
    </row>
    <row r="446">
      <c r="A446" s="21" t="n">
        <v>44476</v>
      </c>
      <c r="B446" t="n">
        <v>-0.88</v>
      </c>
    </row>
    <row r="447">
      <c r="A447" s="21" t="n">
        <v>44477</v>
      </c>
      <c r="B447" t="n">
        <v>-0.89</v>
      </c>
    </row>
    <row r="448">
      <c r="A448" s="21" t="n">
        <v>44481</v>
      </c>
      <c r="B448" t="n">
        <v>-0.9</v>
      </c>
    </row>
    <row r="449">
      <c r="A449" s="21" t="n">
        <v>44482</v>
      </c>
      <c r="B449" t="n">
        <v>-0.96</v>
      </c>
    </row>
    <row r="450">
      <c r="A450" s="21" t="n">
        <v>44483</v>
      </c>
      <c r="B450" t="n">
        <v>-1</v>
      </c>
    </row>
    <row r="451">
      <c r="A451" s="21" t="n">
        <v>44484</v>
      </c>
      <c r="B451" t="n">
        <v>-0.97</v>
      </c>
    </row>
    <row r="452">
      <c r="A452" s="21" t="n">
        <v>44487</v>
      </c>
      <c r="B452" t="n">
        <v>-0.95</v>
      </c>
    </row>
    <row r="453">
      <c r="A453" s="21" t="n">
        <v>44488</v>
      </c>
      <c r="B453" t="n">
        <v>-0.89</v>
      </c>
    </row>
    <row r="454">
      <c r="A454" s="21" t="n">
        <v>44489</v>
      </c>
      <c r="B454" t="n">
        <v>-0.92</v>
      </c>
    </row>
    <row r="455">
      <c r="A455" s="21" t="n">
        <v>44490</v>
      </c>
      <c r="B455" t="n">
        <v>-0.96</v>
      </c>
    </row>
    <row r="456">
      <c r="A456" s="21" t="n">
        <v>44491</v>
      </c>
      <c r="B456" t="n">
        <v>-0.98</v>
      </c>
    </row>
    <row r="457">
      <c r="A457" s="21" t="n">
        <v>44494</v>
      </c>
      <c r="B457" t="n">
        <v>-1.02</v>
      </c>
    </row>
    <row r="458">
      <c r="A458" s="21" t="n">
        <v>44495</v>
      </c>
      <c r="B458" t="n">
        <v>-1.06</v>
      </c>
    </row>
    <row r="459">
      <c r="A459" s="21" t="n">
        <v>44496</v>
      </c>
      <c r="B459" t="n">
        <v>-1.11</v>
      </c>
    </row>
    <row r="460">
      <c r="A460" s="21" t="n">
        <v>44497</v>
      </c>
      <c r="B460" t="n">
        <v>-1</v>
      </c>
    </row>
    <row r="461">
      <c r="A461" s="21" t="n">
        <v>44498</v>
      </c>
      <c r="B461" t="n">
        <v>-0.96</v>
      </c>
    </row>
    <row r="462">
      <c r="A462" s="21" t="n">
        <v>44501</v>
      </c>
      <c r="B462" t="n">
        <v>-0.92</v>
      </c>
    </row>
    <row r="463">
      <c r="A463" s="21" t="n">
        <v>44502</v>
      </c>
      <c r="B463" t="n">
        <v>-0.95</v>
      </c>
    </row>
    <row r="464">
      <c r="A464" s="21" t="n">
        <v>44503</v>
      </c>
      <c r="B464" t="n">
        <v>-0.93</v>
      </c>
    </row>
    <row r="465">
      <c r="A465" s="21" t="n">
        <v>44504</v>
      </c>
      <c r="B465" t="n">
        <v>-1.03</v>
      </c>
    </row>
    <row r="466">
      <c r="A466" s="21" t="n">
        <v>44505</v>
      </c>
      <c r="B466" t="n">
        <v>-1.09</v>
      </c>
    </row>
    <row r="467">
      <c r="A467" s="21" t="n">
        <v>44508</v>
      </c>
      <c r="B467" t="n">
        <v>-1.11</v>
      </c>
    </row>
    <row r="468">
      <c r="A468" s="21" t="n">
        <v>44509</v>
      </c>
      <c r="B468" t="n">
        <v>-1.17</v>
      </c>
    </row>
    <row r="469">
      <c r="A469" s="21" t="n">
        <v>44510</v>
      </c>
      <c r="B469" t="n">
        <v>-1.14</v>
      </c>
    </row>
    <row r="470">
      <c r="A470" s="21" t="n">
        <v>44512</v>
      </c>
      <c r="B470" t="n">
        <v>-1.15</v>
      </c>
    </row>
    <row r="471">
      <c r="A471" s="21" t="n">
        <v>44515</v>
      </c>
      <c r="B471" t="n">
        <v>-1.13</v>
      </c>
    </row>
    <row r="472">
      <c r="A472" s="21" t="n">
        <v>44516</v>
      </c>
      <c r="B472" t="n">
        <v>-1.1</v>
      </c>
    </row>
    <row r="473">
      <c r="A473" s="21" t="n">
        <v>44517</v>
      </c>
      <c r="B473" t="n">
        <v>-1.1</v>
      </c>
    </row>
    <row r="474">
      <c r="A474" s="21" t="n">
        <v>44518</v>
      </c>
      <c r="B474" t="n">
        <v>-1.14</v>
      </c>
    </row>
    <row r="475">
      <c r="A475" s="21" t="n">
        <v>44519</v>
      </c>
      <c r="B475" t="n">
        <v>-1.11</v>
      </c>
    </row>
    <row r="476">
      <c r="A476" s="21" t="n">
        <v>44522</v>
      </c>
      <c r="B476" t="n">
        <v>-0.98</v>
      </c>
    </row>
    <row r="477">
      <c r="A477" s="21" t="n">
        <v>44523</v>
      </c>
      <c r="B477" t="n">
        <v>-0.95</v>
      </c>
    </row>
    <row r="478">
      <c r="A478" s="21" t="n">
        <v>44524</v>
      </c>
      <c r="B478" t="n">
        <v>-0.97</v>
      </c>
    </row>
    <row r="479">
      <c r="A479" s="21" t="n">
        <v>44526</v>
      </c>
      <c r="B479" t="n">
        <v>-1.07</v>
      </c>
    </row>
    <row r="480">
      <c r="A480" s="21" t="n">
        <v>44529</v>
      </c>
      <c r="B480" t="n">
        <v>-1.02</v>
      </c>
    </row>
    <row r="481">
      <c r="A481" s="21" t="n">
        <v>44530</v>
      </c>
      <c r="B481" t="n">
        <v>-1.07</v>
      </c>
    </row>
    <row r="482">
      <c r="A482" s="21" t="n">
        <v>44531</v>
      </c>
      <c r="B482" t="n">
        <v>-1.01</v>
      </c>
    </row>
    <row r="483">
      <c r="A483" s="21" t="n">
        <v>44532</v>
      </c>
      <c r="B483" t="n">
        <v>-1.03</v>
      </c>
    </row>
    <row r="484">
      <c r="A484" s="21" t="n">
        <v>44533</v>
      </c>
      <c r="B484" t="n">
        <v>-1.08</v>
      </c>
    </row>
    <row r="485">
      <c r="A485" s="21" t="n">
        <v>44536</v>
      </c>
      <c r="B485" t="n">
        <v>-1.01</v>
      </c>
    </row>
    <row r="486">
      <c r="A486" s="21" t="n">
        <v>44537</v>
      </c>
      <c r="B486" t="n">
        <v>-0.99</v>
      </c>
    </row>
    <row r="487">
      <c r="A487" s="21" t="n">
        <v>44538</v>
      </c>
      <c r="B487" t="n">
        <v>-1</v>
      </c>
    </row>
    <row r="488">
      <c r="A488" s="21" t="n">
        <v>44539</v>
      </c>
      <c r="B488" t="n">
        <v>-0.98</v>
      </c>
    </row>
    <row r="489">
      <c r="A489" s="21" t="n">
        <v>44540</v>
      </c>
      <c r="B489" t="n">
        <v>-0.96</v>
      </c>
    </row>
    <row r="490">
      <c r="A490" s="21" t="n">
        <v>44543</v>
      </c>
      <c r="B490" t="n">
        <v>-0.98</v>
      </c>
    </row>
    <row r="491">
      <c r="A491" s="21" t="n">
        <v>44544</v>
      </c>
      <c r="B491" t="n">
        <v>-0.93</v>
      </c>
    </row>
    <row r="492">
      <c r="A492" s="21" t="n">
        <v>44545</v>
      </c>
      <c r="B492" t="n">
        <v>-0.92</v>
      </c>
    </row>
    <row r="493">
      <c r="A493" s="21" t="n">
        <v>44546</v>
      </c>
      <c r="B493" t="n">
        <v>-0.98</v>
      </c>
    </row>
    <row r="494">
      <c r="A494" s="21" t="n">
        <v>44547</v>
      </c>
      <c r="B494" t="n">
        <v>-0.97</v>
      </c>
    </row>
    <row r="495">
      <c r="A495" s="21" t="n">
        <v>44550</v>
      </c>
      <c r="B495" t="n">
        <v>-0.96</v>
      </c>
    </row>
    <row r="496">
      <c r="A496" s="21" t="n">
        <v>44551</v>
      </c>
      <c r="B496" t="n">
        <v>-0.96</v>
      </c>
    </row>
    <row r="497">
      <c r="A497" s="21" t="n">
        <v>44552</v>
      </c>
      <c r="B497" t="n">
        <v>-1.01</v>
      </c>
    </row>
    <row r="498">
      <c r="A498" s="21" t="n">
        <v>44553</v>
      </c>
      <c r="B498" t="n">
        <v>-0.97</v>
      </c>
    </row>
    <row r="499">
      <c r="A499" s="21" t="n">
        <v>44557</v>
      </c>
      <c r="B499" t="n">
        <v>-1.02</v>
      </c>
    </row>
    <row r="500">
      <c r="A500" s="21" t="n">
        <v>44558</v>
      </c>
      <c r="B500" t="n">
        <v>-1.01</v>
      </c>
    </row>
    <row r="501">
      <c r="A501" s="21" t="n">
        <v>44559</v>
      </c>
      <c r="B501" t="n">
        <v>-0.98</v>
      </c>
    </row>
    <row r="502">
      <c r="A502" s="21" t="n">
        <v>44560</v>
      </c>
      <c r="B502" t="n">
        <v>-1.06</v>
      </c>
    </row>
    <row r="503">
      <c r="A503" s="21" t="n">
        <v>44561</v>
      </c>
      <c r="B503" t="n">
        <v>-1.04</v>
      </c>
    </row>
    <row r="504">
      <c r="A504" s="21" t="n">
        <v>44564</v>
      </c>
      <c r="B504" t="n">
        <v>-0.97</v>
      </c>
    </row>
    <row r="505">
      <c r="A505" s="21" t="n">
        <v>44565</v>
      </c>
      <c r="B505" t="n">
        <v>-0.91</v>
      </c>
    </row>
    <row r="506">
      <c r="A506" s="21" t="n">
        <v>44566</v>
      </c>
      <c r="B506" t="n">
        <v>-0.82</v>
      </c>
    </row>
    <row r="507">
      <c r="A507" s="21" t="n">
        <v>44567</v>
      </c>
      <c r="B507" t="n">
        <v>-0.73</v>
      </c>
    </row>
    <row r="508">
      <c r="A508" s="21" t="n">
        <v>44568</v>
      </c>
      <c r="B508" t="n">
        <v>-0.72</v>
      </c>
    </row>
    <row r="509">
      <c r="A509" s="21" t="n">
        <v>44571</v>
      </c>
      <c r="B509" t="n">
        <v>-0.7</v>
      </c>
    </row>
    <row r="510">
      <c r="A510" s="21" t="n">
        <v>44572</v>
      </c>
      <c r="B510" t="n">
        <v>-0.79</v>
      </c>
    </row>
    <row r="511">
      <c r="A511" s="21" t="n">
        <v>44573</v>
      </c>
      <c r="B511" t="n">
        <v>-0.74</v>
      </c>
    </row>
    <row r="512">
      <c r="A512" s="21" t="n">
        <v>44574</v>
      </c>
      <c r="B512" t="n">
        <v>-0.73</v>
      </c>
    </row>
    <row r="513">
      <c r="A513" s="21" t="n">
        <v>44575</v>
      </c>
      <c r="B513" t="n">
        <v>-0.66</v>
      </c>
    </row>
    <row r="514">
      <c r="A514" s="21" t="n">
        <v>44579</v>
      </c>
      <c r="B514" t="n">
        <v>-0.59</v>
      </c>
    </row>
    <row r="515">
      <c r="A515" s="21" t="n">
        <v>44580</v>
      </c>
      <c r="B515" t="n">
        <v>-0.57</v>
      </c>
    </row>
    <row r="516">
      <c r="A516" s="21" t="n">
        <v>44581</v>
      </c>
      <c r="B516" t="n">
        <v>-0.5</v>
      </c>
    </row>
    <row r="517">
      <c r="A517" s="21" t="n">
        <v>44582</v>
      </c>
      <c r="B517" t="n">
        <v>-0.59</v>
      </c>
    </row>
    <row r="518">
      <c r="A518" s="21" t="n">
        <v>44585</v>
      </c>
      <c r="B518" t="n">
        <v>-0.63</v>
      </c>
    </row>
    <row r="519">
      <c r="A519" s="21" t="n">
        <v>44586</v>
      </c>
      <c r="B519" t="n">
        <v>-0.63</v>
      </c>
    </row>
    <row r="520">
      <c r="A520" s="21" t="n">
        <v>44587</v>
      </c>
      <c r="B520" t="n">
        <v>-0.53</v>
      </c>
    </row>
    <row r="521">
      <c r="A521" s="21" t="n">
        <v>44588</v>
      </c>
      <c r="B521" t="n">
        <v>-0.59</v>
      </c>
    </row>
    <row r="522">
      <c r="A522" s="21" t="n">
        <v>44589</v>
      </c>
      <c r="B522" t="n">
        <v>-0.66</v>
      </c>
    </row>
    <row r="523">
      <c r="A523" s="21" t="n">
        <v>44592</v>
      </c>
      <c r="B523" t="n">
        <v>-0.65</v>
      </c>
    </row>
    <row r="524">
      <c r="A524" s="21" t="n">
        <v>44593</v>
      </c>
      <c r="B524" t="n">
        <v>-0.62</v>
      </c>
    </row>
    <row r="525">
      <c r="A525" s="21" t="n">
        <v>44594</v>
      </c>
      <c r="B525" t="n">
        <v>-0.63</v>
      </c>
    </row>
    <row r="526">
      <c r="A526" s="21" t="n">
        <v>44595</v>
      </c>
      <c r="B526" t="n">
        <v>-0.5600000000000001</v>
      </c>
    </row>
    <row r="527">
      <c r="A527" s="21" t="n">
        <v>44596</v>
      </c>
      <c r="B527" t="n">
        <v>-0.48</v>
      </c>
    </row>
    <row r="528">
      <c r="A528" s="21" t="n">
        <v>44599</v>
      </c>
      <c r="B528" t="n">
        <v>-0.48</v>
      </c>
    </row>
    <row r="529">
      <c r="A529" s="21" t="n">
        <v>44600</v>
      </c>
      <c r="B529" t="n">
        <v>-0.46</v>
      </c>
    </row>
    <row r="530">
      <c r="A530" s="21" t="n">
        <v>44601</v>
      </c>
      <c r="B530" t="n">
        <v>-0.48</v>
      </c>
    </row>
    <row r="531">
      <c r="A531" s="21" t="n">
        <v>44602</v>
      </c>
      <c r="B531" t="n">
        <v>-0.42</v>
      </c>
    </row>
    <row r="532">
      <c r="A532" s="21" t="n">
        <v>44603</v>
      </c>
      <c r="B532" t="n">
        <v>-0.51</v>
      </c>
    </row>
    <row r="533">
      <c r="A533" s="21" t="n">
        <v>44606</v>
      </c>
      <c r="B533" t="n">
        <v>-0.5</v>
      </c>
    </row>
    <row r="534">
      <c r="A534" s="21" t="n">
        <v>44607</v>
      </c>
      <c r="B534" t="n">
        <v>-0.43</v>
      </c>
    </row>
    <row r="535">
      <c r="A535" s="21" t="n">
        <v>44608</v>
      </c>
      <c r="B535" t="n">
        <v>-0.43</v>
      </c>
    </row>
    <row r="536">
      <c r="A536" s="21" t="n">
        <v>44609</v>
      </c>
      <c r="B536" t="n">
        <v>-0.46</v>
      </c>
    </row>
    <row r="537">
      <c r="A537" s="21" t="n">
        <v>44610</v>
      </c>
      <c r="B537" t="n">
        <v>-0.49</v>
      </c>
    </row>
    <row r="538">
      <c r="A538" s="21" t="n">
        <v>44614</v>
      </c>
      <c r="B538" t="n">
        <v>-0.51</v>
      </c>
    </row>
    <row r="539">
      <c r="A539" s="21" t="n">
        <v>44615</v>
      </c>
      <c r="B539" t="n">
        <v>-0.54</v>
      </c>
    </row>
    <row r="540">
      <c r="A540" s="21" t="n">
        <v>44616</v>
      </c>
      <c r="B540" t="n">
        <v>-0.59</v>
      </c>
    </row>
    <row r="541">
      <c r="A541" s="21" t="n">
        <v>44617</v>
      </c>
      <c r="B541" t="n">
        <v>-0.57</v>
      </c>
    </row>
    <row r="542">
      <c r="A542" s="21" t="n">
        <v>44620</v>
      </c>
      <c r="B542" t="n">
        <v>-0.79</v>
      </c>
    </row>
    <row r="543">
      <c r="A543" s="21" t="n">
        <v>44621</v>
      </c>
      <c r="B543" t="n">
        <v>-0.9</v>
      </c>
    </row>
    <row r="544">
      <c r="A544" s="21" t="n">
        <v>44622</v>
      </c>
      <c r="B544" t="n">
        <v>-0.85</v>
      </c>
    </row>
    <row r="545">
      <c r="A545" s="21" t="n">
        <v>44623</v>
      </c>
      <c r="B545" t="n">
        <v>-0.83</v>
      </c>
    </row>
    <row r="546">
      <c r="A546" s="21" t="n">
        <v>44624</v>
      </c>
      <c r="B546" t="n">
        <v>-0.93</v>
      </c>
    </row>
    <row r="547">
      <c r="A547" s="21" t="n">
        <v>44627</v>
      </c>
      <c r="B547" t="n">
        <v>-0.99</v>
      </c>
    </row>
    <row r="548">
      <c r="A548" s="21" t="n">
        <v>44628</v>
      </c>
      <c r="B548" t="n">
        <v>-1.04</v>
      </c>
    </row>
    <row r="549">
      <c r="A549" s="21" t="n">
        <v>44629</v>
      </c>
      <c r="B549" t="n">
        <v>-0.9</v>
      </c>
    </row>
    <row r="550">
      <c r="A550" s="21" t="n">
        <v>44630</v>
      </c>
      <c r="B550" t="n">
        <v>-0.88</v>
      </c>
    </row>
    <row r="551">
      <c r="A551" s="21" t="n">
        <v>44631</v>
      </c>
      <c r="B551" t="n">
        <v>-0.9399999999999999</v>
      </c>
    </row>
    <row r="552">
      <c r="A552" s="21" t="n">
        <v>44634</v>
      </c>
      <c r="B552" t="n">
        <v>-0.79</v>
      </c>
    </row>
    <row r="553">
      <c r="A553" s="21" t="n">
        <v>44635</v>
      </c>
      <c r="B553" t="n">
        <v>-0.6899999999999999</v>
      </c>
    </row>
    <row r="554">
      <c r="A554" s="21" t="n">
        <v>44636</v>
      </c>
      <c r="B554" t="n">
        <v>-0.61</v>
      </c>
    </row>
    <row r="555">
      <c r="A555" s="21" t="n">
        <v>44637</v>
      </c>
      <c r="B555" t="n">
        <v>-0.71</v>
      </c>
    </row>
    <row r="556">
      <c r="A556" s="21" t="n">
        <v>44638</v>
      </c>
      <c r="B556" t="n">
        <v>-0.72</v>
      </c>
    </row>
    <row r="557">
      <c r="A557" s="21" t="n">
        <v>44641</v>
      </c>
      <c r="B557" t="n">
        <v>-0.58</v>
      </c>
    </row>
    <row r="558">
      <c r="A558" s="21" t="n">
        <v>44642</v>
      </c>
      <c r="B558" t="n">
        <v>-0.53</v>
      </c>
    </row>
    <row r="559">
      <c r="A559" s="21" t="n">
        <v>44643</v>
      </c>
      <c r="B559" t="n">
        <v>-0.62</v>
      </c>
    </row>
    <row r="560">
      <c r="A560" s="21" t="n">
        <v>44644</v>
      </c>
      <c r="B560" t="n">
        <v>-0.58</v>
      </c>
    </row>
    <row r="561">
      <c r="A561" s="21" t="n">
        <v>44645</v>
      </c>
      <c r="B561" t="n">
        <v>-0.47</v>
      </c>
    </row>
    <row r="562">
      <c r="A562" s="21" t="n">
        <v>44648</v>
      </c>
      <c r="B562" t="n">
        <v>-0.49</v>
      </c>
    </row>
    <row r="563">
      <c r="A563" s="21" t="n">
        <v>44649</v>
      </c>
      <c r="B563" t="n">
        <v>-0.45</v>
      </c>
    </row>
    <row r="564">
      <c r="A564" s="21" t="n">
        <v>44650</v>
      </c>
      <c r="B564" t="n">
        <v>-0.51</v>
      </c>
    </row>
    <row r="565">
      <c r="A565" s="21" t="n">
        <v>44651</v>
      </c>
      <c r="B565" t="n">
        <v>-0.52</v>
      </c>
    </row>
    <row r="566">
      <c r="A566" s="21" t="n">
        <v>44652</v>
      </c>
      <c r="B566" t="n">
        <v>-0.41</v>
      </c>
    </row>
    <row r="567">
      <c r="A567" s="21" t="n">
        <v>44655</v>
      </c>
      <c r="B567" t="n">
        <v>-0.38</v>
      </c>
    </row>
    <row r="568">
      <c r="A568" s="21" t="n">
        <v>44656</v>
      </c>
      <c r="B568" t="n">
        <v>-0.3</v>
      </c>
    </row>
    <row r="569">
      <c r="A569" s="21" t="n">
        <v>44657</v>
      </c>
      <c r="B569" t="n">
        <v>-0.22</v>
      </c>
    </row>
    <row r="570">
      <c r="A570" s="21" t="n">
        <v>44658</v>
      </c>
      <c r="B570" t="n">
        <v>-0.16</v>
      </c>
    </row>
    <row r="571">
      <c r="A571" s="21" t="n">
        <v>44659</v>
      </c>
      <c r="B571" t="n">
        <v>-0.15</v>
      </c>
    </row>
    <row r="572">
      <c r="A572" s="21" t="n">
        <v>44662</v>
      </c>
      <c r="B572" t="n">
        <v>-0.12</v>
      </c>
    </row>
    <row r="573">
      <c r="A573" s="21" t="n">
        <v>44663</v>
      </c>
      <c r="B573" t="n">
        <v>-0.14</v>
      </c>
    </row>
    <row r="574">
      <c r="A574" s="21" t="n">
        <v>44664</v>
      </c>
      <c r="B574" t="n">
        <v>-0.1</v>
      </c>
    </row>
    <row r="575">
      <c r="A575" s="21" t="n">
        <v>44665</v>
      </c>
      <c r="B575" t="n">
        <v>-0.06</v>
      </c>
    </row>
    <row r="576">
      <c r="A576" s="21" t="n">
        <v>44669</v>
      </c>
      <c r="B576" t="n">
        <v>-0.07000000000000001</v>
      </c>
    </row>
    <row r="577">
      <c r="A577" s="21" t="n">
        <v>44670</v>
      </c>
      <c r="B577" t="n">
        <v>0</v>
      </c>
    </row>
    <row r="578">
      <c r="A578" s="21" t="n">
        <v>44671</v>
      </c>
      <c r="B578" t="n">
        <v>-0.07000000000000001</v>
      </c>
    </row>
    <row r="579">
      <c r="A579" s="21" t="n">
        <v>44672</v>
      </c>
      <c r="B579" t="n">
        <v>-0.12</v>
      </c>
    </row>
    <row r="580">
      <c r="A580" s="21" t="n">
        <v>44673</v>
      </c>
      <c r="B580" t="n">
        <v>-0.08</v>
      </c>
    </row>
    <row r="581">
      <c r="A581" s="21" t="n">
        <v>44676</v>
      </c>
      <c r="B581" t="n">
        <v>-0.1</v>
      </c>
    </row>
    <row r="582">
      <c r="A582" s="21" t="n">
        <v>44677</v>
      </c>
      <c r="B582" t="n">
        <v>-0.08</v>
      </c>
    </row>
    <row r="583">
      <c r="A583" s="21" t="n">
        <v>44678</v>
      </c>
      <c r="B583" t="n">
        <v>-0.06</v>
      </c>
    </row>
    <row r="584">
      <c r="A584" s="21" t="n">
        <v>44679</v>
      </c>
      <c r="B584" t="n">
        <v>-0.12</v>
      </c>
    </row>
    <row r="585">
      <c r="A585" s="21" t="n">
        <v>44680</v>
      </c>
      <c r="B585" t="n">
        <v>0.01</v>
      </c>
    </row>
    <row r="586">
      <c r="A586" s="21" t="n">
        <v>44683</v>
      </c>
      <c r="B586" t="n">
        <v>0.18</v>
      </c>
    </row>
    <row r="587">
      <c r="A587" s="21" t="n">
        <v>44684</v>
      </c>
      <c r="B587" t="n">
        <v>0.14</v>
      </c>
    </row>
    <row r="588">
      <c r="A588" s="21" t="n">
        <v>44685</v>
      </c>
      <c r="B588" t="n">
        <v>0.07000000000000001</v>
      </c>
    </row>
    <row r="589">
      <c r="A589" s="21" t="n">
        <v>44686</v>
      </c>
      <c r="B589" t="n">
        <v>0.18</v>
      </c>
    </row>
    <row r="590">
      <c r="A590" s="21" t="n">
        <v>44687</v>
      </c>
      <c r="B590" t="n">
        <v>0.26</v>
      </c>
    </row>
    <row r="591">
      <c r="A591" s="21" t="n">
        <v>44690</v>
      </c>
      <c r="B591" t="n">
        <v>0.3</v>
      </c>
    </row>
    <row r="592">
      <c r="A592" s="21" t="n">
        <v>44691</v>
      </c>
      <c r="B592" t="n">
        <v>0.34</v>
      </c>
    </row>
    <row r="593">
      <c r="A593" s="21" t="n">
        <v>44692</v>
      </c>
      <c r="B593" t="n">
        <v>0.21</v>
      </c>
    </row>
    <row r="594">
      <c r="A594" s="21" t="n">
        <v>44693</v>
      </c>
      <c r="B594" t="n">
        <v>0.25</v>
      </c>
    </row>
    <row r="595">
      <c r="A595" s="21" t="n">
        <v>44694</v>
      </c>
      <c r="B595" t="n">
        <v>0.24</v>
      </c>
    </row>
    <row r="596">
      <c r="A596" s="21" t="n">
        <v>44697</v>
      </c>
      <c r="B596" t="n">
        <v>0.2</v>
      </c>
    </row>
    <row r="597">
      <c r="A597" s="21" t="n">
        <v>44698</v>
      </c>
      <c r="B597" t="n">
        <v>0.27</v>
      </c>
    </row>
    <row r="598">
      <c r="A598" s="21" t="n">
        <v>44699</v>
      </c>
      <c r="B598" t="n">
        <v>0.17</v>
      </c>
    </row>
    <row r="599">
      <c r="A599" s="21" t="n">
        <v>44700</v>
      </c>
      <c r="B599" t="n">
        <v>0.25</v>
      </c>
    </row>
    <row r="600">
      <c r="A600" s="21" t="n">
        <v>44701</v>
      </c>
      <c r="B600" t="n">
        <v>0.23</v>
      </c>
    </row>
    <row r="601">
      <c r="A601" s="21" t="n">
        <v>44704</v>
      </c>
      <c r="B601" t="n">
        <v>0.26</v>
      </c>
    </row>
    <row r="602">
      <c r="A602" s="21" t="n">
        <v>44705</v>
      </c>
      <c r="B602" t="n">
        <v>0.21</v>
      </c>
    </row>
    <row r="603">
      <c r="A603" s="21" t="n">
        <v>44706</v>
      </c>
      <c r="B603" t="n">
        <v>0.19</v>
      </c>
    </row>
    <row r="604">
      <c r="A604" s="21" t="n">
        <v>44707</v>
      </c>
      <c r="B604" t="n">
        <v>0.13</v>
      </c>
    </row>
    <row r="605">
      <c r="A605" s="21" t="n">
        <v>44708</v>
      </c>
      <c r="B605" t="n">
        <v>0.11</v>
      </c>
    </row>
    <row r="606">
      <c r="A606" s="21" t="n">
        <v>44712</v>
      </c>
      <c r="B606" t="n">
        <v>0.21</v>
      </c>
    </row>
    <row r="607">
      <c r="A607" s="21" t="n">
        <v>44713</v>
      </c>
      <c r="B607" t="n">
        <v>0.29</v>
      </c>
    </row>
    <row r="608">
      <c r="A608" s="21" t="n">
        <v>44714</v>
      </c>
      <c r="B608" t="n">
        <v>0.26</v>
      </c>
    </row>
    <row r="609">
      <c r="A609" s="21" t="n">
        <v>44715</v>
      </c>
      <c r="B609" t="n">
        <v>0.22</v>
      </c>
    </row>
    <row r="610">
      <c r="A610" s="21" t="n">
        <v>44718</v>
      </c>
      <c r="B610" t="n">
        <v>0.28</v>
      </c>
    </row>
    <row r="611">
      <c r="A611" s="21" t="n">
        <v>44719</v>
      </c>
      <c r="B611" t="n">
        <v>0.25</v>
      </c>
    </row>
    <row r="612">
      <c r="A612" s="21" t="n">
        <v>44720</v>
      </c>
      <c r="B612" t="n">
        <v>0.28</v>
      </c>
    </row>
    <row r="613">
      <c r="A613" s="21" t="n">
        <v>44721</v>
      </c>
      <c r="B613" t="n">
        <v>0.29</v>
      </c>
    </row>
    <row r="614">
      <c r="A614" s="21" t="n">
        <v>44722</v>
      </c>
      <c r="B614" t="n">
        <v>0.39</v>
      </c>
    </row>
    <row r="615">
      <c r="A615" s="21" t="n">
        <v>44725</v>
      </c>
      <c r="B615" t="n">
        <v>0.6899999999999999</v>
      </c>
    </row>
    <row r="616">
      <c r="A616" s="21" t="n">
        <v>44726</v>
      </c>
      <c r="B616" t="n">
        <v>0.89</v>
      </c>
    </row>
    <row r="617">
      <c r="A617" s="21" t="n">
        <v>44727</v>
      </c>
      <c r="B617" t="n">
        <v>0.63</v>
      </c>
    </row>
    <row r="618">
      <c r="A618" s="21" t="n">
        <v>44728</v>
      </c>
      <c r="B618" t="n">
        <v>0.66</v>
      </c>
    </row>
    <row r="619">
      <c r="A619" s="21" t="n">
        <v>44729</v>
      </c>
      <c r="B619" t="n">
        <v>0.67</v>
      </c>
    </row>
    <row r="620">
      <c r="A620" s="21" t="n">
        <v>44733</v>
      </c>
      <c r="B620" t="n">
        <v>0.7</v>
      </c>
    </row>
    <row r="621">
      <c r="A621" s="21" t="n">
        <v>44734</v>
      </c>
      <c r="B621" t="n">
        <v>0.62</v>
      </c>
    </row>
    <row r="622">
      <c r="A622" s="21" t="n">
        <v>44735</v>
      </c>
      <c r="B622" t="n">
        <v>0.59</v>
      </c>
    </row>
    <row r="623">
      <c r="A623" s="21" t="n">
        <v>44736</v>
      </c>
      <c r="B623" t="n">
        <v>0.57</v>
      </c>
    </row>
    <row r="624">
      <c r="A624" s="21" t="n">
        <v>44739</v>
      </c>
      <c r="B624" t="n">
        <v>0.65</v>
      </c>
    </row>
    <row r="625">
      <c r="A625" s="21" t="n">
        <v>44740</v>
      </c>
      <c r="B625" t="n">
        <v>0.72</v>
      </c>
    </row>
    <row r="626">
      <c r="A626" s="21" t="n">
        <v>44741</v>
      </c>
      <c r="B626" t="n">
        <v>0.74</v>
      </c>
    </row>
    <row r="627">
      <c r="A627" s="21" t="n">
        <v>44742</v>
      </c>
      <c r="B627" t="n">
        <v>0.65</v>
      </c>
    </row>
    <row r="628">
      <c r="A628" s="21" t="n">
        <v>44743</v>
      </c>
      <c r="B628" t="n">
        <v>0.54</v>
      </c>
    </row>
    <row r="629">
      <c r="A629" s="21" t="n">
        <v>44747</v>
      </c>
      <c r="B629" t="n">
        <v>0.52</v>
      </c>
    </row>
    <row r="630">
      <c r="A630" s="21" t="n">
        <v>44748</v>
      </c>
      <c r="B630" t="n">
        <v>0.64</v>
      </c>
    </row>
    <row r="631">
      <c r="A631" s="21" t="n">
        <v>44749</v>
      </c>
      <c r="B631" t="n">
        <v>0.68</v>
      </c>
    </row>
    <row r="632">
      <c r="A632" s="21" t="n">
        <v>44750</v>
      </c>
      <c r="B632" t="n">
        <v>0.72</v>
      </c>
    </row>
    <row r="633">
      <c r="A633" s="21" t="n">
        <v>44753</v>
      </c>
      <c r="B633" t="n">
        <v>0.67</v>
      </c>
    </row>
    <row r="634">
      <c r="A634" s="21" t="n">
        <v>44754</v>
      </c>
      <c r="B634" t="n">
        <v>0.64</v>
      </c>
    </row>
    <row r="635">
      <c r="A635" s="21" t="n">
        <v>44755</v>
      </c>
      <c r="B635" t="n">
        <v>0.6</v>
      </c>
    </row>
    <row r="636">
      <c r="A636" s="21" t="n">
        <v>44756</v>
      </c>
      <c r="B636" t="n">
        <v>0.62</v>
      </c>
    </row>
    <row r="637">
      <c r="A637" s="21" t="n">
        <v>44757</v>
      </c>
      <c r="B637" t="n">
        <v>0.57</v>
      </c>
    </row>
    <row r="638">
      <c r="A638" s="21" t="n">
        <v>44760</v>
      </c>
      <c r="B638" t="n">
        <v>0.59</v>
      </c>
    </row>
    <row r="639">
      <c r="A639" s="21" t="n">
        <v>44761</v>
      </c>
      <c r="B639" t="n">
        <v>0.62</v>
      </c>
    </row>
    <row r="640">
      <c r="A640" s="21" t="n">
        <v>44762</v>
      </c>
      <c r="B640" t="n">
        <v>0.66</v>
      </c>
    </row>
    <row r="641">
      <c r="A641" s="21" t="n">
        <v>44763</v>
      </c>
      <c r="B641" t="n">
        <v>0.58</v>
      </c>
    </row>
    <row r="642">
      <c r="A642" s="21" t="n">
        <v>44764</v>
      </c>
      <c r="B642" t="n">
        <v>0.43</v>
      </c>
    </row>
    <row r="643">
      <c r="A643" s="21" t="n">
        <v>44767</v>
      </c>
      <c r="B643" t="n">
        <v>0.45</v>
      </c>
    </row>
    <row r="644">
      <c r="A644" s="21" t="n">
        <v>44768</v>
      </c>
      <c r="B644" t="n">
        <v>0.45</v>
      </c>
    </row>
    <row r="645">
      <c r="A645" s="21" t="n">
        <v>44769</v>
      </c>
      <c r="B645" t="n">
        <v>0.36</v>
      </c>
    </row>
    <row r="646">
      <c r="A646" s="21" t="n">
        <v>44770</v>
      </c>
      <c r="B646" t="n">
        <v>0.2</v>
      </c>
    </row>
    <row r="647">
      <c r="A647" s="21" t="n">
        <v>44771</v>
      </c>
      <c r="B647" t="n">
        <v>0.14</v>
      </c>
    </row>
    <row r="648">
      <c r="A648" s="21" t="n">
        <v>44774</v>
      </c>
      <c r="B648" t="n">
        <v>0.09</v>
      </c>
    </row>
    <row r="649">
      <c r="A649" s="21" t="n">
        <v>44775</v>
      </c>
      <c r="B649" t="n">
        <v>0.27</v>
      </c>
    </row>
    <row r="650">
      <c r="A650" s="21" t="n">
        <v>44776</v>
      </c>
      <c r="B650" t="n">
        <v>0.23</v>
      </c>
    </row>
    <row r="651">
      <c r="A651" s="21" t="n">
        <v>44777</v>
      </c>
      <c r="B651" t="n">
        <v>0.22</v>
      </c>
    </row>
    <row r="652">
      <c r="A652" s="21" t="n">
        <v>44778</v>
      </c>
      <c r="B652" t="n">
        <v>0.37</v>
      </c>
    </row>
    <row r="653">
      <c r="A653" s="21" t="n">
        <v>44781</v>
      </c>
      <c r="B653" t="n">
        <v>0.29</v>
      </c>
    </row>
    <row r="654">
      <c r="A654" s="21" t="n">
        <v>44782</v>
      </c>
      <c r="B654" t="n">
        <v>0.33</v>
      </c>
    </row>
    <row r="655">
      <c r="A655" s="21" t="n">
        <v>44783</v>
      </c>
      <c r="B655" t="n">
        <v>0.35</v>
      </c>
    </row>
    <row r="656">
      <c r="A656" s="21" t="n">
        <v>44784</v>
      </c>
      <c r="B656" t="n">
        <v>0.4</v>
      </c>
    </row>
    <row r="657">
      <c r="A657" s="21" t="n">
        <v>44785</v>
      </c>
      <c r="B657" t="n">
        <v>0.37</v>
      </c>
    </row>
    <row r="658">
      <c r="A658" s="21" t="n">
        <v>44788</v>
      </c>
      <c r="B658" t="n">
        <v>0.35</v>
      </c>
    </row>
    <row r="659">
      <c r="A659" s="21" t="n">
        <v>44789</v>
      </c>
      <c r="B659" t="n">
        <v>0.38</v>
      </c>
    </row>
    <row r="660">
      <c r="A660" s="21" t="n">
        <v>44790</v>
      </c>
      <c r="B660" t="n">
        <v>0.43</v>
      </c>
    </row>
    <row r="661">
      <c r="A661" s="21" t="n">
        <v>44791</v>
      </c>
      <c r="B661" t="n">
        <v>0.36</v>
      </c>
    </row>
    <row r="662">
      <c r="A662" s="21" t="n">
        <v>44792</v>
      </c>
      <c r="B662" t="n">
        <v>0.43</v>
      </c>
    </row>
    <row r="663">
      <c r="A663" s="21" t="n">
        <v>44795</v>
      </c>
      <c r="B663" t="n">
        <v>0.46</v>
      </c>
    </row>
    <row r="664">
      <c r="A664" s="21" t="n">
        <v>44796</v>
      </c>
      <c r="B664" t="n">
        <v>0.47</v>
      </c>
    </row>
    <row r="665">
      <c r="A665" s="21" t="n">
        <v>44797</v>
      </c>
      <c r="B665" t="n">
        <v>0.49</v>
      </c>
    </row>
    <row r="666">
      <c r="A666" s="21" t="n">
        <v>44798</v>
      </c>
      <c r="B666" t="n">
        <v>0.43</v>
      </c>
    </row>
    <row r="667">
      <c r="A667" s="21" t="n">
        <v>44799</v>
      </c>
      <c r="B667" t="n">
        <v>0.47</v>
      </c>
    </row>
    <row r="668">
      <c r="A668" s="21" t="n">
        <v>44802</v>
      </c>
      <c r="B668" t="n">
        <v>0.54</v>
      </c>
    </row>
    <row r="669">
      <c r="A669" s="21" t="n">
        <v>44803</v>
      </c>
      <c r="B669" t="n">
        <v>0.5600000000000001</v>
      </c>
    </row>
    <row r="670">
      <c r="A670" s="21" t="n">
        <v>44804</v>
      </c>
      <c r="B670" t="n">
        <v>0.67</v>
      </c>
    </row>
    <row r="671">
      <c r="A671" s="21" t="n">
        <v>44805</v>
      </c>
      <c r="B671" t="n">
        <v>0.8100000000000001</v>
      </c>
    </row>
    <row r="672">
      <c r="A672" s="21" t="n">
        <v>44806</v>
      </c>
      <c r="B672" t="n">
        <v>0.73</v>
      </c>
    </row>
    <row r="673">
      <c r="A673" s="21" t="n">
        <v>44810</v>
      </c>
      <c r="B673" t="n">
        <v>0.85</v>
      </c>
    </row>
    <row r="674">
      <c r="A674" s="21" t="n">
        <v>44811</v>
      </c>
      <c r="B674" t="n">
        <v>0.82</v>
      </c>
    </row>
    <row r="675">
      <c r="A675" s="21" t="n">
        <v>44812</v>
      </c>
      <c r="B675" t="n">
        <v>0.88</v>
      </c>
    </row>
    <row r="676">
      <c r="A676" s="21" t="n">
        <v>44813</v>
      </c>
      <c r="B676" t="n">
        <v>0.91</v>
      </c>
    </row>
    <row r="677">
      <c r="A677" s="21" t="n">
        <v>44816</v>
      </c>
      <c r="B677" t="n">
        <v>0.95</v>
      </c>
    </row>
    <row r="678">
      <c r="A678" s="21" t="n">
        <v>44817</v>
      </c>
      <c r="B678" t="n">
        <v>0.98</v>
      </c>
    </row>
    <row r="679">
      <c r="A679" s="21" t="n">
        <v>44818</v>
      </c>
      <c r="B679" t="n">
        <v>0.95</v>
      </c>
    </row>
    <row r="680">
      <c r="A680" s="21" t="n">
        <v>44819</v>
      </c>
      <c r="B680" t="n">
        <v>1.02</v>
      </c>
    </row>
    <row r="681">
      <c r="A681" s="21" t="n">
        <v>44820</v>
      </c>
      <c r="B681" t="n">
        <v>1.07</v>
      </c>
    </row>
    <row r="682">
      <c r="A682" s="21" t="n">
        <v>44823</v>
      </c>
      <c r="B682" t="n">
        <v>1.15</v>
      </c>
    </row>
    <row r="683">
      <c r="A683" s="21" t="n">
        <v>44824</v>
      </c>
      <c r="B683" t="n">
        <v>1.17</v>
      </c>
    </row>
    <row r="684">
      <c r="A684" s="21" t="n">
        <v>44825</v>
      </c>
      <c r="B684" t="n">
        <v>1.13</v>
      </c>
    </row>
    <row r="685">
      <c r="A685" s="21" t="n">
        <v>44826</v>
      </c>
      <c r="B685" t="n">
        <v>1.29</v>
      </c>
    </row>
    <row r="686">
      <c r="A686" s="21" t="n">
        <v>44827</v>
      </c>
      <c r="B686" t="n">
        <v>1.32</v>
      </c>
    </row>
    <row r="687">
      <c r="A687" s="21" t="n">
        <v>44830</v>
      </c>
      <c r="B687" t="n">
        <v>1.56</v>
      </c>
    </row>
    <row r="688">
      <c r="A688" s="21" t="n">
        <v>44831</v>
      </c>
      <c r="B688" t="n">
        <v>1.64</v>
      </c>
    </row>
    <row r="689">
      <c r="A689" s="21" t="n">
        <v>44832</v>
      </c>
      <c r="B689" t="n">
        <v>1.39</v>
      </c>
    </row>
    <row r="690">
      <c r="A690" s="21" t="n">
        <v>44833</v>
      </c>
      <c r="B690" t="n">
        <v>1.57</v>
      </c>
    </row>
    <row r="691">
      <c r="A691" s="21" t="n">
        <v>44834</v>
      </c>
      <c r="B691" t="n">
        <v>1.68</v>
      </c>
    </row>
    <row r="692">
      <c r="A692" s="21" t="n">
        <v>44837</v>
      </c>
      <c r="B692" t="n">
        <v>1.43</v>
      </c>
    </row>
    <row r="693">
      <c r="A693" s="21" t="n">
        <v>44838</v>
      </c>
      <c r="B693" t="n">
        <v>1.38</v>
      </c>
    </row>
    <row r="694">
      <c r="A694" s="21" t="n">
        <v>44839</v>
      </c>
      <c r="B694" t="n">
        <v>1.54</v>
      </c>
    </row>
    <row r="695">
      <c r="A695" s="21" t="n">
        <v>44840</v>
      </c>
      <c r="B695" t="n">
        <v>1.61</v>
      </c>
    </row>
    <row r="696">
      <c r="A696" s="21" t="n">
        <v>44841</v>
      </c>
      <c r="B696" t="n">
        <v>1.62</v>
      </c>
    </row>
    <row r="697">
      <c r="A697" s="21" t="n">
        <v>44845</v>
      </c>
      <c r="B697" t="n">
        <v>1.62</v>
      </c>
    </row>
    <row r="698">
      <c r="A698" s="21" t="n">
        <v>44846</v>
      </c>
      <c r="B698" t="n">
        <v>1.62</v>
      </c>
    </row>
    <row r="699">
      <c r="A699" s="21" t="n">
        <v>44847</v>
      </c>
      <c r="B699" t="n">
        <v>1.63</v>
      </c>
    </row>
    <row r="700">
      <c r="A700" s="21" t="n">
        <v>44848</v>
      </c>
      <c r="B700" t="n">
        <v>1.59</v>
      </c>
    </row>
    <row r="701">
      <c r="A701" s="21" t="n">
        <v>44851</v>
      </c>
      <c r="B701" t="n">
        <v>1.57</v>
      </c>
    </row>
    <row r="702">
      <c r="A702" s="21" t="n">
        <v>44852</v>
      </c>
      <c r="B702" t="n">
        <v>1.6</v>
      </c>
    </row>
    <row r="703">
      <c r="A703" s="21" t="n">
        <v>44853</v>
      </c>
      <c r="B703" t="n">
        <v>1.72</v>
      </c>
    </row>
    <row r="704">
      <c r="A704" s="21" t="n">
        <v>44854</v>
      </c>
      <c r="B704" t="n">
        <v>1.73</v>
      </c>
    </row>
    <row r="705">
      <c r="A705" s="21" t="n">
        <v>44855</v>
      </c>
      <c r="B705" t="n">
        <v>1.69</v>
      </c>
    </row>
    <row r="706">
      <c r="A706" s="21" t="n">
        <v>44858</v>
      </c>
      <c r="B706" t="n">
        <v>1.66</v>
      </c>
    </row>
    <row r="707">
      <c r="A707" s="21" t="n">
        <v>44859</v>
      </c>
      <c r="B707" t="n">
        <v>1.59</v>
      </c>
    </row>
    <row r="708">
      <c r="A708" s="21" t="n">
        <v>44860</v>
      </c>
      <c r="B708" t="n">
        <v>1.6</v>
      </c>
    </row>
    <row r="709">
      <c r="A709" s="21" t="n">
        <v>44861</v>
      </c>
      <c r="B709" t="n">
        <v>1.51</v>
      </c>
    </row>
    <row r="710">
      <c r="A710" s="21" t="n">
        <v>44862</v>
      </c>
      <c r="B710" t="n">
        <v>1.51</v>
      </c>
    </row>
    <row r="711">
      <c r="A711" s="21" t="n">
        <v>44865</v>
      </c>
      <c r="B711" t="n">
        <v>1.58</v>
      </c>
    </row>
    <row r="712">
      <c r="A712" s="21" t="n">
        <v>44866</v>
      </c>
      <c r="B712" t="n">
        <v>1.56</v>
      </c>
    </row>
    <row r="713">
      <c r="A713" s="21" t="n">
        <v>44867</v>
      </c>
      <c r="B713" t="n">
        <v>1.57</v>
      </c>
    </row>
    <row r="714">
      <c r="A714" s="21" t="n">
        <v>44868</v>
      </c>
      <c r="B714" t="n">
        <v>1.74</v>
      </c>
    </row>
    <row r="715">
      <c r="A715" s="21" t="n">
        <v>44869</v>
      </c>
      <c r="B715" t="n">
        <v>1.69</v>
      </c>
    </row>
    <row r="716">
      <c r="A716" s="21" t="n">
        <v>44872</v>
      </c>
      <c r="B716" t="n">
        <v>1.69</v>
      </c>
    </row>
    <row r="717">
      <c r="A717" s="21" t="n">
        <v>44873</v>
      </c>
      <c r="B717" t="n">
        <v>1.64</v>
      </c>
    </row>
    <row r="718">
      <c r="A718" s="21" t="n">
        <v>44874</v>
      </c>
      <c r="B718" t="n">
        <v>1.7</v>
      </c>
    </row>
    <row r="719">
      <c r="A719" s="21" t="n">
        <v>44875</v>
      </c>
      <c r="B719" t="n">
        <v>1.43</v>
      </c>
    </row>
    <row r="720">
      <c r="A720" s="21" t="n">
        <v>44879</v>
      </c>
      <c r="B720" t="n">
        <v>1.51</v>
      </c>
    </row>
    <row r="721">
      <c r="A721" s="21" t="n">
        <v>44880</v>
      </c>
      <c r="B721" t="n">
        <v>1.45</v>
      </c>
    </row>
    <row r="722">
      <c r="A722" s="21" t="n">
        <v>44881</v>
      </c>
      <c r="B722" t="n">
        <v>1.38</v>
      </c>
    </row>
    <row r="723">
      <c r="A723" s="21" t="n">
        <v>44882</v>
      </c>
      <c r="B723" t="n">
        <v>1.49</v>
      </c>
    </row>
    <row r="724">
      <c r="A724" s="21" t="n">
        <v>44883</v>
      </c>
      <c r="B724" t="n">
        <v>1.57</v>
      </c>
    </row>
    <row r="725">
      <c r="A725" s="21" t="n">
        <v>44886</v>
      </c>
      <c r="B725" t="n">
        <v>1.52</v>
      </c>
    </row>
    <row r="726">
      <c r="A726" s="21" t="n">
        <v>44887</v>
      </c>
      <c r="B726" t="n">
        <v>1.44</v>
      </c>
    </row>
    <row r="727">
      <c r="A727" s="21" t="n">
        <v>44888</v>
      </c>
      <c r="B727" t="n">
        <v>1.39</v>
      </c>
    </row>
    <row r="728">
      <c r="A728" s="21" t="n">
        <v>44890</v>
      </c>
      <c r="B728" t="n">
        <v>1.36</v>
      </c>
    </row>
    <row r="729">
      <c r="A729" s="21" t="n">
        <v>44893</v>
      </c>
      <c r="B729" t="n">
        <v>1.43</v>
      </c>
    </row>
    <row r="730">
      <c r="A730" s="21" t="n">
        <v>44894</v>
      </c>
      <c r="B730" t="n">
        <v>1.5</v>
      </c>
    </row>
    <row r="731">
      <c r="A731" s="21" t="n">
        <v>44895</v>
      </c>
      <c r="B731" t="n">
        <v>1.34</v>
      </c>
    </row>
    <row r="732">
      <c r="A732" s="21" t="n">
        <v>44896</v>
      </c>
      <c r="B732" t="n">
        <v>1.17</v>
      </c>
    </row>
    <row r="733">
      <c r="A733" s="21" t="n">
        <v>44897</v>
      </c>
      <c r="B733" t="n">
        <v>1.08</v>
      </c>
    </row>
    <row r="734">
      <c r="A734" s="21" t="n">
        <v>44900</v>
      </c>
      <c r="B734" t="n">
        <v>1.21</v>
      </c>
    </row>
    <row r="735">
      <c r="A735" s="21" t="n">
        <v>44901</v>
      </c>
      <c r="B735" t="n">
        <v>1.2</v>
      </c>
    </row>
    <row r="736">
      <c r="A736" s="21" t="n">
        <v>44902</v>
      </c>
      <c r="B736" t="n">
        <v>1.16</v>
      </c>
    </row>
    <row r="737">
      <c r="A737" s="21" t="n">
        <v>44903</v>
      </c>
      <c r="B737" t="n">
        <v>1.2</v>
      </c>
    </row>
    <row r="738">
      <c r="A738" s="21" t="n">
        <v>44904</v>
      </c>
      <c r="B738" t="n">
        <v>1.31</v>
      </c>
    </row>
    <row r="739">
      <c r="A739" s="21" t="n">
        <v>44907</v>
      </c>
      <c r="B739" t="n">
        <v>1.33</v>
      </c>
    </row>
    <row r="740">
      <c r="A740" s="21" t="n">
        <v>44908</v>
      </c>
      <c r="B740" t="n">
        <v>1.27</v>
      </c>
    </row>
    <row r="741">
      <c r="A741" s="21" t="n">
        <v>44909</v>
      </c>
      <c r="B741" t="n">
        <v>1.3</v>
      </c>
    </row>
    <row r="742">
      <c r="A742" s="21" t="n">
        <v>44910</v>
      </c>
      <c r="B742" t="n">
        <v>1.28</v>
      </c>
    </row>
    <row r="743">
      <c r="A743" s="21" t="n">
        <v>44911</v>
      </c>
      <c r="B743" t="n">
        <v>1.35</v>
      </c>
    </row>
    <row r="744">
      <c r="A744" s="21" t="n">
        <v>44914</v>
      </c>
      <c r="B744" t="n">
        <v>1.42</v>
      </c>
    </row>
    <row r="745">
      <c r="A745" s="21" t="n">
        <v>44915</v>
      </c>
      <c r="B745" t="n">
        <v>1.45</v>
      </c>
    </row>
    <row r="746">
      <c r="A746" s="21" t="n">
        <v>44916</v>
      </c>
      <c r="B746" t="n">
        <v>1.41</v>
      </c>
    </row>
    <row r="747">
      <c r="A747" s="21" t="n">
        <v>44917</v>
      </c>
      <c r="B747" t="n">
        <v>1.48</v>
      </c>
    </row>
    <row r="748">
      <c r="A748" s="21" t="n">
        <v>44918</v>
      </c>
      <c r="B748" t="n">
        <v>1.55</v>
      </c>
    </row>
    <row r="749">
      <c r="A749" s="21" t="n">
        <v>44922</v>
      </c>
      <c r="B749" t="n">
        <v>1.58</v>
      </c>
    </row>
    <row r="750">
      <c r="A750" s="21" t="n">
        <v>44923</v>
      </c>
      <c r="B750" t="n">
        <v>1.6</v>
      </c>
    </row>
    <row r="751">
      <c r="A751" s="21" t="n">
        <v>44924</v>
      </c>
      <c r="B751" t="n">
        <v>1.56</v>
      </c>
    </row>
    <row r="752">
      <c r="A752" s="21" t="n">
        <v>44925</v>
      </c>
      <c r="B752" t="n">
        <v>1.58</v>
      </c>
    </row>
    <row r="753">
      <c r="A753" s="21" t="n">
        <v>44929</v>
      </c>
      <c r="B753" t="n">
        <v>1.53</v>
      </c>
    </row>
    <row r="754">
      <c r="A754" s="21" t="n">
        <v>44930</v>
      </c>
      <c r="B754" t="n">
        <v>1.47</v>
      </c>
    </row>
    <row r="755">
      <c r="A755" s="21" t="n">
        <v>44931</v>
      </c>
      <c r="B755" t="n">
        <v>1.49</v>
      </c>
    </row>
    <row r="756">
      <c r="A756" s="21" t="n">
        <v>44932</v>
      </c>
      <c r="B756" t="n">
        <v>1.34</v>
      </c>
    </row>
    <row r="757">
      <c r="A757" s="21" t="n">
        <v>44935</v>
      </c>
      <c r="B757" t="n">
        <v>1.31</v>
      </c>
    </row>
    <row r="758">
      <c r="A758" s="21" t="n">
        <v>44936</v>
      </c>
      <c r="B758" t="n">
        <v>1.37</v>
      </c>
    </row>
    <row r="759">
      <c r="A759" s="21" t="n">
        <v>44937</v>
      </c>
      <c r="B759" t="n">
        <v>1.31</v>
      </c>
    </row>
    <row r="760">
      <c r="A760" s="21" t="n">
        <v>44938</v>
      </c>
      <c r="B760" t="n">
        <v>1.22</v>
      </c>
    </row>
    <row r="761">
      <c r="A761" s="21" t="n">
        <v>44939</v>
      </c>
      <c r="B761" t="n">
        <v>1.31</v>
      </c>
    </row>
    <row r="762">
      <c r="A762" s="21" t="n">
        <v>44943</v>
      </c>
      <c r="B762" t="n">
        <v>1.36</v>
      </c>
    </row>
    <row r="763">
      <c r="A763" s="21" t="n">
        <v>44944</v>
      </c>
      <c r="B763" t="n">
        <v>1.25</v>
      </c>
    </row>
    <row r="764">
      <c r="A764" s="21" t="n">
        <v>44945</v>
      </c>
      <c r="B764" t="n">
        <v>1.19</v>
      </c>
    </row>
    <row r="765">
      <c r="A765" s="21" t="n">
        <v>44946</v>
      </c>
      <c r="B765" t="n">
        <v>1.25</v>
      </c>
    </row>
    <row r="766">
      <c r="A766" s="21" t="n">
        <v>44949</v>
      </c>
      <c r="B766" t="n">
        <v>1.24</v>
      </c>
    </row>
    <row r="767">
      <c r="A767" s="21" t="n">
        <v>44950</v>
      </c>
      <c r="B767" t="n">
        <v>1.19</v>
      </c>
    </row>
    <row r="768">
      <c r="A768" s="21" t="n">
        <v>44951</v>
      </c>
      <c r="B768" t="n">
        <v>1.17</v>
      </c>
    </row>
    <row r="769">
      <c r="A769" s="21" t="n">
        <v>44952</v>
      </c>
      <c r="B769" t="n">
        <v>1.16</v>
      </c>
    </row>
    <row r="770">
      <c r="A770" s="21" t="n">
        <v>44953</v>
      </c>
      <c r="B770" t="n">
        <v>1.19</v>
      </c>
    </row>
    <row r="771">
      <c r="A771" s="21" t="n">
        <v>44956</v>
      </c>
      <c r="B771" t="n">
        <v>1.26</v>
      </c>
    </row>
    <row r="772">
      <c r="A772" s="21" t="n">
        <v>44957</v>
      </c>
      <c r="B772" t="n">
        <v>1.28</v>
      </c>
    </row>
    <row r="773">
      <c r="A773" s="21" t="n">
        <v>44958</v>
      </c>
      <c r="B773" t="n">
        <v>1.14</v>
      </c>
    </row>
    <row r="774">
      <c r="A774" s="21" t="n">
        <v>44959</v>
      </c>
      <c r="B774" t="n">
        <v>1.18</v>
      </c>
    </row>
    <row r="775">
      <c r="A775" s="21" t="n">
        <v>44960</v>
      </c>
      <c r="B775" t="n">
        <v>1.31</v>
      </c>
    </row>
    <row r="776">
      <c r="A776" s="21" t="n">
        <v>44963</v>
      </c>
      <c r="B776" t="n">
        <v>1.38</v>
      </c>
    </row>
    <row r="777">
      <c r="A777" s="21" t="n">
        <v>44964</v>
      </c>
      <c r="B777" t="n">
        <v>1.36</v>
      </c>
    </row>
    <row r="778">
      <c r="A778" s="21" t="n">
        <v>44965</v>
      </c>
      <c r="B778" t="n">
        <v>1.29</v>
      </c>
    </row>
    <row r="779">
      <c r="A779" s="21" t="n">
        <v>44966</v>
      </c>
      <c r="B779" t="n">
        <v>1.34</v>
      </c>
    </row>
    <row r="780">
      <c r="A780" s="21" t="n">
        <v>44967</v>
      </c>
      <c r="B780" t="n">
        <v>1.41</v>
      </c>
    </row>
    <row r="781">
      <c r="A781" s="21" t="n">
        <v>44970</v>
      </c>
      <c r="B781" t="n">
        <v>1.41</v>
      </c>
    </row>
    <row r="782">
      <c r="A782" s="21" t="n">
        <v>44971</v>
      </c>
      <c r="B782" t="n">
        <v>1.46</v>
      </c>
    </row>
    <row r="783">
      <c r="A783" s="21" t="n">
        <v>44972</v>
      </c>
      <c r="B783" t="n">
        <v>1.46</v>
      </c>
    </row>
    <row r="784">
      <c r="A784" s="21" t="n">
        <v>44973</v>
      </c>
      <c r="B784" t="n">
        <v>1.49</v>
      </c>
    </row>
    <row r="785">
      <c r="A785" s="21" t="n">
        <v>44974</v>
      </c>
      <c r="B785" t="n">
        <v>1.46</v>
      </c>
    </row>
    <row r="786">
      <c r="A786" s="21" t="n">
        <v>44978</v>
      </c>
      <c r="B786" t="n">
        <v>1.53</v>
      </c>
    </row>
    <row r="787">
      <c r="A787" s="21" t="n">
        <v>44979</v>
      </c>
      <c r="B787" t="n">
        <v>1.52</v>
      </c>
    </row>
    <row r="788">
      <c r="A788" s="21" t="n">
        <v>44980</v>
      </c>
      <c r="B788" t="n">
        <v>1.49</v>
      </c>
    </row>
    <row r="789">
      <c r="A789" s="21" t="n">
        <v>44981</v>
      </c>
      <c r="B789" t="n">
        <v>1.57</v>
      </c>
    </row>
    <row r="790">
      <c r="A790" s="21" t="n">
        <v>44984</v>
      </c>
      <c r="B790" t="n">
        <v>1.56</v>
      </c>
    </row>
    <row r="791">
      <c r="A791" s="21" t="n">
        <v>44985</v>
      </c>
      <c r="B791" t="n">
        <v>1.49</v>
      </c>
    </row>
    <row r="792">
      <c r="A792" s="21" t="n">
        <v>44986</v>
      </c>
      <c r="B792" t="n">
        <v>1.57</v>
      </c>
    </row>
    <row r="793">
      <c r="A793" s="21" t="n">
        <v>44987</v>
      </c>
      <c r="B793" t="n">
        <v>1.6</v>
      </c>
    </row>
    <row r="794">
      <c r="A794" s="21" t="n">
        <v>44988</v>
      </c>
      <c r="B794" t="n">
        <v>1.45</v>
      </c>
    </row>
    <row r="795">
      <c r="A795" s="21" t="n">
        <v>44991</v>
      </c>
      <c r="B795" t="n">
        <v>1.49</v>
      </c>
    </row>
    <row r="796">
      <c r="A796" s="21" t="n">
        <v>44992</v>
      </c>
      <c r="B796" t="n">
        <v>1.59</v>
      </c>
    </row>
    <row r="797">
      <c r="A797" s="21" t="n">
        <v>44993</v>
      </c>
      <c r="B797" t="n">
        <v>1.66</v>
      </c>
    </row>
    <row r="798">
      <c r="A798" s="21" t="n">
        <v>44994</v>
      </c>
      <c r="B798" t="n">
        <v>1.63</v>
      </c>
    </row>
    <row r="799">
      <c r="A799" s="21" t="n">
        <v>44995</v>
      </c>
      <c r="B799" t="n">
        <v>1.44</v>
      </c>
    </row>
    <row r="800">
      <c r="A800" s="21" t="n">
        <v>44998</v>
      </c>
      <c r="B800" t="n">
        <v>1.31</v>
      </c>
    </row>
    <row r="801">
      <c r="A801" s="21" t="n">
        <v>44999</v>
      </c>
      <c r="B801" t="n">
        <v>1.33</v>
      </c>
    </row>
    <row r="802">
      <c r="A802" s="21" t="n">
        <v>45000</v>
      </c>
      <c r="B802" t="n">
        <v>1.22</v>
      </c>
    </row>
    <row r="803">
      <c r="A803" s="21" t="n">
        <v>45001</v>
      </c>
      <c r="B803" t="n">
        <v>1.34</v>
      </c>
    </row>
    <row r="804">
      <c r="A804" s="21" t="n">
        <v>45002</v>
      </c>
      <c r="B804" t="n">
        <v>1.29</v>
      </c>
    </row>
    <row r="805">
      <c r="A805" s="21" t="n">
        <v>45005</v>
      </c>
      <c r="B805" t="n">
        <v>1.33</v>
      </c>
    </row>
    <row r="806">
      <c r="A806" s="21" t="n">
        <v>45006</v>
      </c>
      <c r="B806" t="n">
        <v>1.36</v>
      </c>
    </row>
    <row r="807">
      <c r="A807" s="21" t="n">
        <v>45007</v>
      </c>
      <c r="B807" t="n">
        <v>1.2</v>
      </c>
    </row>
    <row r="808">
      <c r="A808" s="21" t="n">
        <v>45008</v>
      </c>
      <c r="B808" t="n">
        <v>1.19</v>
      </c>
    </row>
    <row r="809">
      <c r="A809" s="21" t="n">
        <v>45009</v>
      </c>
      <c r="B809" t="n">
        <v>1.16</v>
      </c>
    </row>
    <row r="810">
      <c r="A810" s="21" t="n">
        <v>45012</v>
      </c>
      <c r="B810" t="n">
        <v>1.29</v>
      </c>
    </row>
    <row r="811">
      <c r="A811" s="21" t="n">
        <v>45013</v>
      </c>
      <c r="B811" t="n">
        <v>1.24</v>
      </c>
    </row>
    <row r="812">
      <c r="A812" s="21" t="n">
        <v>45014</v>
      </c>
      <c r="B812" t="n">
        <v>1.24</v>
      </c>
    </row>
    <row r="813">
      <c r="A813" s="21" t="n">
        <v>45015</v>
      </c>
      <c r="B813" t="n">
        <v>1.21</v>
      </c>
    </row>
    <row r="814">
      <c r="A814" s="21" t="n">
        <v>45016</v>
      </c>
      <c r="B814" t="n">
        <v>1.16</v>
      </c>
    </row>
    <row r="815">
      <c r="A815" s="21" t="n">
        <v>45019</v>
      </c>
      <c r="B815" t="n">
        <v>1.14</v>
      </c>
    </row>
    <row r="816">
      <c r="A816" s="21" t="n">
        <v>45020</v>
      </c>
      <c r="B816" t="n">
        <v>1.1</v>
      </c>
    </row>
    <row r="817">
      <c r="A817" s="21" t="n">
        <v>45021</v>
      </c>
      <c r="B817" t="n">
        <v>1.07</v>
      </c>
    </row>
    <row r="818">
      <c r="A818" s="21" t="n">
        <v>45022</v>
      </c>
      <c r="B818" t="n">
        <v>1.06</v>
      </c>
    </row>
    <row r="819">
      <c r="A819" s="21" t="n">
        <v>45023</v>
      </c>
      <c r="B819" t="n">
        <v>1.14</v>
      </c>
    </row>
    <row r="820">
      <c r="A820" s="21" t="n">
        <v>45026</v>
      </c>
      <c r="B820" t="n">
        <v>1.14</v>
      </c>
    </row>
    <row r="821">
      <c r="A821" s="21" t="n">
        <v>45027</v>
      </c>
      <c r="B821" t="n">
        <v>1.14</v>
      </c>
    </row>
    <row r="822">
      <c r="A822" s="21" t="n">
        <v>45028</v>
      </c>
      <c r="B822" t="n">
        <v>1.14</v>
      </c>
    </row>
    <row r="823">
      <c r="A823" s="21" t="n">
        <v>45029</v>
      </c>
      <c r="B823" t="n">
        <v>1.16</v>
      </c>
    </row>
    <row r="824">
      <c r="A824" s="21" t="n">
        <v>45030</v>
      </c>
      <c r="B824" t="n">
        <v>1.22</v>
      </c>
    </row>
    <row r="825">
      <c r="A825" s="21" t="n">
        <v>45033</v>
      </c>
      <c r="B825" t="n">
        <v>1.28</v>
      </c>
    </row>
    <row r="826">
      <c r="A826" s="21" t="n">
        <v>45034</v>
      </c>
      <c r="B826" t="n">
        <v>1.3</v>
      </c>
    </row>
    <row r="827">
      <c r="A827" s="21" t="n">
        <v>45035</v>
      </c>
      <c r="B827" t="n">
        <v>1.32</v>
      </c>
    </row>
    <row r="828">
      <c r="A828" s="21" t="n">
        <v>45036</v>
      </c>
      <c r="B828" t="n">
        <v>1.28</v>
      </c>
    </row>
    <row r="829">
      <c r="A829" s="21" t="n">
        <v>45037</v>
      </c>
      <c r="B829" t="n">
        <v>1.29</v>
      </c>
    </row>
    <row r="830">
      <c r="A830" s="21" t="n">
        <v>45040</v>
      </c>
      <c r="B830" t="n">
        <v>1.24</v>
      </c>
    </row>
    <row r="831">
      <c r="A831" s="21" t="n">
        <v>45041</v>
      </c>
      <c r="B831" t="n">
        <v>1.15</v>
      </c>
    </row>
    <row r="832">
      <c r="A832" s="21" t="n">
        <v>45042</v>
      </c>
      <c r="B832" t="n">
        <v>1.18</v>
      </c>
    </row>
    <row r="833">
      <c r="A833" s="21" t="n">
        <v>45043</v>
      </c>
      <c r="B833" t="n">
        <v>1.26</v>
      </c>
    </row>
    <row r="834">
      <c r="A834" s="21" t="n">
        <v>45044</v>
      </c>
      <c r="B834" t="n">
        <v>1.26</v>
      </c>
    </row>
    <row r="835">
      <c r="A835" s="21" t="n">
        <v>45047</v>
      </c>
      <c r="B835" t="n">
        <v>1.36</v>
      </c>
    </row>
    <row r="836">
      <c r="A836" s="21" t="n">
        <v>45048</v>
      </c>
      <c r="B836" t="n">
        <v>1.24</v>
      </c>
    </row>
    <row r="837">
      <c r="A837" s="21" t="n">
        <v>45049</v>
      </c>
      <c r="B837" t="n">
        <v>1.18</v>
      </c>
    </row>
    <row r="838">
      <c r="A838" s="21" t="n">
        <v>45050</v>
      </c>
      <c r="B838" t="n">
        <v>1.18</v>
      </c>
    </row>
    <row r="839">
      <c r="A839" s="21" t="n">
        <v>45051</v>
      </c>
      <c r="B839" t="n">
        <v>1.23</v>
      </c>
    </row>
    <row r="840">
      <c r="A840" s="21" t="n">
        <v>45054</v>
      </c>
      <c r="B840" t="n">
        <v>1.29</v>
      </c>
    </row>
    <row r="841">
      <c r="A841" s="21" t="n">
        <v>45055</v>
      </c>
      <c r="B841" t="n">
        <v>1.3</v>
      </c>
    </row>
    <row r="842">
      <c r="A842" s="21" t="n">
        <v>45056</v>
      </c>
      <c r="B842" t="n">
        <v>1.26</v>
      </c>
    </row>
    <row r="843">
      <c r="A843" s="21" t="n">
        <v>45057</v>
      </c>
      <c r="B843" t="n">
        <v>1.23</v>
      </c>
    </row>
    <row r="844">
      <c r="A844" s="21" t="n">
        <v>45058</v>
      </c>
      <c r="B844" t="n">
        <v>1.28</v>
      </c>
    </row>
    <row r="845">
      <c r="A845" s="21" t="n">
        <v>45061</v>
      </c>
      <c r="B845" t="n">
        <v>1.31</v>
      </c>
    </row>
    <row r="846">
      <c r="A846" s="21" t="n">
        <v>45062</v>
      </c>
      <c r="B846" t="n">
        <v>1.35</v>
      </c>
    </row>
    <row r="847">
      <c r="A847" s="21" t="n">
        <v>45063</v>
      </c>
      <c r="B847" t="n">
        <v>1.35</v>
      </c>
    </row>
    <row r="848">
      <c r="A848" s="21" t="n">
        <v>45064</v>
      </c>
      <c r="B848" t="n">
        <v>1.42</v>
      </c>
    </row>
    <row r="849">
      <c r="A849" s="21" t="n">
        <v>45065</v>
      </c>
      <c r="B849" t="n">
        <v>1.46</v>
      </c>
    </row>
    <row r="850">
      <c r="A850" s="21" t="n">
        <v>45068</v>
      </c>
      <c r="B850" t="n">
        <v>1.48</v>
      </c>
    </row>
    <row r="851">
      <c r="A851" s="21" t="n">
        <v>45069</v>
      </c>
      <c r="B851" t="n">
        <v>1.44</v>
      </c>
    </row>
    <row r="852">
      <c r="A852" s="21" t="n">
        <v>45070</v>
      </c>
      <c r="B852" t="n">
        <v>1.48</v>
      </c>
    </row>
    <row r="853">
      <c r="A853" s="21" t="n">
        <v>45071</v>
      </c>
      <c r="B853" t="n">
        <v>1.58</v>
      </c>
    </row>
    <row r="854">
      <c r="A854" s="21" t="n">
        <v>45072</v>
      </c>
      <c r="B854" t="n">
        <v>1.57</v>
      </c>
    </row>
    <row r="855">
      <c r="A855" s="21" t="n">
        <v>45076</v>
      </c>
      <c r="B855" t="n">
        <v>1.47</v>
      </c>
    </row>
    <row r="856">
      <c r="A856" s="21" t="n">
        <v>45077</v>
      </c>
      <c r="B856" t="n">
        <v>1.46</v>
      </c>
    </row>
    <row r="857">
      <c r="A857" s="21" t="n">
        <v>45078</v>
      </c>
      <c r="B857" t="n">
        <v>1.45</v>
      </c>
    </row>
    <row r="858">
      <c r="A858" s="21" t="n">
        <v>45079</v>
      </c>
      <c r="B858" t="n">
        <v>1.51</v>
      </c>
    </row>
    <row r="859">
      <c r="A859" s="21" t="n">
        <v>45082</v>
      </c>
      <c r="B859" t="n">
        <v>1.5</v>
      </c>
    </row>
    <row r="860">
      <c r="A860" s="21" t="n">
        <v>45083</v>
      </c>
      <c r="B860" t="n">
        <v>1.5</v>
      </c>
    </row>
    <row r="861">
      <c r="A861" s="21" t="n">
        <v>45084</v>
      </c>
      <c r="B861" t="n">
        <v>1.58</v>
      </c>
    </row>
    <row r="862">
      <c r="A862" s="21" t="n">
        <v>45085</v>
      </c>
      <c r="B862" t="n">
        <v>1.53</v>
      </c>
    </row>
    <row r="863">
      <c r="A863" s="21" t="n">
        <v>45086</v>
      </c>
      <c r="B863" t="n">
        <v>1.55</v>
      </c>
    </row>
    <row r="864">
      <c r="A864" s="21" t="n">
        <v>45089</v>
      </c>
      <c r="B864" t="n">
        <v>1.56</v>
      </c>
    </row>
    <row r="865">
      <c r="A865" s="21" t="n">
        <v>45090</v>
      </c>
      <c r="B865" t="n">
        <v>1.64</v>
      </c>
    </row>
    <row r="866">
      <c r="A866" s="21" t="n">
        <v>45091</v>
      </c>
      <c r="B866" t="n">
        <v>1.62</v>
      </c>
    </row>
    <row r="867">
      <c r="A867" s="21" t="n">
        <v>45092</v>
      </c>
      <c r="B867" t="n">
        <v>1.51</v>
      </c>
    </row>
    <row r="868">
      <c r="A868" s="21" t="n">
        <v>45093</v>
      </c>
      <c r="B868" t="n">
        <v>1.55</v>
      </c>
    </row>
    <row r="869">
      <c r="A869" s="21" t="n">
        <v>45097</v>
      </c>
      <c r="B869" t="n">
        <v>1.52</v>
      </c>
    </row>
    <row r="870">
      <c r="A870" s="21" t="n">
        <v>45098</v>
      </c>
      <c r="B870" t="n">
        <v>1.51</v>
      </c>
    </row>
    <row r="871">
      <c r="A871" s="21" t="n">
        <v>45099</v>
      </c>
      <c r="B871" t="n">
        <v>1.56</v>
      </c>
    </row>
    <row r="872">
      <c r="A872" s="21" t="n">
        <v>45100</v>
      </c>
      <c r="B872" t="n">
        <v>1.53</v>
      </c>
    </row>
    <row r="873">
      <c r="A873" s="21" t="n">
        <v>45103</v>
      </c>
      <c r="B873" t="n">
        <v>1.54</v>
      </c>
    </row>
    <row r="874">
      <c r="A874" s="21" t="n">
        <v>45104</v>
      </c>
      <c r="B874" t="n">
        <v>1.57</v>
      </c>
    </row>
    <row r="875">
      <c r="A875" s="21" t="n">
        <v>45105</v>
      </c>
      <c r="B875" t="n">
        <v>1.53</v>
      </c>
    </row>
    <row r="876">
      <c r="A876" s="21" t="n">
        <v>45106</v>
      </c>
      <c r="B876" t="n">
        <v>1.65</v>
      </c>
    </row>
    <row r="877">
      <c r="A877" s="21" t="n">
        <v>45107</v>
      </c>
      <c r="B877" t="n">
        <v>1.59</v>
      </c>
    </row>
    <row r="878">
      <c r="A878" s="21" t="n">
        <v>45110</v>
      </c>
      <c r="B878" t="n">
        <v>1.61</v>
      </c>
    </row>
    <row r="879">
      <c r="A879" s="21" t="n">
        <v>45112</v>
      </c>
      <c r="B879" t="n">
        <v>1.69</v>
      </c>
    </row>
    <row r="880">
      <c r="A880" s="21" t="n">
        <v>45113</v>
      </c>
      <c r="B880" t="n">
        <v>1.78</v>
      </c>
    </row>
    <row r="881">
      <c r="A881" s="21" t="n">
        <v>45114</v>
      </c>
      <c r="B881" t="n">
        <v>1.79</v>
      </c>
    </row>
    <row r="882">
      <c r="A882" s="21" t="n">
        <v>45117</v>
      </c>
      <c r="B882" t="n">
        <v>1.76</v>
      </c>
    </row>
    <row r="883">
      <c r="A883" s="21" t="n">
        <v>45118</v>
      </c>
      <c r="B883" t="n">
        <v>1.75</v>
      </c>
    </row>
    <row r="884">
      <c r="A884" s="21" t="n">
        <v>45119</v>
      </c>
      <c r="B884" t="n">
        <v>1.6</v>
      </c>
    </row>
    <row r="885">
      <c r="A885" s="21" t="n">
        <v>45120</v>
      </c>
      <c r="B885" t="n">
        <v>1.52</v>
      </c>
    </row>
    <row r="886">
      <c r="A886" s="21" t="n">
        <v>45121</v>
      </c>
      <c r="B886" t="n">
        <v>1.59</v>
      </c>
    </row>
    <row r="887">
      <c r="A887" s="21" t="n">
        <v>45124</v>
      </c>
      <c r="B887" t="n">
        <v>1.56</v>
      </c>
    </row>
    <row r="888">
      <c r="A888" s="21" t="n">
        <v>45125</v>
      </c>
      <c r="B888" t="n">
        <v>1.57</v>
      </c>
    </row>
    <row r="889">
      <c r="A889" s="21" t="n">
        <v>45126</v>
      </c>
      <c r="B889" t="n">
        <v>1.53</v>
      </c>
    </row>
    <row r="890">
      <c r="A890" s="21" t="n">
        <v>45127</v>
      </c>
      <c r="B890" t="n">
        <v>1.5</v>
      </c>
    </row>
    <row r="891">
      <c r="A891" s="21" t="n">
        <v>45128</v>
      </c>
      <c r="B891" t="n">
        <v>1.49</v>
      </c>
    </row>
    <row r="892">
      <c r="A892" s="21" t="n">
        <v>45131</v>
      </c>
      <c r="B892" t="n">
        <v>1.48</v>
      </c>
    </row>
    <row r="893">
      <c r="A893" s="21" t="n">
        <v>45132</v>
      </c>
      <c r="B893" t="n">
        <v>1.52</v>
      </c>
    </row>
    <row r="894">
      <c r="A894" s="21" t="n">
        <v>45133</v>
      </c>
      <c r="B894" t="n">
        <v>1.5</v>
      </c>
    </row>
    <row r="895">
      <c r="A895" s="21" t="n">
        <v>45134</v>
      </c>
      <c r="B895" t="n">
        <v>1.64</v>
      </c>
    </row>
    <row r="896">
      <c r="A896" s="21" t="n">
        <v>45135</v>
      </c>
      <c r="B896" t="n">
        <v>1.58</v>
      </c>
    </row>
    <row r="897">
      <c r="A897" s="21" t="n">
        <v>45138</v>
      </c>
      <c r="B897" t="n">
        <v>1.6</v>
      </c>
    </row>
    <row r="898">
      <c r="A898" s="21" t="n">
        <v>45139</v>
      </c>
      <c r="B898" t="n">
        <v>1.68</v>
      </c>
    </row>
    <row r="899">
      <c r="A899" s="21" t="n">
        <v>45140</v>
      </c>
      <c r="B899" t="n">
        <v>1.72</v>
      </c>
    </row>
    <row r="900">
      <c r="A900" s="21" t="n">
        <v>45141</v>
      </c>
      <c r="B900" t="n">
        <v>1.83</v>
      </c>
    </row>
    <row r="901">
      <c r="A901" s="21" t="n">
        <v>45142</v>
      </c>
      <c r="B901" t="n">
        <v>1.67</v>
      </c>
    </row>
    <row r="902">
      <c r="A902" s="21" t="n">
        <v>45145</v>
      </c>
      <c r="B902" t="n">
        <v>1.68</v>
      </c>
    </row>
    <row r="903">
      <c r="A903" s="21" t="n">
        <v>45146</v>
      </c>
      <c r="B903" t="n">
        <v>1.66</v>
      </c>
    </row>
    <row r="904">
      <c r="A904" s="21" t="n">
        <v>45147</v>
      </c>
      <c r="B904" t="n">
        <v>1.66</v>
      </c>
    </row>
    <row r="905">
      <c r="A905" s="21" t="n">
        <v>45148</v>
      </c>
      <c r="B905" t="n">
        <v>1.76</v>
      </c>
    </row>
    <row r="906">
      <c r="A906" s="21" t="n">
        <v>45149</v>
      </c>
      <c r="B906" t="n">
        <v>1.8</v>
      </c>
    </row>
    <row r="907">
      <c r="A907" s="21" t="n">
        <v>45152</v>
      </c>
      <c r="B907" t="n">
        <v>1.83</v>
      </c>
    </row>
    <row r="908">
      <c r="A908" s="21" t="n">
        <v>45153</v>
      </c>
      <c r="B908" t="n">
        <v>1.89</v>
      </c>
    </row>
    <row r="909">
      <c r="A909" s="21" t="n">
        <v>45154</v>
      </c>
      <c r="B909" t="n">
        <v>1.96</v>
      </c>
    </row>
    <row r="910">
      <c r="A910" s="21" t="n">
        <v>45155</v>
      </c>
      <c r="B910" t="n">
        <v>1.97</v>
      </c>
    </row>
    <row r="911">
      <c r="A911" s="21" t="n">
        <v>45156</v>
      </c>
      <c r="B911" t="n">
        <v>1.94</v>
      </c>
    </row>
    <row r="912">
      <c r="A912" s="21" t="n">
        <v>45159</v>
      </c>
      <c r="B912" t="n">
        <v>2</v>
      </c>
    </row>
    <row r="913">
      <c r="A913" s="21" t="n">
        <v>45160</v>
      </c>
      <c r="B913" t="n">
        <v>1.99</v>
      </c>
    </row>
    <row r="914">
      <c r="A914" s="21" t="n">
        <v>45161</v>
      </c>
      <c r="B914" t="n">
        <v>1.84</v>
      </c>
    </row>
    <row r="915">
      <c r="A915" s="21" t="n">
        <v>45162</v>
      </c>
      <c r="B915" t="n">
        <v>1.91</v>
      </c>
    </row>
    <row r="916">
      <c r="A916" s="21" t="n">
        <v>45163</v>
      </c>
      <c r="B916" t="n">
        <v>1.92</v>
      </c>
    </row>
    <row r="917">
      <c r="A917" s="21" t="n">
        <v>45166</v>
      </c>
      <c r="B917" t="n">
        <v>1.9</v>
      </c>
    </row>
    <row r="918">
      <c r="A918" s="21" t="n">
        <v>45167</v>
      </c>
      <c r="B918" t="n">
        <v>1.83</v>
      </c>
    </row>
    <row r="919">
      <c r="A919" s="21" t="n">
        <v>45168</v>
      </c>
      <c r="B919" t="n">
        <v>1.86</v>
      </c>
    </row>
    <row r="920">
      <c r="A920" s="21" t="n">
        <v>45169</v>
      </c>
      <c r="B920" t="n">
        <v>1.85</v>
      </c>
    </row>
    <row r="921">
      <c r="A921" s="21" t="n">
        <v>45170</v>
      </c>
      <c r="B921" t="n">
        <v>1.92</v>
      </c>
    </row>
    <row r="922">
      <c r="A922" s="21" t="n">
        <v>45174</v>
      </c>
      <c r="B922" t="n">
        <v>1.98</v>
      </c>
    </row>
    <row r="923">
      <c r="A923" s="21" t="n">
        <v>45175</v>
      </c>
      <c r="B923" t="n">
        <v>2</v>
      </c>
    </row>
    <row r="924">
      <c r="A924" s="21" t="n">
        <v>45176</v>
      </c>
      <c r="B924" t="n">
        <v>1.95</v>
      </c>
    </row>
    <row r="925">
      <c r="A925" s="21" t="n">
        <v>45177</v>
      </c>
      <c r="B925" t="n">
        <v>1.93</v>
      </c>
    </row>
    <row r="926">
      <c r="A926" s="21" t="n">
        <v>45180</v>
      </c>
      <c r="B926" t="n">
        <v>1.94</v>
      </c>
    </row>
    <row r="927">
      <c r="A927" s="21" t="n">
        <v>45181</v>
      </c>
      <c r="B927" t="n">
        <v>1.93</v>
      </c>
    </row>
    <row r="928">
      <c r="A928" s="21" t="n">
        <v>45182</v>
      </c>
      <c r="B928" t="n">
        <v>1.9</v>
      </c>
    </row>
    <row r="929">
      <c r="A929" s="21" t="n">
        <v>45183</v>
      </c>
      <c r="B929" t="n">
        <v>1.95</v>
      </c>
    </row>
    <row r="930">
      <c r="A930" s="21" t="n">
        <v>45184</v>
      </c>
      <c r="B930" t="n">
        <v>1.98</v>
      </c>
    </row>
    <row r="931">
      <c r="A931" s="21" t="n">
        <v>45187</v>
      </c>
      <c r="B931" t="n">
        <v>1.96</v>
      </c>
    </row>
    <row r="932">
      <c r="A932" s="21" t="n">
        <v>45188</v>
      </c>
      <c r="B932" t="n">
        <v>2</v>
      </c>
    </row>
    <row r="933">
      <c r="A933" s="21" t="n">
        <v>45189</v>
      </c>
      <c r="B933" t="n">
        <v>2</v>
      </c>
    </row>
    <row r="934">
      <c r="A934" s="21" t="n">
        <v>45190</v>
      </c>
      <c r="B934" t="n">
        <v>2.11</v>
      </c>
    </row>
    <row r="935">
      <c r="A935" s="21" t="n">
        <v>45191</v>
      </c>
      <c r="B935" t="n">
        <v>2.07</v>
      </c>
    </row>
    <row r="936">
      <c r="A936" s="21" t="n">
        <v>45194</v>
      </c>
      <c r="B936" t="n">
        <v>2.18</v>
      </c>
    </row>
    <row r="937">
      <c r="A937" s="21" t="n">
        <v>45195</v>
      </c>
      <c r="B937" t="n">
        <v>2.23</v>
      </c>
    </row>
    <row r="938">
      <c r="A938" s="21" t="n">
        <v>45196</v>
      </c>
      <c r="B938" t="n">
        <v>2.27</v>
      </c>
    </row>
    <row r="939">
      <c r="A939" s="21" t="n">
        <v>45197</v>
      </c>
      <c r="B939" t="n">
        <v>2.2</v>
      </c>
    </row>
    <row r="940">
      <c r="A940" s="21" t="n">
        <v>45198</v>
      </c>
      <c r="B940" t="n">
        <v>2.24</v>
      </c>
    </row>
    <row r="941">
      <c r="A941" s="21" t="n">
        <v>45201</v>
      </c>
      <c r="B941" t="n">
        <v>2.34</v>
      </c>
    </row>
    <row r="942">
      <c r="A942" s="21" t="n">
        <v>45202</v>
      </c>
      <c r="B942" t="n">
        <v>2.45</v>
      </c>
    </row>
    <row r="943">
      <c r="A943" s="21" t="n">
        <v>45203</v>
      </c>
      <c r="B943" t="n">
        <v>2.4</v>
      </c>
    </row>
    <row r="944">
      <c r="A944" s="21" t="n">
        <v>45204</v>
      </c>
      <c r="B944" t="n">
        <v>2.41</v>
      </c>
    </row>
    <row r="945">
      <c r="A945" s="21" t="n">
        <v>45205</v>
      </c>
      <c r="B945" t="n">
        <v>2.47</v>
      </c>
    </row>
    <row r="946">
      <c r="A946" s="21" t="n">
        <v>45209</v>
      </c>
      <c r="B946" t="n">
        <v>2.34</v>
      </c>
    </row>
    <row r="947">
      <c r="A947" s="21" t="n">
        <v>45210</v>
      </c>
      <c r="B947" t="n">
        <v>2.26</v>
      </c>
    </row>
    <row r="948">
      <c r="A948" s="21" t="n">
        <v>45211</v>
      </c>
      <c r="B948" t="n">
        <v>2.36</v>
      </c>
    </row>
    <row r="949">
      <c r="A949" s="21" t="n">
        <v>45212</v>
      </c>
      <c r="B949" t="n">
        <v>2.29</v>
      </c>
    </row>
    <row r="950">
      <c r="A950" s="21" t="n">
        <v>45215</v>
      </c>
      <c r="B950" t="n">
        <v>2.33</v>
      </c>
    </row>
    <row r="951">
      <c r="A951" s="21" t="n">
        <v>45216</v>
      </c>
      <c r="B951" t="n">
        <v>2.42</v>
      </c>
    </row>
    <row r="952">
      <c r="A952" s="21" t="n">
        <v>45217</v>
      </c>
      <c r="B952" t="n">
        <v>2.47</v>
      </c>
    </row>
    <row r="953">
      <c r="A953" s="21" t="n">
        <v>45218</v>
      </c>
      <c r="B953" t="n">
        <v>2.49</v>
      </c>
    </row>
    <row r="954">
      <c r="A954" s="21" t="n">
        <v>45219</v>
      </c>
      <c r="B954" t="n">
        <v>2.46</v>
      </c>
    </row>
    <row r="955">
      <c r="A955" s="21" t="n">
        <v>45222</v>
      </c>
      <c r="B955" t="n">
        <v>2.45</v>
      </c>
    </row>
    <row r="956">
      <c r="A956" s="21" t="n">
        <v>45223</v>
      </c>
      <c r="B956" t="n">
        <v>2.43</v>
      </c>
    </row>
    <row r="957">
      <c r="A957" s="21" t="n">
        <v>45224</v>
      </c>
      <c r="B957" t="n">
        <v>2.52</v>
      </c>
    </row>
    <row r="958">
      <c r="A958" s="21" t="n">
        <v>45225</v>
      </c>
      <c r="B958" t="n">
        <v>2.44</v>
      </c>
    </row>
    <row r="959">
      <c r="A959" s="21" t="n">
        <v>45226</v>
      </c>
      <c r="B959" t="n">
        <v>2.42</v>
      </c>
    </row>
    <row r="960">
      <c r="A960" s="21" t="n">
        <v>45229</v>
      </c>
      <c r="B960" t="n">
        <v>2.44</v>
      </c>
    </row>
    <row r="961">
      <c r="A961" s="21" t="n">
        <v>45230</v>
      </c>
      <c r="B961" t="n">
        <v>2.46</v>
      </c>
    </row>
    <row r="962">
      <c r="A962" s="21" t="n">
        <v>45231</v>
      </c>
      <c r="B962" t="n">
        <v>2.36</v>
      </c>
    </row>
    <row r="963">
      <c r="A963" s="21" t="n">
        <v>45232</v>
      </c>
      <c r="B963" t="n">
        <v>2.27</v>
      </c>
    </row>
    <row r="964">
      <c r="A964" s="21" t="n">
        <v>45233</v>
      </c>
      <c r="B964" t="n">
        <v>2.18</v>
      </c>
    </row>
    <row r="965">
      <c r="A965" s="21" t="n">
        <v>45236</v>
      </c>
      <c r="B965" t="n">
        <v>2.25</v>
      </c>
    </row>
    <row r="966">
      <c r="A966" s="21" t="n">
        <v>45237</v>
      </c>
      <c r="B966" t="n">
        <v>2.19</v>
      </c>
    </row>
    <row r="967">
      <c r="A967" s="21" t="n">
        <v>45238</v>
      </c>
      <c r="B967" t="n">
        <v>2.15</v>
      </c>
    </row>
    <row r="968">
      <c r="A968" s="21" t="n">
        <v>45239</v>
      </c>
      <c r="B968" t="n">
        <v>2.29</v>
      </c>
    </row>
    <row r="969">
      <c r="A969" s="21" t="n">
        <v>45240</v>
      </c>
      <c r="B969" t="n">
        <v>2.29</v>
      </c>
    </row>
    <row r="970">
      <c r="A970" s="21" t="n">
        <v>45243</v>
      </c>
      <c r="B970" t="n">
        <v>2.32</v>
      </c>
    </row>
    <row r="971">
      <c r="A971" s="21" t="n">
        <v>45244</v>
      </c>
      <c r="B971" t="n">
        <v>2.16</v>
      </c>
    </row>
    <row r="972">
      <c r="A972" s="21" t="n">
        <v>45245</v>
      </c>
      <c r="B972" t="n">
        <v>2.22</v>
      </c>
    </row>
    <row r="973">
      <c r="A973" s="21" t="n">
        <v>45246</v>
      </c>
      <c r="B973" t="n">
        <v>2.18</v>
      </c>
    </row>
    <row r="974">
      <c r="A974" s="21" t="n">
        <v>45247</v>
      </c>
      <c r="B974" t="n">
        <v>2.16</v>
      </c>
    </row>
    <row r="975">
      <c r="A975" s="21" t="n">
        <v>45250</v>
      </c>
      <c r="B975" t="n">
        <v>2.12</v>
      </c>
    </row>
    <row r="976">
      <c r="A976" s="21" t="n">
        <v>45251</v>
      </c>
      <c r="B976" t="n">
        <v>2.16</v>
      </c>
    </row>
    <row r="977">
      <c r="A977" s="21" t="n">
        <v>45252</v>
      </c>
      <c r="B977" t="n">
        <v>2.16</v>
      </c>
    </row>
    <row r="978">
      <c r="A978" s="21" t="n">
        <v>45254</v>
      </c>
      <c r="B978" t="n">
        <v>2.21</v>
      </c>
    </row>
    <row r="979">
      <c r="A979" s="21" t="n">
        <v>45257</v>
      </c>
      <c r="B979" t="n">
        <v>2.18</v>
      </c>
    </row>
    <row r="980">
      <c r="A980" s="21" t="n">
        <v>45258</v>
      </c>
      <c r="B980" t="n">
        <v>2.12</v>
      </c>
    </row>
    <row r="981">
      <c r="A981" s="21" t="n">
        <v>45259</v>
      </c>
      <c r="B981" t="n">
        <v>2.06</v>
      </c>
    </row>
    <row r="982">
      <c r="A982" s="21" t="n">
        <v>45260</v>
      </c>
      <c r="B982" t="n">
        <v>2.14</v>
      </c>
    </row>
    <row r="983">
      <c r="A983" s="21" t="n">
        <v>45261</v>
      </c>
      <c r="B983" t="n">
        <v>2</v>
      </c>
    </row>
    <row r="984">
      <c r="A984" s="21" t="n">
        <v>45264</v>
      </c>
      <c r="B984" t="n">
        <v>2.07</v>
      </c>
    </row>
    <row r="985">
      <c r="A985" s="21" t="n">
        <v>45265</v>
      </c>
      <c r="B985" t="n">
        <v>2.01</v>
      </c>
    </row>
    <row r="986">
      <c r="A986" s="21" t="n">
        <v>45266</v>
      </c>
      <c r="B986" t="n">
        <v>1.98</v>
      </c>
    </row>
    <row r="987">
      <c r="A987" s="21" t="n">
        <v>45267</v>
      </c>
      <c r="B987" t="n">
        <v>1.97</v>
      </c>
    </row>
    <row r="988">
      <c r="A988" s="21" t="n">
        <v>45268</v>
      </c>
      <c r="B988" t="n">
        <v>2.02</v>
      </c>
    </row>
    <row r="989">
      <c r="A989" s="21" t="n">
        <v>45271</v>
      </c>
      <c r="B989" t="n">
        <v>2.04</v>
      </c>
    </row>
    <row r="990">
      <c r="A990" s="21" t="n">
        <v>45272</v>
      </c>
      <c r="B990" t="n">
        <v>2.04</v>
      </c>
    </row>
    <row r="991">
      <c r="A991" s="21" t="n">
        <v>45273</v>
      </c>
      <c r="B991" t="n">
        <v>1.88</v>
      </c>
    </row>
    <row r="992">
      <c r="A992" s="21" t="n">
        <v>45274</v>
      </c>
      <c r="B992" t="n">
        <v>1.7</v>
      </c>
    </row>
    <row r="993">
      <c r="A993" s="21" t="n">
        <v>45275</v>
      </c>
      <c r="B993" t="n">
        <v>1.69</v>
      </c>
    </row>
    <row r="994">
      <c r="A994" s="21" t="n">
        <v>45278</v>
      </c>
      <c r="B994" t="n">
        <v>1.74</v>
      </c>
    </row>
    <row r="995">
      <c r="A995" s="21" t="n">
        <v>45279</v>
      </c>
      <c r="B995" t="n">
        <v>1.74</v>
      </c>
    </row>
    <row r="996">
      <c r="A996" s="21" t="n">
        <v>45280</v>
      </c>
      <c r="B996" t="n">
        <v>1.67</v>
      </c>
    </row>
    <row r="997">
      <c r="A997" s="21" t="n">
        <v>45281</v>
      </c>
      <c r="B997" t="n">
        <v>1.7</v>
      </c>
    </row>
    <row r="998">
      <c r="A998" s="21" t="n">
        <v>45282</v>
      </c>
      <c r="B998" t="n">
        <v>1.71</v>
      </c>
    </row>
    <row r="999">
      <c r="A999" s="21" t="n">
        <v>45286</v>
      </c>
      <c r="B999" t="n">
        <v>1.71</v>
      </c>
    </row>
    <row r="1000">
      <c r="A1000" s="21" t="n">
        <v>45287</v>
      </c>
      <c r="B1000" t="n">
        <v>1.64</v>
      </c>
    </row>
    <row r="1001">
      <c r="A1001" s="21" t="n">
        <v>45288</v>
      </c>
      <c r="B1001" t="n">
        <v>1.68</v>
      </c>
    </row>
    <row r="1002">
      <c r="A1002" s="21" t="n">
        <v>45289</v>
      </c>
      <c r="B1002" t="n">
        <v>1.72</v>
      </c>
    </row>
    <row r="1003">
      <c r="A1003" s="21" t="n">
        <v>45293</v>
      </c>
      <c r="B1003" t="n">
        <v>1.74</v>
      </c>
    </row>
    <row r="1004">
      <c r="A1004" s="21" t="n">
        <v>45294</v>
      </c>
      <c r="B1004" t="n">
        <v>1.71</v>
      </c>
    </row>
    <row r="1005">
      <c r="A1005" s="21" t="n">
        <v>45295</v>
      </c>
      <c r="B1005" t="n">
        <v>1.77</v>
      </c>
    </row>
    <row r="1006">
      <c r="A1006" s="21" t="n">
        <v>45296</v>
      </c>
      <c r="B1006" t="n">
        <v>1.83</v>
      </c>
    </row>
    <row r="1007">
      <c r="A1007" s="21" t="n">
        <v>45299</v>
      </c>
      <c r="B1007" t="n">
        <v>1.79</v>
      </c>
    </row>
    <row r="1008">
      <c r="A1008" s="21" t="n">
        <v>45300</v>
      </c>
      <c r="B1008" t="n">
        <v>1.8</v>
      </c>
    </row>
    <row r="1009">
      <c r="A1009" s="21" t="n">
        <v>45301</v>
      </c>
      <c r="B1009" t="n">
        <v>1.82</v>
      </c>
    </row>
    <row r="1010">
      <c r="A1010" s="21" t="n">
        <v>45302</v>
      </c>
      <c r="B1010" t="n">
        <v>1.76</v>
      </c>
    </row>
    <row r="1011">
      <c r="A1011" s="21" t="n">
        <v>45303</v>
      </c>
      <c r="B1011" t="n">
        <v>1.69</v>
      </c>
    </row>
    <row r="1012">
      <c r="A1012" s="21" t="n">
        <v>45307</v>
      </c>
      <c r="B1012" t="n">
        <v>1.77</v>
      </c>
    </row>
    <row r="1013">
      <c r="A1013" s="21" t="n">
        <v>45308</v>
      </c>
      <c r="B1013" t="n">
        <v>1.8</v>
      </c>
    </row>
    <row r="1014">
      <c r="A1014" s="21" t="n">
        <v>45309</v>
      </c>
      <c r="B1014" t="n">
        <v>1.8</v>
      </c>
    </row>
    <row r="1015">
      <c r="A1015" s="21" t="n">
        <v>45310</v>
      </c>
      <c r="B1015" t="n">
        <v>1.81</v>
      </c>
    </row>
    <row r="1016">
      <c r="A1016" s="21" t="n">
        <v>45313</v>
      </c>
      <c r="B1016" t="n">
        <v>1.8</v>
      </c>
    </row>
    <row r="1017">
      <c r="A1017" s="21" t="n">
        <v>45314</v>
      </c>
      <c r="B1017" t="n">
        <v>1.85</v>
      </c>
    </row>
    <row r="1018">
      <c r="A1018" s="21" t="n">
        <v>45315</v>
      </c>
      <c r="B1018" t="n">
        <v>1.88</v>
      </c>
    </row>
    <row r="1019">
      <c r="A1019" s="21" t="n">
        <v>45316</v>
      </c>
      <c r="B1019" t="n">
        <v>1.85</v>
      </c>
    </row>
    <row r="1020">
      <c r="A1020" s="21" t="n">
        <v>45317</v>
      </c>
      <c r="B1020" t="n">
        <v>1.85</v>
      </c>
    </row>
    <row r="1021">
      <c r="A1021" s="21" t="n">
        <v>45320</v>
      </c>
      <c r="B1021" t="n">
        <v>1.78</v>
      </c>
    </row>
    <row r="1022">
      <c r="A1022" s="21" t="n">
        <v>45321</v>
      </c>
      <c r="B1022" t="n">
        <v>1.8</v>
      </c>
    </row>
    <row r="1023">
      <c r="A1023" s="21" t="n">
        <v>45322</v>
      </c>
      <c r="B1023" t="n">
        <v>1.73</v>
      </c>
    </row>
    <row r="1024">
      <c r="A1024" s="21" t="n">
        <v>45323</v>
      </c>
      <c r="B1024" t="n">
        <v>1.68</v>
      </c>
    </row>
    <row r="1025">
      <c r="A1025" s="21" t="n">
        <v>45324</v>
      </c>
      <c r="B1025" t="n">
        <v>1.82</v>
      </c>
    </row>
    <row r="1026">
      <c r="A1026" s="21" t="n">
        <v>45327</v>
      </c>
      <c r="B1026" t="n">
        <v>1.9</v>
      </c>
    </row>
    <row r="1027">
      <c r="A1027" s="21" t="n">
        <v>45328</v>
      </c>
      <c r="B1027" t="n">
        <v>1.85</v>
      </c>
    </row>
    <row r="1028">
      <c r="A1028" s="21" t="n">
        <v>45329</v>
      </c>
      <c r="B1028" t="n">
        <v>1.86</v>
      </c>
    </row>
    <row r="1029">
      <c r="A1029" s="21" t="n">
        <v>45330</v>
      </c>
      <c r="B1029" t="n">
        <v>1.91</v>
      </c>
    </row>
    <row r="1030">
      <c r="A1030" s="21" t="n">
        <v>45331</v>
      </c>
      <c r="B1030" t="n">
        <v>1.92</v>
      </c>
    </row>
    <row r="1031">
      <c r="A1031" s="21" t="n">
        <v>45334</v>
      </c>
      <c r="B1031" t="n">
        <v>1.93</v>
      </c>
    </row>
    <row r="1032">
      <c r="A1032" s="21" t="n">
        <v>45335</v>
      </c>
      <c r="B1032" t="n">
        <v>2.02</v>
      </c>
    </row>
    <row r="1033">
      <c r="A1033" s="21" t="n">
        <v>45336</v>
      </c>
      <c r="B1033" t="n">
        <v>1.97</v>
      </c>
    </row>
    <row r="1034">
      <c r="A1034" s="21" t="n">
        <v>45337</v>
      </c>
      <c r="B1034" t="n">
        <v>1.94</v>
      </c>
    </row>
    <row r="1035">
      <c r="A1035" s="21" t="n">
        <v>45338</v>
      </c>
      <c r="B1035" t="n">
        <v>1.97</v>
      </c>
    </row>
    <row r="1036">
      <c r="A1036" s="21" t="n">
        <v>45342</v>
      </c>
      <c r="B1036" t="n">
        <v>1.95</v>
      </c>
    </row>
    <row r="1037">
      <c r="A1037" s="21" t="n">
        <v>45343</v>
      </c>
      <c r="B1037" t="n">
        <v>1.98</v>
      </c>
    </row>
    <row r="1038">
      <c r="A1038" s="21" t="n">
        <v>45344</v>
      </c>
      <c r="B1038" t="n">
        <v>2.02</v>
      </c>
    </row>
    <row r="1039">
      <c r="A1039" s="21" t="n">
        <v>45345</v>
      </c>
      <c r="B1039" t="n">
        <v>1.96</v>
      </c>
    </row>
    <row r="1040">
      <c r="A1040" s="21" t="n">
        <v>45348</v>
      </c>
      <c r="B1040" t="n">
        <v>1.97</v>
      </c>
    </row>
    <row r="1041">
      <c r="A1041" s="21" t="n">
        <v>45349</v>
      </c>
      <c r="B1041" t="n">
        <v>1.99</v>
      </c>
    </row>
    <row r="1042">
      <c r="A1042" s="21" t="n">
        <v>45350</v>
      </c>
      <c r="B1042" t="n">
        <v>1.94</v>
      </c>
    </row>
    <row r="1043">
      <c r="A1043" s="21" t="n">
        <v>45351</v>
      </c>
      <c r="B1043" t="n">
        <v>1.92</v>
      </c>
    </row>
    <row r="1044">
      <c r="A1044" s="21" t="n">
        <v>45352</v>
      </c>
      <c r="B1044" t="n">
        <v>1.87</v>
      </c>
    </row>
    <row r="1045">
      <c r="A1045" s="21" t="n">
        <v>45355</v>
      </c>
      <c r="B1045" t="n">
        <v>1.88</v>
      </c>
    </row>
    <row r="1046">
      <c r="A1046" s="21" t="n">
        <v>45356</v>
      </c>
      <c r="B1046" t="n">
        <v>1.81</v>
      </c>
    </row>
    <row r="1047">
      <c r="A1047" s="21" t="n">
        <v>45357</v>
      </c>
      <c r="B1047" t="n">
        <v>1.81</v>
      </c>
    </row>
    <row r="1048">
      <c r="A1048" s="21" t="n">
        <v>45358</v>
      </c>
      <c r="B1048" t="n">
        <v>1.81</v>
      </c>
    </row>
    <row r="1049">
      <c r="A1049" s="21" t="n">
        <v>45359</v>
      </c>
      <c r="B1049" t="n">
        <v>1.81</v>
      </c>
    </row>
    <row r="1050">
      <c r="A1050" s="21" t="n">
        <v>45362</v>
      </c>
      <c r="B1050" t="n">
        <v>1.83</v>
      </c>
    </row>
    <row r="1051">
      <c r="A1051" s="21" t="n">
        <v>45363</v>
      </c>
      <c r="B1051" t="n">
        <v>1.86</v>
      </c>
    </row>
    <row r="1052">
      <c r="A1052" s="21" t="n">
        <v>45364</v>
      </c>
      <c r="B1052" t="n">
        <v>1.89</v>
      </c>
    </row>
    <row r="1053">
      <c r="A1053" s="21" t="n">
        <v>45365</v>
      </c>
      <c r="B1053" t="n">
        <v>1.99</v>
      </c>
    </row>
    <row r="1054">
      <c r="A1054" s="21" t="n">
        <v>45366</v>
      </c>
      <c r="B1054" t="n">
        <v>1.99</v>
      </c>
    </row>
    <row r="1055">
      <c r="A1055" s="21" t="n">
        <v>45369</v>
      </c>
      <c r="B1055" t="n">
        <v>2.03</v>
      </c>
    </row>
    <row r="1056">
      <c r="A1056" s="21" t="n">
        <v>45370</v>
      </c>
      <c r="B1056" t="n">
        <v>2</v>
      </c>
    </row>
    <row r="1057">
      <c r="A1057" s="21" t="n">
        <v>45371</v>
      </c>
      <c r="B1057" t="n">
        <v>1.96</v>
      </c>
    </row>
    <row r="1058">
      <c r="A1058" s="21" t="n">
        <v>45372</v>
      </c>
      <c r="B1058" t="n">
        <v>1.93</v>
      </c>
    </row>
    <row r="1059">
      <c r="A1059" s="21" t="n">
        <v>45373</v>
      </c>
      <c r="B1059" t="n">
        <v>1.87</v>
      </c>
    </row>
    <row r="1060">
      <c r="A1060" s="21" t="n">
        <v>45376</v>
      </c>
      <c r="B1060" t="n">
        <v>1.92</v>
      </c>
    </row>
    <row r="1061">
      <c r="A1061" s="21" t="n">
        <v>45377</v>
      </c>
      <c r="B1061" t="n">
        <v>1.92</v>
      </c>
    </row>
    <row r="1062">
      <c r="A1062" s="21" t="n">
        <v>45378</v>
      </c>
      <c r="B1062" t="n">
        <v>1.88</v>
      </c>
    </row>
    <row r="1063">
      <c r="A1063" s="21" t="n">
        <v>45379</v>
      </c>
      <c r="B1063" t="n">
        <v>1.88</v>
      </c>
    </row>
    <row r="1064">
      <c r="A1064" s="21" t="n">
        <v>45383</v>
      </c>
      <c r="B1064" t="n">
        <v>1.98</v>
      </c>
    </row>
    <row r="1065">
      <c r="A1065" s="21" t="n">
        <v>45384</v>
      </c>
      <c r="B1065" t="n">
        <v>2</v>
      </c>
    </row>
    <row r="1066">
      <c r="A1066" s="21" t="n">
        <v>45385</v>
      </c>
      <c r="B1066" t="n">
        <v>2</v>
      </c>
    </row>
    <row r="1067">
      <c r="A1067" s="21" t="n">
        <v>45386</v>
      </c>
      <c r="B1067" t="n">
        <v>1.97</v>
      </c>
    </row>
    <row r="1068">
      <c r="A1068" s="21" t="n">
        <v>45387</v>
      </c>
      <c r="B1068" t="n">
        <v>2.02</v>
      </c>
    </row>
    <row r="1069">
      <c r="A1069" s="21" t="n">
        <v>45390</v>
      </c>
      <c r="B1069" t="n">
        <v>2.04</v>
      </c>
    </row>
    <row r="1070">
      <c r="A1070" s="21" t="n">
        <v>45391</v>
      </c>
      <c r="B1070" t="n">
        <v>2</v>
      </c>
    </row>
    <row r="1071">
      <c r="A1071" s="21" t="n">
        <v>45392</v>
      </c>
      <c r="B1071" t="n">
        <v>2.15</v>
      </c>
    </row>
    <row r="1072">
      <c r="A1072" s="21" t="n">
        <v>45393</v>
      </c>
      <c r="B1072" t="n">
        <v>2.16</v>
      </c>
    </row>
    <row r="1073">
      <c r="A1073" s="21" t="n">
        <v>45394</v>
      </c>
      <c r="B1073" t="n">
        <v>2.11</v>
      </c>
    </row>
    <row r="1074">
      <c r="A1074" s="21" t="n">
        <v>45397</v>
      </c>
      <c r="B1074" t="n">
        <v>2.2</v>
      </c>
    </row>
    <row r="1075">
      <c r="A1075" s="21" t="n">
        <v>45398</v>
      </c>
      <c r="B1075" t="n">
        <v>2.24</v>
      </c>
    </row>
    <row r="1076">
      <c r="A1076" s="21" t="n">
        <v>45399</v>
      </c>
      <c r="B1076" t="n">
        <v>2.2</v>
      </c>
    </row>
    <row r="1077">
      <c r="A1077" s="21" t="n">
        <v>45400</v>
      </c>
      <c r="B1077" t="n">
        <v>2.24</v>
      </c>
    </row>
    <row r="1078">
      <c r="A1078" s="21" t="n">
        <v>45401</v>
      </c>
      <c r="B1078" t="n">
        <v>2.21</v>
      </c>
    </row>
    <row r="1079">
      <c r="A1079" s="21" t="n">
        <v>45404</v>
      </c>
      <c r="B1079" t="n">
        <v>2.21</v>
      </c>
    </row>
    <row r="1080">
      <c r="A1080" s="21" t="n">
        <v>45405</v>
      </c>
      <c r="B1080" t="n">
        <v>2.2</v>
      </c>
    </row>
    <row r="1081">
      <c r="A1081" s="21" t="n">
        <v>45406</v>
      </c>
      <c r="B1081" t="n">
        <v>2.24</v>
      </c>
    </row>
    <row r="1082">
      <c r="A1082" s="21" t="n">
        <v>45407</v>
      </c>
      <c r="B1082" t="n">
        <v>2.28</v>
      </c>
    </row>
    <row r="1083">
      <c r="A1083" s="21" t="n">
        <v>45408</v>
      </c>
      <c r="B1083" t="n">
        <v>2.24</v>
      </c>
    </row>
    <row r="1084">
      <c r="A1084" s="21" t="n">
        <v>45411</v>
      </c>
      <c r="B1084" t="n">
        <v>2.22</v>
      </c>
    </row>
    <row r="1085">
      <c r="A1085" s="21" t="n">
        <v>45412</v>
      </c>
      <c r="B1085" t="n">
        <v>2.28</v>
      </c>
    </row>
    <row r="1086">
      <c r="A1086" s="21" t="n">
        <v>45413</v>
      </c>
      <c r="B1086" t="n">
        <v>2.25</v>
      </c>
    </row>
    <row r="1087">
      <c r="A1087" s="21" t="n">
        <v>45414</v>
      </c>
      <c r="B1087" t="n">
        <v>2.21</v>
      </c>
    </row>
    <row r="1088">
      <c r="A1088" s="21" t="n">
        <v>45415</v>
      </c>
      <c r="B1088" t="n">
        <v>2.15</v>
      </c>
    </row>
    <row r="1089">
      <c r="A1089" s="21" t="n">
        <v>45418</v>
      </c>
      <c r="B1089" t="n">
        <v>2.14</v>
      </c>
    </row>
    <row r="1090">
      <c r="A1090" s="21" t="n">
        <v>45419</v>
      </c>
      <c r="B1090" t="n">
        <v>2.15</v>
      </c>
    </row>
    <row r="1091">
      <c r="A1091" s="21" t="n">
        <v>45420</v>
      </c>
      <c r="B1091" t="n">
        <v>2.17</v>
      </c>
    </row>
    <row r="1092">
      <c r="A1092" s="21" t="n">
        <v>45421</v>
      </c>
      <c r="B1092" t="n">
        <v>2.13</v>
      </c>
    </row>
    <row r="1093">
      <c r="A1093" s="21" t="n">
        <v>45422</v>
      </c>
      <c r="B1093" t="n">
        <v>2.16</v>
      </c>
    </row>
    <row r="1094">
      <c r="A1094" s="21" t="n">
        <v>45425</v>
      </c>
      <c r="B1094" t="n">
        <v>2.15</v>
      </c>
    </row>
    <row r="1095">
      <c r="A1095" s="21" t="n">
        <v>45426</v>
      </c>
      <c r="B1095" t="n">
        <v>2.12</v>
      </c>
    </row>
    <row r="1096">
      <c r="A1096" s="21" t="n">
        <v>45427</v>
      </c>
      <c r="B1096" t="n">
        <v>2.05</v>
      </c>
    </row>
    <row r="1097">
      <c r="A1097" s="21" t="n">
        <v>45428</v>
      </c>
      <c r="B1097" t="n">
        <v>2.07</v>
      </c>
    </row>
    <row r="1098">
      <c r="A1098" s="21" t="n">
        <v>45429</v>
      </c>
      <c r="B1098" t="n">
        <v>2.1</v>
      </c>
    </row>
    <row r="1099">
      <c r="A1099" s="21" t="n">
        <v>45432</v>
      </c>
      <c r="B1099" t="n">
        <v>2.11</v>
      </c>
    </row>
    <row r="1100">
      <c r="A1100" s="21" t="n">
        <v>45433</v>
      </c>
      <c r="B1100" t="n">
        <v>2.09</v>
      </c>
    </row>
    <row r="1101">
      <c r="A1101" s="21" t="n">
        <v>45434</v>
      </c>
      <c r="B1101" t="n">
        <v>2.1</v>
      </c>
    </row>
    <row r="1102">
      <c r="A1102" s="21" t="n">
        <v>45435</v>
      </c>
      <c r="B1102" t="n">
        <v>2.17</v>
      </c>
    </row>
    <row r="1103">
      <c r="A1103" s="21" t="n">
        <v>45436</v>
      </c>
      <c r="B1103" t="n">
        <v>2.14</v>
      </c>
    </row>
    <row r="1104">
      <c r="A1104" s="21" t="n">
        <v>45440</v>
      </c>
      <c r="B1104" t="n">
        <v>2.2</v>
      </c>
    </row>
    <row r="1105">
      <c r="A1105" s="21" t="n">
        <v>45441</v>
      </c>
      <c r="B1105" t="n">
        <v>2.25</v>
      </c>
    </row>
    <row r="1106">
      <c r="A1106" s="21" t="n">
        <v>45442</v>
      </c>
      <c r="B1106" t="n">
        <v>2.19</v>
      </c>
    </row>
    <row r="1107">
      <c r="A1107" s="21" t="n">
        <v>45443</v>
      </c>
      <c r="B1107" t="n">
        <v>2.16</v>
      </c>
    </row>
    <row r="1108">
      <c r="A1108" s="21" t="n">
        <v>45446</v>
      </c>
      <c r="B1108" t="n">
        <v>2.08</v>
      </c>
    </row>
    <row r="1109">
      <c r="A1109" s="21" t="n">
        <v>45447</v>
      </c>
      <c r="B1109" t="n">
        <v>2.02</v>
      </c>
    </row>
    <row r="1110">
      <c r="A1110" s="21" t="n">
        <v>45448</v>
      </c>
      <c r="B1110" t="n">
        <v>1.99</v>
      </c>
    </row>
    <row r="1111">
      <c r="A1111" s="21" t="n">
        <v>45449</v>
      </c>
      <c r="B1111" t="n">
        <v>2</v>
      </c>
    </row>
    <row r="1112">
      <c r="A1112" s="21" t="n">
        <v>45450</v>
      </c>
      <c r="B1112" t="n">
        <v>2.13</v>
      </c>
    </row>
    <row r="1113">
      <c r="A1113" s="21" t="n">
        <v>45453</v>
      </c>
      <c r="B1113" t="n">
        <v>2.16</v>
      </c>
    </row>
    <row r="1114">
      <c r="A1114" s="21" t="n">
        <v>45454</v>
      </c>
      <c r="B1114" t="n">
        <v>2.12</v>
      </c>
    </row>
    <row r="1115">
      <c r="A1115" s="21" t="n">
        <v>45455</v>
      </c>
      <c r="B1115" t="n">
        <v>2.09</v>
      </c>
    </row>
    <row r="1116">
      <c r="A1116" s="21" t="n">
        <v>45456</v>
      </c>
      <c r="B1116" t="n">
        <v>2.03</v>
      </c>
    </row>
    <row r="1117">
      <c r="A1117" s="21" t="n">
        <v>45457</v>
      </c>
      <c r="B1117" t="n">
        <v>2.03</v>
      </c>
    </row>
    <row r="1118">
      <c r="A1118" s="21" t="n">
        <v>45460</v>
      </c>
      <c r="B1118" t="n">
        <v>2.06</v>
      </c>
    </row>
    <row r="1119">
      <c r="A1119" s="21" t="n">
        <v>45461</v>
      </c>
      <c r="B1119" t="n">
        <v>2.01</v>
      </c>
    </row>
    <row r="1120">
      <c r="A1120" s="21" t="n">
        <v>45463</v>
      </c>
      <c r="B1120" t="n">
        <v>2</v>
      </c>
    </row>
    <row r="1121">
      <c r="A1121" s="21" t="n">
        <v>45464</v>
      </c>
      <c r="B1121" t="n">
        <v>2.02</v>
      </c>
    </row>
    <row r="1122">
      <c r="A1122" s="21" t="n">
        <v>45467</v>
      </c>
      <c r="B1122" t="n">
        <v>2.03</v>
      </c>
    </row>
    <row r="1123">
      <c r="A1123" s="21" t="n">
        <v>45468</v>
      </c>
      <c r="B1123" t="n">
        <v>2.01</v>
      </c>
    </row>
    <row r="1124">
      <c r="A1124" s="21" t="n">
        <v>45469</v>
      </c>
      <c r="B1124" t="n">
        <v>2.06</v>
      </c>
    </row>
    <row r="1125">
      <c r="A1125" s="21" t="n">
        <v>45470</v>
      </c>
      <c r="B1125" t="n">
        <v>2.03</v>
      </c>
    </row>
    <row r="1126">
      <c r="A1126" s="21" t="n">
        <v>45471</v>
      </c>
      <c r="B1126" t="n">
        <v>2.08</v>
      </c>
    </row>
    <row r="1127">
      <c r="A1127" s="21" t="n">
        <v>45474</v>
      </c>
      <c r="B1127" t="n">
        <v>2.16</v>
      </c>
    </row>
    <row r="1128">
      <c r="A1128" s="21" t="n">
        <v>45475</v>
      </c>
      <c r="B1128" t="n">
        <v>2.13</v>
      </c>
    </row>
    <row r="1129">
      <c r="A1129" s="21" t="n">
        <v>45476</v>
      </c>
      <c r="B1129" t="n">
        <v>2.09</v>
      </c>
    </row>
    <row r="1130">
      <c r="A1130" s="21" t="n">
        <v>45478</v>
      </c>
      <c r="B1130" t="n">
        <v>2</v>
      </c>
    </row>
    <row r="1131">
      <c r="A1131" s="21" t="n">
        <v>45481</v>
      </c>
      <c r="B1131" t="n">
        <v>2.01</v>
      </c>
    </row>
    <row r="1132">
      <c r="A1132" s="21" t="n">
        <v>45482</v>
      </c>
      <c r="B1132" t="n">
        <v>2.04</v>
      </c>
    </row>
    <row r="1133">
      <c r="A1133" s="21" t="n">
        <v>45483</v>
      </c>
      <c r="B1133" t="n">
        <v>2.01</v>
      </c>
    </row>
    <row r="1134">
      <c r="A1134" s="21" t="n">
        <v>45484</v>
      </c>
      <c r="B1134" t="n">
        <v>1.95</v>
      </c>
    </row>
    <row r="1135">
      <c r="A1135" s="21" t="n">
        <v>45485</v>
      </c>
      <c r="B1135" t="n">
        <v>1.94</v>
      </c>
    </row>
    <row r="1136">
      <c r="A1136" s="21" t="n">
        <v>45488</v>
      </c>
      <c r="B1136" t="n">
        <v>1.96</v>
      </c>
    </row>
    <row r="1137">
      <c r="A1137" s="21" t="n">
        <v>45489</v>
      </c>
      <c r="B1137" t="n">
        <v>1.91</v>
      </c>
    </row>
    <row r="1138">
      <c r="A1138" s="21" t="n">
        <v>45490</v>
      </c>
      <c r="B1138" t="n">
        <v>1.9</v>
      </c>
    </row>
    <row r="1139">
      <c r="A1139" s="21" t="n">
        <v>45491</v>
      </c>
      <c r="B1139" t="n">
        <v>1.89</v>
      </c>
    </row>
    <row r="1140">
      <c r="A1140" s="21" t="n">
        <v>45492</v>
      </c>
      <c r="B1140" t="n">
        <v>1.93</v>
      </c>
    </row>
    <row r="1141">
      <c r="A1141" s="21" t="n">
        <v>45495</v>
      </c>
      <c r="B1141" t="n">
        <v>1.96</v>
      </c>
    </row>
    <row r="1142">
      <c r="A1142" s="21" t="n">
        <v>45496</v>
      </c>
      <c r="B1142" t="n">
        <v>1.96</v>
      </c>
    </row>
    <row r="1143">
      <c r="A1143" s="21" t="n">
        <v>45497</v>
      </c>
      <c r="B1143" t="n">
        <v>2</v>
      </c>
    </row>
    <row r="1144">
      <c r="A1144" s="21" t="n">
        <v>45498</v>
      </c>
      <c r="B1144" t="n">
        <v>1.99</v>
      </c>
    </row>
    <row r="1145">
      <c r="A1145" s="21" t="n">
        <v>45499</v>
      </c>
      <c r="B1145" t="n">
        <v>1.93</v>
      </c>
    </row>
    <row r="1146">
      <c r="A1146" s="21" t="n">
        <v>45502</v>
      </c>
      <c r="B1146" t="n">
        <v>1.92</v>
      </c>
    </row>
    <row r="1147">
      <c r="A1147" s="21" t="n">
        <v>45503</v>
      </c>
      <c r="B1147" t="n">
        <v>1.9</v>
      </c>
    </row>
    <row r="1148">
      <c r="A1148" s="21" t="n">
        <v>45504</v>
      </c>
      <c r="B1148" t="n">
        <v>1.85</v>
      </c>
    </row>
    <row r="1149">
      <c r="A1149" s="21" t="n">
        <v>45505</v>
      </c>
      <c r="B1149" t="n">
        <v>1.79</v>
      </c>
    </row>
    <row r="1150">
      <c r="A1150" s="21" t="n">
        <v>45506</v>
      </c>
      <c r="B1150" t="n">
        <v>1.76</v>
      </c>
    </row>
    <row r="1151">
      <c r="A1151" s="21" t="n">
        <v>45509</v>
      </c>
      <c r="B1151" t="n">
        <v>1.71</v>
      </c>
    </row>
    <row r="1152">
      <c r="A1152" s="21" t="n">
        <v>45510</v>
      </c>
      <c r="B1152" t="n">
        <v>1.78</v>
      </c>
    </row>
    <row r="1153">
      <c r="A1153" s="21" t="n">
        <v>45511</v>
      </c>
      <c r="B1153" t="n">
        <v>1.85</v>
      </c>
    </row>
    <row r="1154">
      <c r="A1154" s="21" t="n">
        <v>45512</v>
      </c>
      <c r="B1154" t="n">
        <v>1.87</v>
      </c>
    </row>
    <row r="1155">
      <c r="A1155" s="21" t="n">
        <v>45513</v>
      </c>
      <c r="B1155" t="n">
        <v>1.84</v>
      </c>
    </row>
    <row r="1156">
      <c r="A1156" s="21" t="n">
        <v>45516</v>
      </c>
      <c r="B1156" t="n">
        <v>1.79</v>
      </c>
    </row>
    <row r="1157">
      <c r="A1157" s="21" t="n">
        <v>45517</v>
      </c>
      <c r="B1157" t="n">
        <v>1.76</v>
      </c>
    </row>
    <row r="1158">
      <c r="A1158" s="21" t="n">
        <v>45518</v>
      </c>
      <c r="B1158" t="n">
        <v>1.77</v>
      </c>
    </row>
    <row r="1159">
      <c r="A1159" s="21" t="n">
        <v>45519</v>
      </c>
      <c r="B1159" t="n">
        <v>1.8</v>
      </c>
    </row>
    <row r="1160">
      <c r="A1160" s="21" t="n">
        <v>45520</v>
      </c>
      <c r="B1160" t="n">
        <v>1.81</v>
      </c>
    </row>
    <row r="1161">
      <c r="A1161" s="21" t="n">
        <v>45523</v>
      </c>
      <c r="B1161" t="n">
        <v>1.79</v>
      </c>
    </row>
    <row r="1162">
      <c r="A1162" s="21" t="n">
        <v>45524</v>
      </c>
      <c r="B1162" t="n">
        <v>1.75</v>
      </c>
    </row>
    <row r="1163">
      <c r="A1163" s="21" t="n">
        <v>45525</v>
      </c>
      <c r="B1163" t="n">
        <v>1.72</v>
      </c>
    </row>
    <row r="1164">
      <c r="A1164" s="21" t="n">
        <v>45526</v>
      </c>
      <c r="B1164" t="n">
        <v>1.76</v>
      </c>
    </row>
    <row r="1165">
      <c r="A1165" s="21" t="n">
        <v>45527</v>
      </c>
      <c r="B1165" t="n">
        <v>1.68</v>
      </c>
    </row>
    <row r="1166">
      <c r="A1166" s="21" t="n">
        <v>45530</v>
      </c>
      <c r="B1166" t="n">
        <v>1.67</v>
      </c>
    </row>
    <row r="1167">
      <c r="A1167" s="21" t="n">
        <v>45531</v>
      </c>
      <c r="B1167" t="n">
        <v>1.68</v>
      </c>
    </row>
    <row r="1168">
      <c r="A1168" s="21" t="n">
        <v>45532</v>
      </c>
      <c r="B1168" t="n">
        <v>1.69</v>
      </c>
    </row>
    <row r="1169">
      <c r="A1169" s="21" t="n">
        <v>45533</v>
      </c>
      <c r="B1169" t="n">
        <v>1.71</v>
      </c>
    </row>
    <row r="1170">
      <c r="A1170" s="21" t="n">
        <v>45534</v>
      </c>
      <c r="B1170" t="n">
        <v>1.76</v>
      </c>
    </row>
    <row r="1171">
      <c r="A1171" s="21" t="n">
        <v>45538</v>
      </c>
      <c r="B1171" t="n">
        <v>1.73</v>
      </c>
    </row>
    <row r="1172">
      <c r="A1172" s="21" t="n">
        <v>45539</v>
      </c>
      <c r="B1172" t="n">
        <v>1.7</v>
      </c>
    </row>
    <row r="1173">
      <c r="A1173" s="21" t="n">
        <v>45540</v>
      </c>
      <c r="B1173" t="n">
        <v>1.7</v>
      </c>
    </row>
    <row r="1174">
      <c r="A1174" s="21" t="n">
        <v>45541</v>
      </c>
      <c r="B1174" t="n">
        <v>1.69</v>
      </c>
    </row>
    <row r="1175">
      <c r="A1175" s="21" t="n">
        <v>45544</v>
      </c>
      <c r="B1175" t="n">
        <v>1.66</v>
      </c>
    </row>
    <row r="1176">
      <c r="A1176" s="21" t="n">
        <v>45545</v>
      </c>
      <c r="B1176" t="n">
        <v>1.63</v>
      </c>
    </row>
    <row r="1177">
      <c r="A1177" s="21" t="n">
        <v>45546</v>
      </c>
      <c r="B1177" t="n">
        <v>1.61</v>
      </c>
    </row>
    <row r="1178">
      <c r="A1178" s="21" t="n">
        <v>45547</v>
      </c>
      <c r="B1178" t="n">
        <v>1.63</v>
      </c>
    </row>
    <row r="1179">
      <c r="A1179" s="21" t="n">
        <v>45548</v>
      </c>
      <c r="B1179" t="n">
        <v>1.58</v>
      </c>
    </row>
    <row r="1180">
      <c r="A1180" s="21" t="n">
        <v>45551</v>
      </c>
      <c r="B1180" t="n">
        <v>1.54</v>
      </c>
    </row>
    <row r="1181">
      <c r="A1181" s="21" t="n">
        <v>45552</v>
      </c>
      <c r="B1181" t="n">
        <v>1.53</v>
      </c>
    </row>
    <row r="1182">
      <c r="A1182" s="21" t="n">
        <v>45553</v>
      </c>
      <c r="B1182" t="n">
        <v>1.58</v>
      </c>
    </row>
    <row r="1183">
      <c r="A1183" s="21" t="n">
        <v>45554</v>
      </c>
      <c r="B1183" t="n">
        <v>1.56</v>
      </c>
    </row>
    <row r="1184">
      <c r="A1184" s="21" t="n">
        <v>45555</v>
      </c>
      <c r="B1184" t="n">
        <v>1.58</v>
      </c>
    </row>
    <row r="1185">
      <c r="A1185" s="21" t="n">
        <v>45558</v>
      </c>
      <c r="B1185" t="n">
        <v>1.58</v>
      </c>
    </row>
    <row r="1186">
      <c r="A1186" s="21" t="n">
        <v>45559</v>
      </c>
      <c r="B1186" t="n">
        <v>1.55</v>
      </c>
    </row>
    <row r="1187">
      <c r="A1187" s="21" t="n">
        <v>45560</v>
      </c>
      <c r="B1187" t="n">
        <v>1.61</v>
      </c>
    </row>
    <row r="1188">
      <c r="A1188" s="21" t="n">
        <v>45561</v>
      </c>
      <c r="B1188" t="n">
        <v>1.63</v>
      </c>
    </row>
    <row r="1189">
      <c r="A1189" s="21" t="n">
        <v>45562</v>
      </c>
      <c r="B1189" t="n">
        <v>1.6</v>
      </c>
    </row>
    <row r="1190">
      <c r="A1190" s="21" t="n">
        <v>45565</v>
      </c>
      <c r="B1190" t="n">
        <v>1.63</v>
      </c>
    </row>
    <row r="1191">
      <c r="A1191" s="21" t="n">
        <v>45566</v>
      </c>
      <c r="B1191" t="n">
        <v>1.55</v>
      </c>
    </row>
    <row r="1192">
      <c r="A1192" s="21" t="n">
        <v>45567</v>
      </c>
      <c r="B1192" t="n">
        <v>1.58</v>
      </c>
    </row>
    <row r="1193">
      <c r="A1193" s="21" t="n">
        <v>45568</v>
      </c>
      <c r="B1193" t="n">
        <v>1.64</v>
      </c>
    </row>
    <row r="1194">
      <c r="A1194" s="21" t="n">
        <v>45569</v>
      </c>
      <c r="B1194" t="n">
        <v>1.75</v>
      </c>
    </row>
    <row r="1195">
      <c r="A1195" s="21" t="n">
        <v>45572</v>
      </c>
      <c r="B1195" t="n">
        <v>1.76</v>
      </c>
    </row>
    <row r="1196">
      <c r="A1196" s="21" t="n">
        <v>45573</v>
      </c>
      <c r="B1196" t="n">
        <v>1.77</v>
      </c>
    </row>
    <row r="1197">
      <c r="A1197" s="21" t="n">
        <v>45574</v>
      </c>
      <c r="B1197" t="n">
        <v>1.77</v>
      </c>
    </row>
    <row r="1198">
      <c r="A1198" s="21" t="n">
        <v>45575</v>
      </c>
      <c r="B1198" t="n">
        <v>1.76</v>
      </c>
    </row>
    <row r="1199">
      <c r="A1199" s="21" t="n">
        <v>45576</v>
      </c>
      <c r="B1199" t="n">
        <v>1.75</v>
      </c>
    </row>
    <row r="1200">
      <c r="A1200" s="21" t="n">
        <v>45580</v>
      </c>
      <c r="B1200" t="n">
        <v>1.75</v>
      </c>
    </row>
    <row r="1201">
      <c r="A1201" s="21" t="n">
        <v>45581</v>
      </c>
      <c r="B1201" t="n">
        <v>1.75</v>
      </c>
    </row>
    <row r="1202">
      <c r="A1202" s="21" t="n">
        <v>45582</v>
      </c>
      <c r="B1202" t="n">
        <v>1.79</v>
      </c>
    </row>
    <row r="1203">
      <c r="A1203" s="21" t="n">
        <v>45583</v>
      </c>
      <c r="B1203" t="n">
        <v>1.77</v>
      </c>
    </row>
    <row r="1204">
      <c r="A1204" s="21" t="n">
        <v>45586</v>
      </c>
      <c r="B1204" t="n">
        <v>1.88</v>
      </c>
    </row>
    <row r="1205">
      <c r="A1205" s="21" t="n">
        <v>45587</v>
      </c>
      <c r="B1205" t="n">
        <v>1.87</v>
      </c>
    </row>
    <row r="1206">
      <c r="A1206" s="21" t="n">
        <v>45588</v>
      </c>
      <c r="B1206" t="n">
        <v>1.93</v>
      </c>
    </row>
    <row r="1207">
      <c r="A1207" s="21" t="n">
        <v>45589</v>
      </c>
      <c r="B1207" t="n">
        <v>1.91</v>
      </c>
    </row>
    <row r="1208">
      <c r="A1208" s="21" t="n">
        <v>45590</v>
      </c>
      <c r="B1208" t="n">
        <v>1.96</v>
      </c>
    </row>
    <row r="1209">
      <c r="A1209" s="21" t="n">
        <v>45593</v>
      </c>
      <c r="B1209" t="n">
        <v>1.99</v>
      </c>
    </row>
    <row r="1210">
      <c r="A1210" s="21" t="n">
        <v>45594</v>
      </c>
      <c r="B1210" t="n">
        <v>1.98</v>
      </c>
    </row>
    <row r="1211">
      <c r="A1211" s="21" t="n">
        <v>45595</v>
      </c>
      <c r="B1211" t="n">
        <v>1.95</v>
      </c>
    </row>
    <row r="1212">
      <c r="A1212" s="21" t="n">
        <v>45596</v>
      </c>
      <c r="B1212" t="n">
        <v>1.95</v>
      </c>
    </row>
    <row r="1213">
      <c r="A1213" s="21" t="n">
        <v>45597</v>
      </c>
      <c r="B1213" t="n">
        <v>2.04</v>
      </c>
    </row>
    <row r="1214">
      <c r="A1214" s="21" t="n">
        <v>45600</v>
      </c>
      <c r="B1214" t="n">
        <v>2.03</v>
      </c>
    </row>
    <row r="1215">
      <c r="A1215" s="21" t="n">
        <v>45601</v>
      </c>
      <c r="B1215" t="n">
        <v>1.99</v>
      </c>
    </row>
    <row r="1216">
      <c r="A1216" s="21" t="n">
        <v>45602</v>
      </c>
      <c r="B1216" t="n">
        <v>2.04</v>
      </c>
    </row>
    <row r="1217">
      <c r="A1217" s="21" t="n">
        <v>45603</v>
      </c>
      <c r="B1217" t="n">
        <v>1.98</v>
      </c>
    </row>
    <row r="1218">
      <c r="A1218" s="21" t="n">
        <v>45604</v>
      </c>
      <c r="B1218" t="n">
        <v>1.95</v>
      </c>
    </row>
    <row r="1219">
      <c r="A1219" s="21" t="n">
        <v>45608</v>
      </c>
      <c r="B1219" t="n">
        <v>2.08</v>
      </c>
    </row>
    <row r="1220">
      <c r="A1220" s="21" t="n">
        <v>45609</v>
      </c>
      <c r="B1220" t="n">
        <v>2.09</v>
      </c>
    </row>
    <row r="1221">
      <c r="A1221" s="21" t="n">
        <v>45610</v>
      </c>
      <c r="B1221" t="n">
        <v>2.1</v>
      </c>
    </row>
    <row r="1222">
      <c r="A1222" s="21" t="n">
        <v>45611</v>
      </c>
      <c r="B1222" t="n">
        <v>2.1</v>
      </c>
    </row>
    <row r="1223">
      <c r="A1223" s="21" t="n">
        <v>45614</v>
      </c>
      <c r="B1223" t="n">
        <v>2.08</v>
      </c>
    </row>
    <row r="1224">
      <c r="A1224" s="21" t="n">
        <v>45615</v>
      </c>
      <c r="B1224" t="n">
        <v>2.05</v>
      </c>
    </row>
    <row r="1225">
      <c r="A1225" s="21" t="n">
        <v>45616</v>
      </c>
      <c r="B1225" t="n">
        <v>2.06</v>
      </c>
    </row>
    <row r="1226">
      <c r="A1226" s="21" t="n">
        <v>45617</v>
      </c>
      <c r="B1226" t="n">
        <v>2.09</v>
      </c>
    </row>
    <row r="1227">
      <c r="A1227" s="21" t="n">
        <v>45618</v>
      </c>
      <c r="B1227" t="n">
        <v>2.07</v>
      </c>
    </row>
    <row r="1228">
      <c r="A1228" s="21" t="n">
        <v>45621</v>
      </c>
      <c r="B1228" t="n">
        <v>1.98</v>
      </c>
    </row>
    <row r="1229">
      <c r="A1229" s="21" t="n">
        <v>45622</v>
      </c>
      <c r="B1229" t="n">
        <v>2.02</v>
      </c>
    </row>
    <row r="1230">
      <c r="A1230" s="21" t="n">
        <v>45623</v>
      </c>
      <c r="B1230" t="n">
        <v>1.99</v>
      </c>
    </row>
    <row r="1231">
      <c r="A1231" s="21" t="n">
        <v>45625</v>
      </c>
      <c r="B1231" t="n">
        <v>1.92</v>
      </c>
    </row>
    <row r="1232">
      <c r="A1232" s="21" t="n">
        <v>45628</v>
      </c>
      <c r="B1232" t="n">
        <v>1.93</v>
      </c>
    </row>
    <row r="1233">
      <c r="A1233" s="21" t="n">
        <v>45629</v>
      </c>
      <c r="B1233" t="n">
        <v>1.95</v>
      </c>
    </row>
    <row r="1234">
      <c r="A1234" s="21" t="n">
        <v>45630</v>
      </c>
      <c r="B1234" t="n">
        <v>1.9</v>
      </c>
    </row>
    <row r="1235">
      <c r="A1235" s="21" t="n">
        <v>45631</v>
      </c>
      <c r="B1235" t="n">
        <v>1.92</v>
      </c>
    </row>
    <row r="1236">
      <c r="A1236" s="21" t="n">
        <v>45632</v>
      </c>
      <c r="B1236" t="n">
        <v>1.91</v>
      </c>
    </row>
    <row r="1237">
      <c r="A1237" s="21" t="n">
        <v>45635</v>
      </c>
      <c r="B1237" t="n">
        <v>1.93</v>
      </c>
    </row>
    <row r="1238">
      <c r="A1238" s="21" t="n">
        <v>45636</v>
      </c>
      <c r="B1238" t="n">
        <v>1.93</v>
      </c>
    </row>
    <row r="1239">
      <c r="A1239" s="21" t="n">
        <v>45637</v>
      </c>
      <c r="B1239" t="n">
        <v>1.96</v>
      </c>
    </row>
    <row r="1240">
      <c r="A1240" s="21" t="n">
        <v>45638</v>
      </c>
      <c r="B1240" t="n">
        <v>2</v>
      </c>
    </row>
    <row r="1241">
      <c r="A1241" s="21" t="n">
        <v>45639</v>
      </c>
      <c r="B1241" t="n">
        <v>2.07</v>
      </c>
    </row>
    <row r="1242">
      <c r="A1242" s="21" t="n">
        <v>45642</v>
      </c>
      <c r="B1242" t="n">
        <v>2.07</v>
      </c>
    </row>
    <row r="1243">
      <c r="A1243" s="21" t="n">
        <v>45643</v>
      </c>
      <c r="B1243" t="n">
        <v>2.09</v>
      </c>
    </row>
    <row r="1244">
      <c r="A1244" s="21" t="n">
        <v>45644</v>
      </c>
      <c r="B1244" t="n">
        <v>2.18</v>
      </c>
    </row>
    <row r="1245">
      <c r="A1245" s="21" t="n">
        <v>45645</v>
      </c>
      <c r="B1245" t="n">
        <v>2.28</v>
      </c>
    </row>
    <row r="1246">
      <c r="A1246" s="21" t="n">
        <v>45646</v>
      </c>
      <c r="B1246" t="n">
        <v>2.23</v>
      </c>
    </row>
    <row r="1247">
      <c r="A1247" s="21" t="n">
        <v>45649</v>
      </c>
      <c r="B1247" t="n">
        <v>2.27</v>
      </c>
    </row>
    <row r="1248">
      <c r="A1248" s="21" t="n">
        <v>45650</v>
      </c>
      <c r="B1248" t="n">
        <v>2.24</v>
      </c>
    </row>
    <row r="1249">
      <c r="A1249" s="21" t="n">
        <v>45652</v>
      </c>
      <c r="B1249" t="n">
        <v>2.23</v>
      </c>
    </row>
    <row r="1250">
      <c r="A1250" s="21" t="n">
        <v>45653</v>
      </c>
      <c r="B1250" t="n">
        <v>2.28</v>
      </c>
    </row>
    <row r="1251">
      <c r="A1251" s="21" t="n">
        <v>45656</v>
      </c>
      <c r="B1251" t="n">
        <v>2.24</v>
      </c>
    </row>
    <row r="1252">
      <c r="A1252" s="21" t="n">
        <v>45657</v>
      </c>
      <c r="B1252" t="n">
        <v>2.24</v>
      </c>
    </row>
    <row r="1253">
      <c r="A1253" s="21" t="n">
        <v>45659</v>
      </c>
      <c r="B1253" t="n">
        <v>2.23</v>
      </c>
    </row>
    <row r="1254">
      <c r="A1254" s="21" t="n">
        <v>45660</v>
      </c>
      <c r="B1254" t="n">
        <v>2.26</v>
      </c>
    </row>
    <row r="1255">
      <c r="A1255" s="21" t="n">
        <v>45663</v>
      </c>
      <c r="B1255" t="n">
        <v>2.28</v>
      </c>
    </row>
    <row r="1256">
      <c r="A1256" s="21" t="n">
        <v>45664</v>
      </c>
      <c r="B1256" t="n">
        <v>2.29</v>
      </c>
    </row>
    <row r="1257">
      <c r="A1257" s="21" t="n">
        <v>45665</v>
      </c>
      <c r="B1257" t="n">
        <v>2.27</v>
      </c>
    </row>
    <row r="1258">
      <c r="A1258" s="21" t="n">
        <v>45666</v>
      </c>
      <c r="B1258" t="n">
        <v>2.29</v>
      </c>
    </row>
    <row r="1259">
      <c r="A1259" s="21" t="n">
        <v>45667</v>
      </c>
      <c r="B1259" t="n">
        <v>2.34</v>
      </c>
    </row>
    <row r="1260">
      <c r="A1260" s="21" t="n">
        <v>45670</v>
      </c>
      <c r="B1260" t="n">
        <v>2.34</v>
      </c>
    </row>
    <row r="1261">
      <c r="A1261" s="21" t="n">
        <v>45671</v>
      </c>
      <c r="B1261" t="n">
        <v>2.34</v>
      </c>
    </row>
    <row r="1262">
      <c r="A1262" s="21" t="n">
        <v>45672</v>
      </c>
      <c r="B1262" t="n">
        <v>2.24</v>
      </c>
    </row>
    <row r="1263">
      <c r="A1263" s="21" t="n">
        <v>45673</v>
      </c>
      <c r="B1263" t="n">
        <v>2.19</v>
      </c>
    </row>
    <row r="1264">
      <c r="A1264" s="21" t="n">
        <v>45674</v>
      </c>
      <c r="B1264" t="n">
        <v>2.2</v>
      </c>
    </row>
    <row r="1265">
      <c r="A1265" s="21" t="n">
        <v>45678</v>
      </c>
      <c r="B1265" t="n">
        <v>2.19</v>
      </c>
    </row>
    <row r="1266">
      <c r="A1266" s="21" t="n">
        <v>45679</v>
      </c>
      <c r="B1266" t="n">
        <v>2.2</v>
      </c>
    </row>
    <row r="1267">
      <c r="A1267" s="21" t="n">
        <v>45680</v>
      </c>
      <c r="B1267" t="n">
        <v>2.23</v>
      </c>
    </row>
    <row r="1268">
      <c r="A1268" s="21" t="n">
        <v>45681</v>
      </c>
      <c r="B1268" t="n">
        <v>2.2</v>
      </c>
    </row>
    <row r="1269">
      <c r="A1269" s="21" t="n">
        <v>45684</v>
      </c>
      <c r="B1269" t="n">
        <v>2.13</v>
      </c>
    </row>
    <row r="1270">
      <c r="A1270" s="21" t="n">
        <v>45685</v>
      </c>
      <c r="B1270" t="n">
        <v>2.13</v>
      </c>
    </row>
    <row r="1271">
      <c r="A1271" s="21" t="n">
        <v>45686</v>
      </c>
      <c r="B1271" t="n">
        <v>2.15</v>
      </c>
    </row>
    <row r="1272">
      <c r="A1272" s="21" t="n">
        <v>45687</v>
      </c>
      <c r="B1272" t="n">
        <v>2.14</v>
      </c>
    </row>
    <row r="1273">
      <c r="A1273" s="21" t="n">
        <v>45688</v>
      </c>
      <c r="B1273" t="n">
        <v>2.16</v>
      </c>
    </row>
    <row r="1274">
      <c r="A1274" s="21" t="n">
        <v>45691</v>
      </c>
      <c r="B1274" t="n">
        <v>2.09</v>
      </c>
    </row>
    <row r="1275">
      <c r="A1275" s="21" t="n">
        <v>45692</v>
      </c>
      <c r="B1275" t="n">
        <v>2.08</v>
      </c>
    </row>
    <row r="1276">
      <c r="A1276" s="21" t="n">
        <v>45693</v>
      </c>
      <c r="B1276" t="n">
        <v>2.01</v>
      </c>
    </row>
    <row r="1277">
      <c r="A1277" s="21" t="n">
        <v>45694</v>
      </c>
      <c r="B1277" t="n">
        <v>2.03</v>
      </c>
    </row>
    <row r="1278">
      <c r="A1278" s="21" t="n">
        <v>45695</v>
      </c>
      <c r="B1278" t="n">
        <v>2.07</v>
      </c>
    </row>
    <row r="1279">
      <c r="A1279" s="21" t="n">
        <v>45698</v>
      </c>
      <c r="B1279" t="n">
        <v>2.07</v>
      </c>
    </row>
    <row r="1280">
      <c r="A1280" s="21" t="n">
        <v>45699</v>
      </c>
      <c r="B1280" t="n">
        <v>2.08</v>
      </c>
    </row>
    <row r="1281">
      <c r="A1281" s="21" t="n">
        <v>45700</v>
      </c>
      <c r="B1281" t="n">
        <v>2.16</v>
      </c>
    </row>
    <row r="1282">
      <c r="A1282" s="21" t="n">
        <v>45701</v>
      </c>
      <c r="B1282" t="n">
        <v>2.08</v>
      </c>
    </row>
    <row r="1283">
      <c r="A1283" s="21" t="n">
        <v>45702</v>
      </c>
      <c r="B1283" t="n">
        <v>2.04</v>
      </c>
    </row>
    <row r="1284">
      <c r="A1284" s="21" t="n">
        <v>45706</v>
      </c>
      <c r="B1284" t="n">
        <v>2.1</v>
      </c>
    </row>
    <row r="1285">
      <c r="A1285" s="21" t="n">
        <v>45707</v>
      </c>
      <c r="B1285" t="n">
        <v>2.08</v>
      </c>
    </row>
    <row r="1286">
      <c r="A1286" s="21" t="n">
        <v>45708</v>
      </c>
      <c r="B1286" t="n">
        <v>2.05</v>
      </c>
    </row>
    <row r="1287">
      <c r="A1287" s="21" t="n">
        <v>45709</v>
      </c>
      <c r="B1287" t="n">
        <v>2</v>
      </c>
    </row>
    <row r="1288">
      <c r="A1288" s="21" t="n">
        <v>45712</v>
      </c>
      <c r="B1288" t="n">
        <v>1.98</v>
      </c>
    </row>
    <row r="1289">
      <c r="A1289" s="21" t="n">
        <v>45713</v>
      </c>
      <c r="B1289" t="n">
        <v>1.92</v>
      </c>
    </row>
    <row r="1290">
      <c r="A1290" s="21" t="n">
        <v>45714</v>
      </c>
      <c r="B1290" t="n">
        <v>1.89</v>
      </c>
    </row>
    <row r="1291">
      <c r="A1291" s="21" t="n">
        <v>45715</v>
      </c>
      <c r="B1291" t="n">
        <v>1.92</v>
      </c>
    </row>
    <row r="1292">
      <c r="A1292" s="21" t="n">
        <v>45716</v>
      </c>
      <c r="B1292" t="n">
        <v>1.86</v>
      </c>
    </row>
    <row r="1293">
      <c r="A1293" s="21" t="n">
        <v>45719</v>
      </c>
      <c r="B1293" t="n">
        <v>1.8</v>
      </c>
    </row>
    <row r="1294">
      <c r="A1294" s="21" t="n">
        <v>45720</v>
      </c>
      <c r="B1294" t="n">
        <v>1.87</v>
      </c>
    </row>
    <row r="1295">
      <c r="A1295" s="21" t="n">
        <v>45721</v>
      </c>
      <c r="B1295" t="n">
        <v>1.94</v>
      </c>
    </row>
    <row r="1296">
      <c r="A1296" s="21" t="n">
        <v>45722</v>
      </c>
      <c r="B1296" t="n">
        <v>1.95</v>
      </c>
    </row>
    <row r="1297">
      <c r="A1297" s="21" t="n">
        <v>45723</v>
      </c>
      <c r="B1297" t="n">
        <v>1.99</v>
      </c>
    </row>
    <row r="1298">
      <c r="A1298" s="21" t="n">
        <v>45726</v>
      </c>
      <c r="B1298" t="n">
        <v>1.91</v>
      </c>
    </row>
    <row r="1299">
      <c r="A1299" s="21" t="n">
        <v>45727</v>
      </c>
      <c r="B1299" t="n">
        <v>1.97</v>
      </c>
    </row>
    <row r="1300">
      <c r="A1300" s="21" t="n">
        <v>45728</v>
      </c>
      <c r="B1300" t="n">
        <v>1.99</v>
      </c>
    </row>
    <row r="1301">
      <c r="A1301" s="21" t="n">
        <v>45729</v>
      </c>
      <c r="B1301" t="n">
        <v>1.98</v>
      </c>
    </row>
    <row r="1302">
      <c r="A1302" s="21" t="n">
        <v>45730</v>
      </c>
      <c r="B1302" t="n">
        <v>2.01</v>
      </c>
    </row>
    <row r="1303">
      <c r="A1303" s="21" t="n">
        <v>45733</v>
      </c>
      <c r="B1303" t="n">
        <v>2.02</v>
      </c>
    </row>
    <row r="1304">
      <c r="A1304" s="21" t="n">
        <v>45734</v>
      </c>
      <c r="B1304" t="n">
        <v>1.99</v>
      </c>
    </row>
    <row r="1305">
      <c r="A1305" s="21" t="n">
        <v>45735</v>
      </c>
      <c r="B1305" t="n">
        <v>1.94</v>
      </c>
    </row>
    <row r="1306">
      <c r="A1306" s="21" t="n">
        <v>45736</v>
      </c>
      <c r="B1306" t="n">
        <v>1.93</v>
      </c>
    </row>
    <row r="1307">
      <c r="A1307" s="21" t="n">
        <v>45737</v>
      </c>
      <c r="B1307" t="n">
        <v>1.92</v>
      </c>
    </row>
    <row r="1308">
      <c r="A1308" s="21" t="n">
        <v>45740</v>
      </c>
      <c r="B1308" t="n">
        <v>1.98</v>
      </c>
    </row>
    <row r="1309">
      <c r="A1309" s="21" t="n">
        <v>45741</v>
      </c>
      <c r="B1309" t="n">
        <v>1.96</v>
      </c>
    </row>
    <row r="1310">
      <c r="A1310" s="21" t="n">
        <v>45742</v>
      </c>
      <c r="B1310" t="n">
        <v>1.98</v>
      </c>
    </row>
    <row r="1311">
      <c r="A1311" s="21" t="n">
        <v>45743</v>
      </c>
      <c r="B1311" t="n">
        <v>1.99</v>
      </c>
    </row>
    <row r="1312">
      <c r="A1312" s="21" t="n">
        <v>45744</v>
      </c>
      <c r="B1312" t="n">
        <v>1.9</v>
      </c>
    </row>
    <row r="1313">
      <c r="A1313" s="21" t="n">
        <v>45747</v>
      </c>
      <c r="B1313" t="n">
        <v>1.85</v>
      </c>
    </row>
    <row r="1314">
      <c r="A1314" s="21" t="n">
        <v>45748</v>
      </c>
      <c r="B1314" t="n">
        <v>1.84</v>
      </c>
    </row>
    <row r="1315">
      <c r="A1315" s="21" t="n">
        <v>45749</v>
      </c>
      <c r="B1315" t="n">
        <v>1.88</v>
      </c>
    </row>
    <row r="1316">
      <c r="A1316" s="21" t="n">
        <v>45750</v>
      </c>
      <c r="B1316" t="n">
        <v>1.78</v>
      </c>
    </row>
    <row r="1317">
      <c r="A1317" s="21" t="n">
        <v>45751</v>
      </c>
      <c r="B1317" t="n">
        <v>1.83</v>
      </c>
    </row>
    <row r="1318">
      <c r="A1318" s="21" t="n">
        <v>45754</v>
      </c>
      <c r="B1318" t="n">
        <v>1.96</v>
      </c>
    </row>
    <row r="1319">
      <c r="A1319" s="21" t="n">
        <v>45755</v>
      </c>
      <c r="B1319" t="n">
        <v>2.04</v>
      </c>
    </row>
    <row r="1320">
      <c r="A1320" s="21" t="n">
        <v>45756</v>
      </c>
      <c r="B1320" t="n">
        <v>2.07</v>
      </c>
    </row>
    <row r="1321">
      <c r="A1321" s="21" t="n">
        <v>45757</v>
      </c>
      <c r="B1321" t="n">
        <v>2.21</v>
      </c>
    </row>
    <row r="1322">
      <c r="A1322" s="21" t="n">
        <v>45758</v>
      </c>
      <c r="B1322" t="n">
        <v>2.28</v>
      </c>
    </row>
    <row r="1323">
      <c r="A1323" s="21" t="n">
        <v>45761</v>
      </c>
      <c r="B1323" t="n">
        <v>2.15</v>
      </c>
    </row>
    <row r="1324">
      <c r="A1324" s="21" t="n">
        <v>45762</v>
      </c>
      <c r="B1324" t="n">
        <v>2.16</v>
      </c>
    </row>
    <row r="1325">
      <c r="A1325" s="21" t="n">
        <v>45763</v>
      </c>
      <c r="B1325" t="n">
        <v>2.12</v>
      </c>
    </row>
    <row r="1326">
      <c r="A1326" s="21" t="n">
        <v>45764</v>
      </c>
      <c r="B1326" t="n">
        <v>2.11</v>
      </c>
    </row>
    <row r="1327">
      <c r="A1327" s="21" t="n">
        <v>45768</v>
      </c>
      <c r="B1327" t="n">
        <v>2.2</v>
      </c>
    </row>
    <row r="1328">
      <c r="A1328" s="21" t="n">
        <v>45769</v>
      </c>
      <c r="B1328" t="n">
        <v>2.14</v>
      </c>
    </row>
    <row r="1329">
      <c r="A1329" s="21" t="n">
        <v>45770</v>
      </c>
      <c r="B1329" t="n">
        <v>2.11</v>
      </c>
    </row>
    <row r="1330">
      <c r="A1330" s="21" t="n">
        <v>45771</v>
      </c>
      <c r="B1330" t="n">
        <v>2.02</v>
      </c>
    </row>
    <row r="1331">
      <c r="A1331" s="21" t="n">
        <v>45772</v>
      </c>
      <c r="B1331" t="n">
        <v>2.02</v>
      </c>
    </row>
    <row r="1332">
      <c r="A1332" s="21" t="n">
        <v>45775</v>
      </c>
      <c r="B1332" t="n">
        <v>1.98</v>
      </c>
    </row>
    <row r="1333">
      <c r="A1333" s="21" t="n">
        <v>45776</v>
      </c>
      <c r="B1333" t="n">
        <v>1.96</v>
      </c>
    </row>
    <row r="1334">
      <c r="A1334" s="21" t="n">
        <v>45777</v>
      </c>
      <c r="B1334" t="n">
        <v>1.94</v>
      </c>
    </row>
    <row r="1335">
      <c r="A1335" s="21" t="n">
        <v>45778</v>
      </c>
      <c r="B1335" t="n">
        <v>2</v>
      </c>
    </row>
    <row r="1336">
      <c r="A1336" s="21" t="n">
        <v>45779</v>
      </c>
      <c r="B1336" t="n">
        <v>2.06</v>
      </c>
    </row>
    <row r="1337">
      <c r="A1337" s="21" t="n">
        <v>45782</v>
      </c>
      <c r="B1337" t="n">
        <v>2.08</v>
      </c>
    </row>
    <row r="1338">
      <c r="A1338" s="21" t="n">
        <v>45783</v>
      </c>
      <c r="B1338" t="n">
        <v>2.04</v>
      </c>
    </row>
    <row r="1339">
      <c r="A1339" s="21" t="n">
        <v>45784</v>
      </c>
      <c r="B1339" t="n">
        <v>2.01</v>
      </c>
    </row>
    <row r="1340">
      <c r="A1340" s="21" t="n">
        <v>45785</v>
      </c>
      <c r="B1340" t="n">
        <v>2.08</v>
      </c>
    </row>
    <row r="1341">
      <c r="A1341" s="21" t="n">
        <v>45786</v>
      </c>
      <c r="B1341" t="n">
        <v>2.08</v>
      </c>
    </row>
    <row r="1342">
      <c r="A1342" s="21" t="n">
        <v>45789</v>
      </c>
      <c r="B1342" t="n">
        <v>2.16</v>
      </c>
    </row>
    <row r="1343">
      <c r="A1343" s="21" t="n">
        <v>45790</v>
      </c>
      <c r="B1343" t="n">
        <v>2.17</v>
      </c>
    </row>
    <row r="1344">
      <c r="A1344" s="21" t="n">
        <v>45791</v>
      </c>
      <c r="B1344" t="n">
        <v>2.16</v>
      </c>
    </row>
    <row r="1345">
      <c r="A1345" s="21" t="n">
        <v>45792</v>
      </c>
      <c r="B1345" t="n">
        <v>2.11</v>
      </c>
    </row>
    <row r="1346">
      <c r="A1346" s="21" t="n">
        <v>45793</v>
      </c>
      <c r="B1346" t="n">
        <v>2.09</v>
      </c>
    </row>
    <row r="1347">
      <c r="A1347" s="21" t="n">
        <v>45796</v>
      </c>
      <c r="B1347" t="n">
        <v>2.1</v>
      </c>
    </row>
    <row r="1348">
      <c r="A1348" s="21" t="n">
        <v>45797</v>
      </c>
      <c r="B1348" t="n">
        <v>2.13</v>
      </c>
    </row>
    <row r="1349">
      <c r="A1349" s="21" t="n">
        <v>45798</v>
      </c>
      <c r="B1349" t="n">
        <v>2.23</v>
      </c>
    </row>
    <row r="1350">
      <c r="A1350" s="21" t="n">
        <v>45799</v>
      </c>
      <c r="B1350" t="n">
        <v>2.2</v>
      </c>
    </row>
    <row r="1351">
      <c r="A1351" s="21" t="n">
        <v>45800</v>
      </c>
      <c r="B1351" t="n">
        <v>2.18</v>
      </c>
    </row>
    <row r="1352">
      <c r="A1352" s="21" t="n">
        <v>45804</v>
      </c>
      <c r="B1352" t="n">
        <v>2.11</v>
      </c>
    </row>
    <row r="1353">
      <c r="A1353" s="21" t="n">
        <v>45805</v>
      </c>
      <c r="B1353" t="n">
        <v>2.15</v>
      </c>
    </row>
    <row r="1354">
      <c r="A1354" s="21" t="n">
        <v>45806</v>
      </c>
      <c r="B1354" t="n">
        <v>2.11</v>
      </c>
    </row>
    <row r="1355">
      <c r="A1355" s="21" t="n">
        <v>45807</v>
      </c>
      <c r="B1355" t="n">
        <v>2.07</v>
      </c>
    </row>
    <row r="1356">
      <c r="A1356" s="21" t="n">
        <v>45810</v>
      </c>
      <c r="B1356" t="n">
        <v>2.13</v>
      </c>
    </row>
    <row r="1357">
      <c r="A1357" s="21" t="n">
        <v>45811</v>
      </c>
      <c r="B1357" t="n">
        <v>2.14</v>
      </c>
    </row>
    <row r="1358">
      <c r="A1358" s="21" t="n">
        <v>45812</v>
      </c>
      <c r="B1358" t="n">
        <v>2.06</v>
      </c>
    </row>
    <row r="1359">
      <c r="A1359" s="21" t="n">
        <v>45813</v>
      </c>
      <c r="B1359" t="n">
        <v>2.11</v>
      </c>
    </row>
    <row r="1360">
      <c r="A1360" s="21" t="n">
        <v>45814</v>
      </c>
      <c r="B1360" t="n">
        <v>2.2</v>
      </c>
    </row>
    <row r="1361">
      <c r="A1361" s="21" t="n">
        <v>45817</v>
      </c>
      <c r="B1361" t="n">
        <v>2.18</v>
      </c>
    </row>
    <row r="1362">
      <c r="A1362" s="21" t="n">
        <v>45818</v>
      </c>
      <c r="B1362" t="n">
        <v>2.18</v>
      </c>
    </row>
    <row r="1363">
      <c r="A1363" s="21" t="n">
        <v>45819</v>
      </c>
      <c r="B1363" t="n">
        <v>2.14</v>
      </c>
    </row>
    <row r="1364">
      <c r="A1364" s="21" t="n">
        <v>45820</v>
      </c>
      <c r="B1364" t="n">
        <v>2.11</v>
      </c>
    </row>
    <row r="1365">
      <c r="A1365" s="21" t="n">
        <v>45821</v>
      </c>
      <c r="B1365" t="n">
        <v>2.13</v>
      </c>
    </row>
    <row r="1366">
      <c r="A1366" s="21" t="n">
        <v>45824</v>
      </c>
      <c r="B1366" t="n">
        <v>2.16</v>
      </c>
    </row>
    <row r="1367">
      <c r="A1367" s="21" t="n">
        <v>45825</v>
      </c>
      <c r="B1367" t="n">
        <v>2.08</v>
      </c>
    </row>
    <row r="1368">
      <c r="A1368" s="21" t="n">
        <v>45826</v>
      </c>
      <c r="B1368" t="n">
        <v>2.07</v>
      </c>
    </row>
    <row r="1369">
      <c r="A1369" s="21" t="n">
        <v>45828</v>
      </c>
      <c r="B1369" t="n">
        <v>2.05</v>
      </c>
    </row>
    <row r="1370">
      <c r="A1370" s="21" t="n">
        <v>45831</v>
      </c>
      <c r="B1370" t="n">
        <v>2.04</v>
      </c>
    </row>
    <row r="1371">
      <c r="A1371" s="21" t="n">
        <v>45832</v>
      </c>
      <c r="B1371" t="n">
        <v>2.01</v>
      </c>
    </row>
    <row r="1372">
      <c r="A1372" s="21" t="n">
        <v>45833</v>
      </c>
      <c r="B1372" t="n">
        <v>2.01</v>
      </c>
    </row>
    <row r="1373">
      <c r="A1373" s="21" t="n">
        <v>45834</v>
      </c>
      <c r="B1373" t="n">
        <v>1.98</v>
      </c>
    </row>
    <row r="1374">
      <c r="A1374" s="21" t="n">
        <v>45835</v>
      </c>
      <c r="B1374" t="n">
        <v>2</v>
      </c>
    </row>
    <row r="1375">
      <c r="A1375" s="21" t="n">
        <v>45838</v>
      </c>
      <c r="B1375" t="n">
        <v>1.95</v>
      </c>
    </row>
    <row r="1376">
      <c r="A1376" s="21" t="n">
        <v>45839</v>
      </c>
      <c r="B1376" t="n">
        <v>1.97</v>
      </c>
    </row>
    <row r="1377">
      <c r="A1377" s="21" t="n">
        <v>45840</v>
      </c>
      <c r="B1377" t="n">
        <v>2</v>
      </c>
    </row>
    <row r="1378">
      <c r="A1378" s="21" t="n">
        <v>45841</v>
      </c>
      <c r="B1378" t="n">
        <v>2.02</v>
      </c>
    </row>
    <row r="1379">
      <c r="A1379" s="21" t="n">
        <v>45845</v>
      </c>
      <c r="B1379" t="n">
        <v>2.05</v>
      </c>
    </row>
    <row r="1380">
      <c r="A1380" s="21" t="n">
        <v>45846</v>
      </c>
      <c r="B1380" t="n">
        <v>2.07</v>
      </c>
    </row>
    <row r="1381">
      <c r="A1381" s="21" t="n">
        <v>45847</v>
      </c>
      <c r="B1381" t="n">
        <v>2.01</v>
      </c>
    </row>
    <row r="1382">
      <c r="A1382" s="21" t="n">
        <v>45848</v>
      </c>
      <c r="B1382" t="n">
        <v>2.01</v>
      </c>
    </row>
    <row r="1383">
      <c r="A1383" s="21" t="n">
        <v>45849</v>
      </c>
      <c r="B1383" t="n">
        <v>2.06</v>
      </c>
    </row>
    <row r="1384">
      <c r="A1384" s="21" t="n">
        <v>45852</v>
      </c>
      <c r="B1384" t="n">
        <v>2.04</v>
      </c>
    </row>
    <row r="1385">
      <c r="A1385" s="21" t="n">
        <v>45853</v>
      </c>
      <c r="B1385" t="n">
        <v>2.09</v>
      </c>
    </row>
    <row r="1386">
      <c r="A1386" s="21" t="n">
        <v>45854</v>
      </c>
      <c r="B1386" t="n">
        <v>2.05</v>
      </c>
    </row>
    <row r="1387">
      <c r="A1387" s="21" t="n">
        <v>45855</v>
      </c>
      <c r="B1387" t="n">
        <v>2.04</v>
      </c>
    </row>
    <row r="1388">
      <c r="A1388" s="21" t="n">
        <v>45856</v>
      </c>
      <c r="B1388" t="n">
        <v>2.03</v>
      </c>
    </row>
    <row r="1389">
      <c r="A1389" s="21" t="n">
        <v>45859</v>
      </c>
      <c r="B1389" t="n">
        <v>1.98</v>
      </c>
    </row>
    <row r="1390">
      <c r="A1390" s="21" t="n">
        <v>45860</v>
      </c>
      <c r="B1390" t="n">
        <v>1.96</v>
      </c>
    </row>
    <row r="1391">
      <c r="A1391" s="21" t="n">
        <v>45861</v>
      </c>
      <c r="B1391" t="n">
        <v>2.03</v>
      </c>
    </row>
    <row r="1392">
      <c r="A1392" s="21" t="n">
        <v>45862</v>
      </c>
      <c r="B1392" t="n">
        <v>1.98</v>
      </c>
    </row>
    <row r="1393">
      <c r="A1393" s="21" t="n">
        <v>45863</v>
      </c>
      <c r="B1393" t="n">
        <v>1.96</v>
      </c>
    </row>
    <row r="1394">
      <c r="A1394" s="21" t="n">
        <v>45866</v>
      </c>
      <c r="B1394" t="n">
        <v>1.98</v>
      </c>
    </row>
    <row r="1395">
      <c r="A1395" s="21" t="n">
        <v>45867</v>
      </c>
      <c r="B1395" t="n">
        <v>1.91</v>
      </c>
    </row>
    <row r="1396">
      <c r="A1396" s="21" t="n">
        <v>45868</v>
      </c>
      <c r="B1396" t="n">
        <v>1.96</v>
      </c>
    </row>
    <row r="1397">
      <c r="A1397" s="21" t="n">
        <v>45869</v>
      </c>
      <c r="B1397" t="n">
        <v>1.98</v>
      </c>
    </row>
    <row r="1398">
      <c r="A1398" s="21" t="n">
        <v>45870</v>
      </c>
      <c r="B1398" t="n">
        <v>1.9</v>
      </c>
    </row>
    <row r="1399">
      <c r="A1399" s="21" t="n">
        <v>45873</v>
      </c>
      <c r="B1399" t="n">
        <v>1.85</v>
      </c>
    </row>
    <row r="1400">
      <c r="A1400" s="21" t="n">
        <v>45874</v>
      </c>
      <c r="B1400" t="n">
        <v>1.86</v>
      </c>
    </row>
    <row r="1401">
      <c r="A1401" s="21" t="n">
        <v>45875</v>
      </c>
      <c r="B1401" t="n">
        <v>1.88</v>
      </c>
    </row>
    <row r="1402">
      <c r="A1402" s="21" t="n">
        <v>45876</v>
      </c>
      <c r="B1402" t="n">
        <v>1.88</v>
      </c>
    </row>
    <row r="1403">
      <c r="A1403" s="21" t="n">
        <v>45877</v>
      </c>
      <c r="B1403" t="n">
        <v>1.88</v>
      </c>
    </row>
    <row r="1404">
      <c r="A1404" s="21" t="n">
        <v>45880</v>
      </c>
      <c r="B1404" t="n">
        <v>1.87</v>
      </c>
    </row>
    <row r="1405">
      <c r="A1405" s="21" t="n">
        <v>45881</v>
      </c>
      <c r="B1405" t="n">
        <v>1.91</v>
      </c>
    </row>
    <row r="1406">
      <c r="A1406" s="21" t="n">
        <v>45882</v>
      </c>
      <c r="B1406" t="n">
        <v>1.87</v>
      </c>
    </row>
    <row r="1407">
      <c r="A1407" s="21" t="n">
        <v>45883</v>
      </c>
      <c r="B1407" t="n">
        <v>1.9</v>
      </c>
    </row>
    <row r="1408">
      <c r="A1408" s="21" t="n">
        <v>45884</v>
      </c>
      <c r="B1408" t="n">
        <v>1.95</v>
      </c>
    </row>
    <row r="1409">
      <c r="A1409" s="21" t="n">
        <v>45887</v>
      </c>
      <c r="B1409" t="n">
        <v>1.96</v>
      </c>
    </row>
    <row r="1410">
      <c r="A1410" s="21" t="n">
        <v>45888</v>
      </c>
      <c r="B1410" t="n">
        <v>1.95</v>
      </c>
    </row>
    <row r="1411">
      <c r="A1411" s="21" t="n">
        <v>45889</v>
      </c>
      <c r="B1411" t="n">
        <v>1.94</v>
      </c>
    </row>
    <row r="1412">
      <c r="A1412" s="21" t="n">
        <v>45890</v>
      </c>
      <c r="B1412" t="n">
        <v>1.94</v>
      </c>
    </row>
    <row r="1413">
      <c r="A1413" s="21" t="n">
        <v>45891</v>
      </c>
      <c r="B1413" t="n">
        <v>1.85</v>
      </c>
    </row>
    <row r="1414">
      <c r="A1414" s="21" t="n">
        <v>45894</v>
      </c>
      <c r="B1414" t="n">
        <v>1.87</v>
      </c>
    </row>
    <row r="1415">
      <c r="A1415" s="21" t="n">
        <v>45895</v>
      </c>
      <c r="B1415" t="n">
        <v>1.84</v>
      </c>
    </row>
    <row r="1416">
      <c r="A1416" s="21" t="n">
        <v>45896</v>
      </c>
      <c r="B1416" t="n">
        <v>1.81</v>
      </c>
    </row>
    <row r="1417">
      <c r="A1417" s="21" t="n">
        <v>45897</v>
      </c>
      <c r="B1417" t="n">
        <v>1.81</v>
      </c>
    </row>
    <row r="1418">
      <c r="A1418" s="21" t="n">
        <v>45898</v>
      </c>
      <c r="B1418" t="n">
        <v>1.82</v>
      </c>
    </row>
    <row r="1419">
      <c r="A1419" s="21" t="n">
        <v>45902</v>
      </c>
      <c r="B1419" t="n">
        <v>1.87</v>
      </c>
    </row>
    <row r="1420">
      <c r="A1420" s="21" t="n">
        <v>45903</v>
      </c>
      <c r="B1420" t="n">
        <v>1.82</v>
      </c>
    </row>
    <row r="1421">
      <c r="A1421" s="21" t="n">
        <v>45904</v>
      </c>
      <c r="B1421" t="n">
        <v>1.79</v>
      </c>
    </row>
    <row r="1422">
      <c r="A1422" s="21" t="n">
        <v>45905</v>
      </c>
      <c r="B1422" t="n">
        <v>1.73</v>
      </c>
    </row>
    <row r="1423">
      <c r="A1423" s="21" t="n">
        <v>45908</v>
      </c>
      <c r="B1423" t="n">
        <v>1.7</v>
      </c>
    </row>
    <row r="1424">
      <c r="A1424" s="21" t="n">
        <v>45909</v>
      </c>
      <c r="B1424" t="n">
        <v>1.72</v>
      </c>
    </row>
    <row r="1425">
      <c r="A1425" s="21" t="n">
        <v>45910</v>
      </c>
      <c r="B1425" t="n">
        <v>1.69</v>
      </c>
    </row>
    <row r="1426">
      <c r="A1426" s="21" t="n">
        <v>45911</v>
      </c>
      <c r="B1426" t="n">
        <v>1.67</v>
      </c>
    </row>
    <row r="1427">
      <c r="A1427" s="21" t="n">
        <v>45912</v>
      </c>
      <c r="B1427" t="n">
        <v>1.7</v>
      </c>
    </row>
    <row r="1428">
      <c r="A1428" s="21" t="n">
        <v>45915</v>
      </c>
      <c r="B1428" t="n">
        <v>1.68</v>
      </c>
    </row>
    <row r="1429">
      <c r="A1429" s="21" t="n">
        <v>45916</v>
      </c>
      <c r="B1429" t="n">
        <v>1.67</v>
      </c>
    </row>
    <row r="1430">
      <c r="A1430" s="21" t="n">
        <v>45917</v>
      </c>
      <c r="B1430" t="n">
        <v>1.68</v>
      </c>
    </row>
    <row r="1431">
      <c r="A1431" s="21" t="n">
        <v>45918</v>
      </c>
      <c r="B1431" t="n">
        <v>1.73</v>
      </c>
    </row>
    <row r="1432">
      <c r="A1432" s="21" t="n">
        <v>45919</v>
      </c>
      <c r="B1432" t="n">
        <v>1.75</v>
      </c>
    </row>
    <row r="1433">
      <c r="A1433" s="21" t="n">
        <v>45922</v>
      </c>
      <c r="B1433" t="n">
        <v>1.78</v>
      </c>
    </row>
    <row r="1434">
      <c r="A1434" s="21" t="n">
        <v>45923</v>
      </c>
      <c r="B1434" t="n">
        <v>1.75</v>
      </c>
    </row>
    <row r="1435">
      <c r="A1435" s="21" t="n">
        <v>45924</v>
      </c>
      <c r="B1435" t="n">
        <v>1.78</v>
      </c>
    </row>
    <row r="1436">
      <c r="A1436" s="21" t="n">
        <v>45925</v>
      </c>
      <c r="B1436" t="n">
        <v>1.8</v>
      </c>
    </row>
    <row r="1437">
      <c r="A1437" s="21" t="n">
        <v>45926</v>
      </c>
      <c r="B1437" t="n">
        <v>1.82</v>
      </c>
    </row>
    <row r="1438">
      <c r="A1438" s="21" t="n">
        <v>45929</v>
      </c>
      <c r="B1438" t="n">
        <v>1.8</v>
      </c>
    </row>
    <row r="1439">
      <c r="A1439" s="21" t="n">
        <v>45930</v>
      </c>
      <c r="B1439" t="n">
        <v>1.8</v>
      </c>
    </row>
    <row r="1440">
      <c r="A1440" s="21" t="n">
        <v>45931</v>
      </c>
      <c r="B1440" t="n">
        <v>1.77</v>
      </c>
    </row>
    <row r="1441">
      <c r="A1441" s="21" t="n">
        <v>45932</v>
      </c>
      <c r="B1441" t="n">
        <v>1.76</v>
      </c>
    </row>
    <row r="1442">
      <c r="A1442" s="21" t="n">
        <v>45933</v>
      </c>
      <c r="B1442" t="n">
        <v>1.8</v>
      </c>
    </row>
    <row r="1443">
      <c r="A1443" s="21" t="n">
        <v>45936</v>
      </c>
      <c r="B1443" t="n">
        <v>1.84</v>
      </c>
    </row>
    <row r="1444">
      <c r="A1444" s="21" t="n">
        <v>45937</v>
      </c>
      <c r="B1444" t="n">
        <v>1.79</v>
      </c>
    </row>
    <row r="1445">
      <c r="A1445" s="21" t="n">
        <v>45938</v>
      </c>
      <c r="B1445" t="n">
        <v>1.78</v>
      </c>
    </row>
    <row r="1446">
      <c r="A1446" s="21" t="n">
        <v>45939</v>
      </c>
      <c r="B1446" t="n">
        <v>1.8</v>
      </c>
    </row>
    <row r="1447">
      <c r="A1447" s="21" t="n">
        <v>45940</v>
      </c>
      <c r="B1447" t="n">
        <v>1.75</v>
      </c>
    </row>
    <row r="1448">
      <c r="A1448" s="21" t="n">
        <v>45944</v>
      </c>
      <c r="B1448" t="n">
        <v>1.73</v>
      </c>
    </row>
    <row r="1449">
      <c r="A1449" s="21" t="n">
        <v>45945</v>
      </c>
      <c r="B1449" t="n">
        <v>1.76</v>
      </c>
    </row>
    <row r="1450">
      <c r="A1450" s="21" t="n">
        <v>45946</v>
      </c>
      <c r="B1450" t="n">
        <v>1.71</v>
      </c>
    </row>
    <row r="1451">
      <c r="A1451" s="21" t="n">
        <v>45947</v>
      </c>
      <c r="B1451" t="n">
        <v>1.75</v>
      </c>
    </row>
    <row r="1452">
      <c r="A1452" s="21" t="n">
        <v>45950</v>
      </c>
      <c r="B1452" t="n">
        <v>1.74</v>
      </c>
    </row>
    <row r="1453">
      <c r="A1453" s="21" t="n">
        <v>45951</v>
      </c>
      <c r="B1453" t="n">
        <v>1.7</v>
      </c>
    </row>
    <row r="1454">
      <c r="A1454" s="21" t="n">
        <v>45952</v>
      </c>
      <c r="B1454" t="n">
        <v>1.68</v>
      </c>
    </row>
    <row r="1455">
      <c r="A1455" s="21" t="n">
        <v>45953</v>
      </c>
      <c r="B1455" t="n">
        <v>1.71</v>
      </c>
    </row>
    <row r="1456">
      <c r="A1456" s="21" t="n">
        <v>45954</v>
      </c>
      <c r="B1456" t="n">
        <v>1.73</v>
      </c>
    </row>
    <row r="1457">
      <c r="A1457" s="21" t="n">
        <v>45957</v>
      </c>
      <c r="B1457" t="n">
        <v>1.73</v>
      </c>
    </row>
    <row r="1458">
      <c r="A1458" s="21" t="n">
        <v>45958</v>
      </c>
      <c r="B1458" t="n">
        <v>1.71</v>
      </c>
    </row>
    <row r="1459">
      <c r="A1459" s="21" t="n">
        <v>45959</v>
      </c>
      <c r="B1459" t="n">
        <v>1.78</v>
      </c>
    </row>
    <row r="1460">
      <c r="A1460" s="21" t="n">
        <v>45960</v>
      </c>
      <c r="B1460" t="n">
        <v>1.82</v>
      </c>
    </row>
    <row r="1461">
      <c r="A1461" s="21" t="n">
        <v>45961</v>
      </c>
      <c r="B1461" t="n">
        <v>1.81</v>
      </c>
    </row>
    <row r="1462">
      <c r="A1462" s="21" t="n">
        <v>45964</v>
      </c>
      <c r="B1462" t="n">
        <v>1.82</v>
      </c>
    </row>
    <row r="1463">
      <c r="A1463" s="21" t="n">
        <v>45965</v>
      </c>
      <c r="B1463" t="n">
        <v>1.81</v>
      </c>
    </row>
    <row r="1464">
      <c r="A1464" s="21" t="n">
        <v>45966</v>
      </c>
      <c r="B1464" t="n">
        <v>1.87</v>
      </c>
    </row>
    <row r="1465">
      <c r="A1465" s="21" t="n">
        <v>45967</v>
      </c>
      <c r="B1465" t="n">
        <v>1.83</v>
      </c>
    </row>
    <row r="1466">
      <c r="A1466" s="21" t="n">
        <v>45968</v>
      </c>
      <c r="B1466" t="n">
        <v>1.83</v>
      </c>
    </row>
    <row r="1467">
      <c r="A1467" s="21" t="n">
        <v>45971</v>
      </c>
      <c r="B1467" t="n">
        <v>1.84</v>
      </c>
    </row>
    <row r="1468">
      <c r="A1468" s="21" t="n">
        <v>45973</v>
      </c>
      <c r="B1468" t="n">
        <v>1.81</v>
      </c>
    </row>
    <row r="1469">
      <c r="A1469" s="21" t="n">
        <v>45974</v>
      </c>
      <c r="B1469" t="n">
        <v>1.83</v>
      </c>
    </row>
    <row r="1470">
      <c r="A1470" s="21" t="n">
        <v>45975</v>
      </c>
      <c r="B1470" t="n">
        <v>1.86</v>
      </c>
    </row>
    <row r="1471">
      <c r="A1471" s="21" t="n">
        <v>45978</v>
      </c>
      <c r="B1471" t="n">
        <v>1.85</v>
      </c>
    </row>
    <row r="1472">
      <c r="A1472" s="21" t="n">
        <v>45979</v>
      </c>
      <c r="B1472" t="n">
        <v>1.85</v>
      </c>
    </row>
    <row r="1473">
      <c r="A1473" s="21" t="n">
        <v>45980</v>
      </c>
      <c r="B1473" t="n">
        <v>1.86</v>
      </c>
    </row>
    <row r="1474">
      <c r="A1474" s="21" t="n">
        <v>45981</v>
      </c>
      <c r="B1474" t="n">
        <v>1.86</v>
      </c>
    </row>
    <row r="1475">
      <c r="A1475" s="21" t="n">
        <v>45982</v>
      </c>
      <c r="B1475" t="n">
        <v>1.82</v>
      </c>
    </row>
    <row r="1476">
      <c r="A1476" s="21" t="n">
        <v>45985</v>
      </c>
      <c r="B1476" t="n">
        <v>1.81</v>
      </c>
    </row>
    <row r="1477">
      <c r="A1477" s="21" t="n">
        <v>45986</v>
      </c>
      <c r="B1477" t="n">
        <v>1.79</v>
      </c>
    </row>
    <row r="1478">
      <c r="A1478" s="21" t="n">
        <v>45987</v>
      </c>
      <c r="B1478" t="n">
        <v>1.77</v>
      </c>
    </row>
    <row r="1479">
      <c r="A1479" s="21" t="n">
        <v>45989</v>
      </c>
      <c r="B1479" t="n">
        <v>1.79</v>
      </c>
    </row>
    <row r="1480">
      <c r="A1480" s="21" t="n">
        <v>45992</v>
      </c>
      <c r="B1480" t="n">
        <v>1.85</v>
      </c>
    </row>
    <row r="1481">
      <c r="A1481" s="21" t="n">
        <v>45993</v>
      </c>
      <c r="B1481" t="n">
        <v>1.85</v>
      </c>
    </row>
    <row r="1482">
      <c r="A1482" s="21" t="n">
        <v>45994</v>
      </c>
      <c r="B1482" t="n">
        <v>1.82</v>
      </c>
    </row>
    <row r="1483">
      <c r="A1483" s="21" t="n">
        <v>45995</v>
      </c>
      <c r="B1483" t="n">
        <v>1.85</v>
      </c>
    </row>
    <row r="1484">
      <c r="A1484" s="21" t="n">
        <v>45996</v>
      </c>
      <c r="B1484" t="n">
        <v>1.88</v>
      </c>
    </row>
    <row r="1485">
      <c r="A1485" s="21" t="n">
        <v>45999</v>
      </c>
      <c r="B1485" t="n">
        <v>1.91</v>
      </c>
    </row>
    <row r="1486">
      <c r="A1486" s="21" t="n">
        <v>46000</v>
      </c>
      <c r="B1486" t="n">
        <v>1.92</v>
      </c>
    </row>
    <row r="1487">
      <c r="A1487" s="21" t="n">
        <v>46001</v>
      </c>
      <c r="B1487" t="n">
        <v>1.88</v>
      </c>
    </row>
    <row r="1488">
      <c r="A1488" s="21" t="n">
        <v>46002</v>
      </c>
      <c r="B1488" t="n">
        <v>1.89</v>
      </c>
    </row>
    <row r="1489">
      <c r="A1489" s="21" t="n">
        <v>46003</v>
      </c>
      <c r="B1489" t="n">
        <v>1.93</v>
      </c>
    </row>
    <row r="1490">
      <c r="A1490" s="21" t="n">
        <v>46006</v>
      </c>
      <c r="B1490" t="n">
        <v>1.93</v>
      </c>
    </row>
    <row r="1491">
      <c r="A1491" s="21" t="n">
        <v>46007</v>
      </c>
      <c r="B1491" t="n">
        <v>1.92</v>
      </c>
    </row>
    <row r="1492">
      <c r="A1492" s="21" t="n">
        <v>46008</v>
      </c>
      <c r="B1492" t="n">
        <v>1.92</v>
      </c>
    </row>
    <row r="1493">
      <c r="A1493" s="21" t="n">
        <v>46009</v>
      </c>
      <c r="B1493" t="n">
        <v>1.88</v>
      </c>
    </row>
    <row r="1494">
      <c r="A1494" s="21" t="n">
        <v>46010</v>
      </c>
      <c r="B1494" t="n">
        <v>1.92</v>
      </c>
    </row>
    <row r="1495">
      <c r="A1495" s="21" t="n">
        <v>46013</v>
      </c>
      <c r="B1495" t="n">
        <v>1.94</v>
      </c>
    </row>
    <row r="1496">
      <c r="A1496" s="21" t="n">
        <v>46014</v>
      </c>
      <c r="B1496" t="n">
        <v>1.94</v>
      </c>
    </row>
    <row r="1497">
      <c r="A1497" s="21" t="n">
        <v>46015</v>
      </c>
      <c r="B1497" t="n">
        <v>1.91</v>
      </c>
    </row>
    <row r="1498">
      <c r="A1498" s="21" t="n">
        <v>46017</v>
      </c>
      <c r="B1498" t="n">
        <v>1.91</v>
      </c>
    </row>
    <row r="1499">
      <c r="A1499" s="21" t="n">
        <v>46020</v>
      </c>
      <c r="B1499" t="n">
        <v>1.9</v>
      </c>
    </row>
    <row r="1500">
      <c r="A1500" s="21" t="n">
        <v>46021</v>
      </c>
      <c r="B1500" t="n">
        <v>1.9</v>
      </c>
    </row>
    <row r="1501">
      <c r="A1501" s="21" t="n">
        <v>46022</v>
      </c>
      <c r="B1501" t="n">
        <v>1.93</v>
      </c>
    </row>
    <row r="1502">
      <c r="A1502" s="21" t="n">
        <v>46024</v>
      </c>
      <c r="B1502" t="n">
        <v>1.94</v>
      </c>
    </row>
    <row r="1503">
      <c r="A1503" s="21" t="n">
        <v>46027</v>
      </c>
      <c r="B1503" t="n">
        <v>1.91</v>
      </c>
    </row>
    <row r="1504">
      <c r="A1504" s="21" t="n">
        <v>46028</v>
      </c>
      <c r="B1504" t="n">
        <v>1.91</v>
      </c>
    </row>
    <row r="1505">
      <c r="A1505" s="21" t="n">
        <v>46029</v>
      </c>
      <c r="B1505" t="n">
        <v>1.88</v>
      </c>
    </row>
    <row r="1506">
      <c r="A1506" s="21" t="n">
        <v>46030</v>
      </c>
      <c r="B1506" t="n">
        <v>1.92</v>
      </c>
    </row>
    <row r="1507">
      <c r="A1507" s="21" t="n">
        <v>46031</v>
      </c>
      <c r="B1507" t="n">
        <v>1.9</v>
      </c>
    </row>
    <row r="1508">
      <c r="A1508" s="21" t="n">
        <v>46034</v>
      </c>
      <c r="B1508" t="n">
        <v>1.9</v>
      </c>
    </row>
    <row r="1509">
      <c r="A1509" s="21" t="n">
        <v>46035</v>
      </c>
      <c r="B1509" t="n">
        <v>1.88</v>
      </c>
    </row>
    <row r="1510">
      <c r="A1510" s="21" t="n">
        <v>46036</v>
      </c>
      <c r="B1510" t="n">
        <v>1.86</v>
      </c>
    </row>
    <row r="1511">
      <c r="A1511" s="21" t="n">
        <v>46037</v>
      </c>
      <c r="B1511" t="n">
        <v>1.88</v>
      </c>
    </row>
    <row r="1512">
      <c r="A1512" s="21" t="n">
        <v>46038</v>
      </c>
      <c r="B1512" t="n">
        <v>1.91</v>
      </c>
    </row>
    <row r="1513">
      <c r="A1513" s="21" t="n">
        <v>46042</v>
      </c>
      <c r="B1513" t="n">
        <v>1.97</v>
      </c>
    </row>
    <row r="1514">
      <c r="A1514" s="21" t="n">
        <v>46043</v>
      </c>
      <c r="B1514" t="n">
        <v>1.92</v>
      </c>
    </row>
    <row r="1515">
      <c r="A1515" s="21" t="n">
        <v>46044</v>
      </c>
      <c r="B1515" t="n">
        <v>1.95</v>
      </c>
    </row>
    <row r="1516">
      <c r="A1516" s="21" t="n">
        <v>46045</v>
      </c>
      <c r="B1516" t="n">
        <v>1.92</v>
      </c>
    </row>
    <row r="1517">
      <c r="A1517" s="21" t="n">
        <v>46048</v>
      </c>
      <c r="B1517" t="n">
        <v>1.9</v>
      </c>
    </row>
    <row r="1518">
      <c r="A1518" s="21" t="n">
        <v>46049</v>
      </c>
      <c r="B1518" t="n">
        <v>1.9</v>
      </c>
    </row>
    <row r="1519">
      <c r="A1519" s="21" t="n">
        <v>46050</v>
      </c>
      <c r="B1519" t="n">
        <v>1.9</v>
      </c>
    </row>
    <row r="1520">
      <c r="A1520" s="21" t="n">
        <v>46051</v>
      </c>
      <c r="B1520" t="n">
        <v>1.89</v>
      </c>
    </row>
    <row r="1521">
      <c r="A1521" s="21" t="n">
        <v>46052</v>
      </c>
      <c r="B1521" t="n">
        <v>1.9</v>
      </c>
    </row>
    <row r="1522">
      <c r="A1522" s="21" t="n">
        <v>46055</v>
      </c>
      <c r="B1522" t="n">
        <v>1.94</v>
      </c>
    </row>
    <row r="1523">
      <c r="A1523" s="21" t="n">
        <v>46056</v>
      </c>
      <c r="B1523" t="n">
        <v>1.92</v>
      </c>
    </row>
    <row r="1524">
      <c r="A1524" s="21" t="n">
        <v>46057</v>
      </c>
      <c r="B1524" t="n">
        <v>1.94</v>
      </c>
    </row>
    <row r="1525">
      <c r="A1525" s="21" t="n">
        <v>46058</v>
      </c>
      <c r="B1525" t="n">
        <v>1.89</v>
      </c>
    </row>
    <row r="1526">
      <c r="A1526" s="21" t="n">
        <v>46059</v>
      </c>
      <c r="B1526" t="n">
        <v>1.88</v>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320"/>
  <sheetViews>
    <sheetView topLeftCell="A266" workbookViewId="0">
      <selection activeCell="A290" sqref="A290:A320"/>
    </sheetView>
  </sheetViews>
  <sheetFormatPr baseColWidth="8" defaultRowHeight="14.4"/>
  <cols>
    <col width="12.88671875" bestFit="1" customWidth="1" style="25" min="1" max="1"/>
    <col width="10.5546875" bestFit="1" customWidth="1" style="25" min="2" max="2"/>
  </cols>
  <sheetData>
    <row r="1">
      <c r="A1" t="inlineStr">
        <is>
          <t>date</t>
        </is>
      </c>
      <c r="B1" t="inlineStr">
        <is>
          <t>value</t>
        </is>
      </c>
    </row>
    <row r="2">
      <c r="A2" s="21" t="n">
        <v>43831</v>
      </c>
      <c r="B2" t="n">
        <v>3825.53</v>
      </c>
    </row>
    <row r="3">
      <c r="A3" s="21" t="n">
        <v>43838</v>
      </c>
      <c r="B3" t="n">
        <v>3670.02</v>
      </c>
    </row>
    <row r="4">
      <c r="A4" s="21" t="n">
        <v>43845</v>
      </c>
      <c r="B4" t="n">
        <v>3509.87</v>
      </c>
    </row>
    <row r="5">
      <c r="A5" s="21" t="n">
        <v>43852</v>
      </c>
      <c r="B5" t="n">
        <v>4039.41</v>
      </c>
    </row>
    <row r="6">
      <c r="A6" s="21" t="n">
        <v>43859</v>
      </c>
      <c r="B6" t="n">
        <v>4320.61</v>
      </c>
    </row>
    <row r="7">
      <c r="A7" s="21" t="n">
        <v>43866</v>
      </c>
      <c r="B7" t="n">
        <v>4133.22</v>
      </c>
    </row>
    <row r="8">
      <c r="A8" s="21" t="n">
        <v>43873</v>
      </c>
      <c r="B8" t="n">
        <v>4112.37</v>
      </c>
    </row>
    <row r="9">
      <c r="A9" s="21" t="n">
        <v>43880</v>
      </c>
      <c r="B9" t="n">
        <v>4288.05</v>
      </c>
    </row>
    <row r="10">
      <c r="A10" s="21" t="n">
        <v>43887</v>
      </c>
      <c r="B10" t="n">
        <v>4393.65</v>
      </c>
    </row>
    <row r="11">
      <c r="A11" s="21" t="n">
        <v>43894</v>
      </c>
      <c r="B11" t="n">
        <v>3745.15</v>
      </c>
    </row>
    <row r="12">
      <c r="A12" s="21" t="n">
        <v>43901</v>
      </c>
      <c r="B12" t="n">
        <v>3805.56</v>
      </c>
    </row>
    <row r="13">
      <c r="A13" s="21" t="n">
        <v>43908</v>
      </c>
      <c r="B13" t="n">
        <v>3625.76</v>
      </c>
    </row>
    <row r="14">
      <c r="A14" s="21" t="n">
        <v>43915</v>
      </c>
      <c r="B14" t="n">
        <v>3902.52</v>
      </c>
    </row>
    <row r="15">
      <c r="A15" s="21" t="n">
        <v>43922</v>
      </c>
      <c r="B15" t="n">
        <v>4292.67</v>
      </c>
    </row>
    <row r="16">
      <c r="A16" s="21" t="n">
        <v>43929</v>
      </c>
      <c r="B16" t="n">
        <v>6985.78</v>
      </c>
    </row>
    <row r="17">
      <c r="A17" s="21" t="n">
        <v>43936</v>
      </c>
      <c r="B17" t="n">
        <v>8898.15</v>
      </c>
    </row>
    <row r="18">
      <c r="A18" s="21" t="n">
        <v>43943</v>
      </c>
      <c r="B18" t="n">
        <v>9013.309999999999</v>
      </c>
    </row>
    <row r="19">
      <c r="A19" s="21" t="n">
        <v>43950</v>
      </c>
      <c r="B19" t="n">
        <v>9975.07</v>
      </c>
    </row>
    <row r="20">
      <c r="A20" s="21" t="n">
        <v>43957</v>
      </c>
      <c r="B20" t="n">
        <v>11274.9</v>
      </c>
    </row>
    <row r="21">
      <c r="A21" s="21" t="n">
        <v>43964</v>
      </c>
      <c r="B21" t="n">
        <v>11774.94</v>
      </c>
    </row>
    <row r="22">
      <c r="A22" s="21" t="n">
        <v>43971</v>
      </c>
      <c r="B22" t="n">
        <v>11944.1</v>
      </c>
    </row>
    <row r="23">
      <c r="A23" s="21" t="n">
        <v>43978</v>
      </c>
      <c r="B23" t="n">
        <v>13104.91</v>
      </c>
    </row>
    <row r="24">
      <c r="A24" s="21" t="n">
        <v>43985</v>
      </c>
      <c r="B24" t="n">
        <v>14348.23</v>
      </c>
    </row>
    <row r="25">
      <c r="A25" s="21" t="n">
        <v>43992</v>
      </c>
      <c r="B25" t="n">
        <v>15065.58</v>
      </c>
    </row>
    <row r="26">
      <c r="A26" s="21" t="n">
        <v>43999</v>
      </c>
      <c r="B26" t="n">
        <v>15608.5</v>
      </c>
    </row>
    <row r="27">
      <c r="A27" s="21" t="n">
        <v>44006</v>
      </c>
      <c r="B27" t="n">
        <v>16239.42</v>
      </c>
    </row>
    <row r="28">
      <c r="A28" s="21" t="n">
        <v>44013</v>
      </c>
      <c r="B28" t="n">
        <v>16576.2</v>
      </c>
    </row>
    <row r="29">
      <c r="A29" s="21" t="n">
        <v>44020</v>
      </c>
      <c r="B29" t="n">
        <v>16530.98</v>
      </c>
    </row>
    <row r="30">
      <c r="A30" s="21" t="n">
        <v>44027</v>
      </c>
      <c r="B30" t="n">
        <v>16553.2</v>
      </c>
    </row>
    <row r="31">
      <c r="A31" s="21" t="n">
        <v>44034</v>
      </c>
      <c r="B31" t="n">
        <v>18049.44</v>
      </c>
    </row>
    <row r="32">
      <c r="A32" s="21" t="n">
        <v>44041</v>
      </c>
      <c r="B32" t="n">
        <v>18166.87</v>
      </c>
    </row>
    <row r="33">
      <c r="A33" s="21" t="n">
        <v>44048</v>
      </c>
      <c r="B33" t="n">
        <v>17452.28</v>
      </c>
    </row>
    <row r="34">
      <c r="A34" s="21" t="n">
        <v>44055</v>
      </c>
      <c r="B34" t="n">
        <v>16697.33</v>
      </c>
    </row>
    <row r="35">
      <c r="A35" s="21" t="n">
        <v>44062</v>
      </c>
      <c r="B35" t="n">
        <v>16435.05</v>
      </c>
    </row>
    <row r="36">
      <c r="A36" s="21" t="n">
        <v>44069</v>
      </c>
      <c r="B36" t="n">
        <v>16226.9</v>
      </c>
    </row>
    <row r="37">
      <c r="A37" s="21" t="n">
        <v>44076</v>
      </c>
      <c r="B37" t="n">
        <v>16391.59</v>
      </c>
    </row>
    <row r="38">
      <c r="A38" s="21" t="n">
        <v>44083</v>
      </c>
      <c r="B38" t="n">
        <v>16110.83</v>
      </c>
    </row>
    <row r="39">
      <c r="A39" s="21" t="n">
        <v>44090</v>
      </c>
      <c r="B39" t="n">
        <v>16148.55</v>
      </c>
    </row>
    <row r="40">
      <c r="A40" s="21" t="n">
        <v>44097</v>
      </c>
      <c r="B40" t="n">
        <v>16806.88</v>
      </c>
    </row>
    <row r="41">
      <c r="A41" s="21" t="n">
        <v>44104</v>
      </c>
      <c r="B41" t="n">
        <v>16791.52</v>
      </c>
    </row>
    <row r="42">
      <c r="A42" s="21" t="n">
        <v>44111</v>
      </c>
      <c r="B42" t="n">
        <v>16970.74</v>
      </c>
    </row>
    <row r="43">
      <c r="A43" s="21" t="n">
        <v>44118</v>
      </c>
      <c r="B43" t="n">
        <v>16809.98</v>
      </c>
    </row>
    <row r="44">
      <c r="A44" s="21" t="n">
        <v>44125</v>
      </c>
      <c r="B44" t="n">
        <v>17247.92</v>
      </c>
    </row>
    <row r="45">
      <c r="A45" s="21" t="n">
        <v>44132</v>
      </c>
      <c r="B45" t="n">
        <v>16809.33</v>
      </c>
    </row>
    <row r="46">
      <c r="A46" s="21" t="n">
        <v>44139</v>
      </c>
      <c r="B46" t="n">
        <v>16213.46</v>
      </c>
    </row>
    <row r="47">
      <c r="A47" s="21" t="n">
        <v>44146</v>
      </c>
      <c r="B47" t="n">
        <v>16008.37</v>
      </c>
    </row>
    <row r="48">
      <c r="A48" s="21" t="n">
        <v>44153</v>
      </c>
      <c r="B48" t="n">
        <v>15568.92</v>
      </c>
    </row>
    <row r="49">
      <c r="A49" s="21" t="n">
        <v>44160</v>
      </c>
      <c r="B49" t="n">
        <v>15172.15</v>
      </c>
    </row>
    <row r="50">
      <c r="A50" s="21" t="n">
        <v>44167</v>
      </c>
      <c r="B50" t="n">
        <v>15310.53</v>
      </c>
    </row>
    <row r="51">
      <c r="A51" s="21" t="n">
        <v>44174</v>
      </c>
      <c r="B51" t="n">
        <v>15342.43</v>
      </c>
    </row>
    <row r="52">
      <c r="A52" s="21" t="n">
        <v>44181</v>
      </c>
      <c r="B52" t="n">
        <v>15296.98</v>
      </c>
    </row>
    <row r="53">
      <c r="A53" s="21" t="n">
        <v>44188</v>
      </c>
      <c r="B53" t="n">
        <v>16024.07</v>
      </c>
    </row>
    <row r="54">
      <c r="A54" s="21" t="n">
        <v>44195</v>
      </c>
      <c r="B54" t="n">
        <v>15910.55</v>
      </c>
    </row>
    <row r="55">
      <c r="A55" s="21" t="n">
        <v>44202</v>
      </c>
      <c r="B55" t="n">
        <v>16693.27</v>
      </c>
    </row>
    <row r="56">
      <c r="A56" s="21" t="n">
        <v>44209</v>
      </c>
      <c r="B56" t="n">
        <v>15894.21</v>
      </c>
    </row>
    <row r="57">
      <c r="A57" s="21" t="n">
        <v>44216</v>
      </c>
      <c r="B57" t="n">
        <v>16269.06</v>
      </c>
    </row>
    <row r="58">
      <c r="A58" s="21" t="n">
        <v>44223</v>
      </c>
      <c r="B58" t="n">
        <v>16335.4</v>
      </c>
    </row>
    <row r="59">
      <c r="A59" s="21" t="n">
        <v>44230</v>
      </c>
      <c r="B59" t="n">
        <v>16253.25</v>
      </c>
    </row>
    <row r="60">
      <c r="A60" s="21" t="n">
        <v>44237</v>
      </c>
      <c r="B60" t="n">
        <v>16089.06</v>
      </c>
    </row>
    <row r="61">
      <c r="A61" s="21" t="n">
        <v>44244</v>
      </c>
      <c r="B61" t="n">
        <v>15670.41</v>
      </c>
    </row>
    <row r="62">
      <c r="A62" s="21" t="n">
        <v>44251</v>
      </c>
      <c r="B62" t="n">
        <v>15299.77</v>
      </c>
    </row>
    <row r="63">
      <c r="A63" s="21" t="n">
        <v>44258</v>
      </c>
      <c r="B63" t="n">
        <v>14295.49</v>
      </c>
    </row>
    <row r="64">
      <c r="A64" s="21" t="n">
        <v>44265</v>
      </c>
      <c r="B64" t="n">
        <v>13600.64</v>
      </c>
    </row>
    <row r="65">
      <c r="A65" s="21" t="n">
        <v>44272</v>
      </c>
      <c r="B65" t="n">
        <v>12725.83</v>
      </c>
    </row>
    <row r="66">
      <c r="A66" s="21" t="n">
        <v>44279</v>
      </c>
      <c r="B66" t="n">
        <v>10611.38</v>
      </c>
    </row>
    <row r="67">
      <c r="A67" s="21" t="n">
        <v>44286</v>
      </c>
      <c r="B67" t="n">
        <v>10257.27</v>
      </c>
    </row>
    <row r="68">
      <c r="A68" s="21" t="n">
        <v>44293</v>
      </c>
      <c r="B68" t="n">
        <v>10101.03</v>
      </c>
    </row>
    <row r="69">
      <c r="A69" s="21" t="n">
        <v>44300</v>
      </c>
      <c r="B69" t="n">
        <v>9250.940000000001</v>
      </c>
    </row>
    <row r="70">
      <c r="A70" s="21" t="n">
        <v>44307</v>
      </c>
      <c r="B70" t="n">
        <v>10159.02</v>
      </c>
    </row>
    <row r="71">
      <c r="A71" s="21" t="n">
        <v>44314</v>
      </c>
      <c r="B71" t="n">
        <v>9676.889999999999</v>
      </c>
    </row>
    <row r="72">
      <c r="A72" s="21" t="n">
        <v>44321</v>
      </c>
      <c r="B72" t="n">
        <v>9536.889999999999</v>
      </c>
    </row>
    <row r="73">
      <c r="A73" s="21" t="n">
        <v>44328</v>
      </c>
      <c r="B73" t="n">
        <v>8987.790000000001</v>
      </c>
    </row>
    <row r="74">
      <c r="A74" s="21" t="n">
        <v>44335</v>
      </c>
      <c r="B74" t="n">
        <v>8661.190000000001</v>
      </c>
    </row>
    <row r="75">
      <c r="A75" s="21" t="n">
        <v>44342</v>
      </c>
      <c r="B75" t="n">
        <v>8124.73</v>
      </c>
    </row>
    <row r="76">
      <c r="A76" s="21" t="n">
        <v>44349</v>
      </c>
      <c r="B76" t="n">
        <v>7832.35</v>
      </c>
    </row>
    <row r="77">
      <c r="A77" s="21" t="n">
        <v>44356</v>
      </c>
      <c r="B77" t="n">
        <v>7302.35</v>
      </c>
    </row>
    <row r="78">
      <c r="A78" s="21" t="n">
        <v>44363</v>
      </c>
      <c r="B78" t="n">
        <v>6538.89</v>
      </c>
    </row>
    <row r="79">
      <c r="A79" s="21" t="n">
        <v>44370</v>
      </c>
      <c r="B79" t="n">
        <v>7346.89</v>
      </c>
    </row>
    <row r="80">
      <c r="A80" s="21" t="n">
        <v>44377</v>
      </c>
      <c r="B80" t="n">
        <v>7459.62</v>
      </c>
    </row>
    <row r="81">
      <c r="A81" s="21" t="n">
        <v>44384</v>
      </c>
      <c r="B81" t="n">
        <v>7533.64</v>
      </c>
    </row>
    <row r="82">
      <c r="A82" s="21" t="n">
        <v>44391</v>
      </c>
      <c r="B82" t="n">
        <v>7049.18</v>
      </c>
    </row>
    <row r="83">
      <c r="A83" s="21" t="n">
        <v>44398</v>
      </c>
      <c r="B83" t="n">
        <v>6781.03</v>
      </c>
    </row>
    <row r="84">
      <c r="A84" s="21" t="n">
        <v>44405</v>
      </c>
      <c r="B84" t="n">
        <v>5782.04</v>
      </c>
    </row>
    <row r="85">
      <c r="A85" s="21" t="n">
        <v>44412</v>
      </c>
      <c r="B85" t="n">
        <v>4926.68</v>
      </c>
    </row>
    <row r="86">
      <c r="A86" s="21" t="n">
        <v>44419</v>
      </c>
      <c r="B86" t="n">
        <v>4349.19</v>
      </c>
    </row>
    <row r="87">
      <c r="A87" s="21" t="n">
        <v>44426</v>
      </c>
      <c r="B87" t="n">
        <v>3388.08</v>
      </c>
    </row>
    <row r="88">
      <c r="A88" s="21" t="n">
        <v>44433</v>
      </c>
      <c r="B88" t="n">
        <v>3014.3</v>
      </c>
    </row>
    <row r="89">
      <c r="A89" s="21" t="n">
        <v>44440</v>
      </c>
      <c r="B89" t="n">
        <v>2776.5</v>
      </c>
    </row>
    <row r="90">
      <c r="A90" s="21" t="n">
        <v>44447</v>
      </c>
      <c r="B90" t="n">
        <v>2534.96</v>
      </c>
    </row>
    <row r="91">
      <c r="A91" s="21" t="n">
        <v>44454</v>
      </c>
      <c r="B91" t="n">
        <v>2303.28</v>
      </c>
    </row>
    <row r="92">
      <c r="A92" s="21" t="n">
        <v>44461</v>
      </c>
      <c r="B92" t="n">
        <v>3080.22</v>
      </c>
    </row>
    <row r="93">
      <c r="A93" s="21" t="n">
        <v>44468</v>
      </c>
      <c r="B93" t="n">
        <v>1977.44</v>
      </c>
    </row>
    <row r="94">
      <c r="A94" s="21" t="n">
        <v>44475</v>
      </c>
      <c r="B94" t="n">
        <v>1355.82</v>
      </c>
    </row>
    <row r="95">
      <c r="A95" s="21" t="n">
        <v>44482</v>
      </c>
      <c r="B95" t="n">
        <v>778.58</v>
      </c>
    </row>
    <row r="96">
      <c r="A96" s="21" t="n">
        <v>44489</v>
      </c>
      <c r="B96" t="n">
        <v>833.86</v>
      </c>
    </row>
    <row r="97">
      <c r="A97" s="21" t="n">
        <v>44496</v>
      </c>
      <c r="B97" t="n">
        <v>2132.91</v>
      </c>
    </row>
    <row r="98">
      <c r="A98" s="21" t="n">
        <v>44503</v>
      </c>
      <c r="B98" t="n">
        <v>2802.05</v>
      </c>
    </row>
    <row r="99">
      <c r="A99" s="21" t="n">
        <v>44510</v>
      </c>
      <c r="B99" t="n">
        <v>2592.93</v>
      </c>
    </row>
    <row r="100">
      <c r="A100" s="21" t="n">
        <v>44517</v>
      </c>
      <c r="B100" t="n">
        <v>2114.53</v>
      </c>
    </row>
    <row r="101">
      <c r="A101" s="21" t="n">
        <v>44524</v>
      </c>
      <c r="B101" t="n">
        <v>1640.87</v>
      </c>
    </row>
    <row r="102">
      <c r="A102" s="21" t="n">
        <v>44531</v>
      </c>
      <c r="B102" t="n">
        <v>1526.51</v>
      </c>
    </row>
    <row r="103">
      <c r="A103" s="21" t="n">
        <v>44538</v>
      </c>
      <c r="B103" t="n">
        <v>1151.17</v>
      </c>
    </row>
    <row r="104">
      <c r="A104" s="21" t="n">
        <v>44545</v>
      </c>
      <c r="B104" t="n">
        <v>1047.98</v>
      </c>
    </row>
    <row r="105">
      <c r="A105" s="21" t="n">
        <v>44552</v>
      </c>
      <c r="B105" t="n">
        <v>849.54</v>
      </c>
    </row>
    <row r="106">
      <c r="A106" s="21" t="n">
        <v>44559</v>
      </c>
      <c r="B106" t="n">
        <v>2118.49</v>
      </c>
    </row>
    <row r="107">
      <c r="A107" s="21" t="n">
        <v>44566</v>
      </c>
      <c r="B107" t="n">
        <v>3897.51</v>
      </c>
    </row>
    <row r="108">
      <c r="A108" s="21" t="n">
        <v>44573</v>
      </c>
      <c r="B108" t="n">
        <v>4564.01</v>
      </c>
    </row>
    <row r="109">
      <c r="A109" s="21" t="n">
        <v>44580</v>
      </c>
      <c r="B109" t="n">
        <v>4886.97</v>
      </c>
    </row>
    <row r="110">
      <c r="A110" s="21" t="n">
        <v>44587</v>
      </c>
      <c r="B110" t="n">
        <v>6148.77</v>
      </c>
    </row>
    <row r="111">
      <c r="A111" s="21" t="n">
        <v>44594</v>
      </c>
      <c r="B111" t="n">
        <v>6757.73</v>
      </c>
    </row>
    <row r="112">
      <c r="A112" s="21" t="n">
        <v>44601</v>
      </c>
      <c r="B112" t="n">
        <v>6863.84</v>
      </c>
    </row>
    <row r="113">
      <c r="A113" s="21" t="n">
        <v>44608</v>
      </c>
      <c r="B113" t="n">
        <v>6925.41</v>
      </c>
    </row>
    <row r="114">
      <c r="A114" s="21" t="n">
        <v>44615</v>
      </c>
      <c r="B114" t="n">
        <v>6978.38</v>
      </c>
    </row>
    <row r="115">
      <c r="A115" s="21" t="n">
        <v>44622</v>
      </c>
      <c r="B115" t="n">
        <v>6829.03</v>
      </c>
    </row>
    <row r="116">
      <c r="A116" s="21" t="n">
        <v>44629</v>
      </c>
      <c r="B116" t="n">
        <v>6520.39</v>
      </c>
    </row>
    <row r="117">
      <c r="A117" s="21" t="n">
        <v>44636</v>
      </c>
      <c r="B117" t="n">
        <v>5706.06</v>
      </c>
    </row>
    <row r="118">
      <c r="A118" s="21" t="n">
        <v>44643</v>
      </c>
      <c r="B118" t="n">
        <v>6146.16</v>
      </c>
    </row>
    <row r="119">
      <c r="A119" s="21" t="n">
        <v>44650</v>
      </c>
      <c r="B119" t="n">
        <v>5750.65</v>
      </c>
    </row>
    <row r="120">
      <c r="A120" s="21" t="n">
        <v>44657</v>
      </c>
      <c r="B120" t="n">
        <v>5744.51</v>
      </c>
    </row>
    <row r="121">
      <c r="A121" s="21" t="n">
        <v>44664</v>
      </c>
      <c r="B121" t="n">
        <v>5473.08</v>
      </c>
    </row>
    <row r="122">
      <c r="A122" s="21" t="n">
        <v>44671</v>
      </c>
      <c r="B122" t="n">
        <v>7114.06</v>
      </c>
    </row>
    <row r="123">
      <c r="A123" s="21" t="n">
        <v>44678</v>
      </c>
      <c r="B123" t="n">
        <v>9443.280000000001</v>
      </c>
    </row>
    <row r="124">
      <c r="A124" s="21" t="n">
        <v>44685</v>
      </c>
      <c r="B124" t="n">
        <v>9454.780000000001</v>
      </c>
    </row>
    <row r="125">
      <c r="A125" s="21" t="n">
        <v>44692</v>
      </c>
      <c r="B125" t="n">
        <v>9456.58</v>
      </c>
    </row>
    <row r="126">
      <c r="A126" s="21" t="n">
        <v>44699</v>
      </c>
      <c r="B126" t="n">
        <v>8869.639999999999</v>
      </c>
    </row>
    <row r="127">
      <c r="A127" s="21" t="n">
        <v>44706</v>
      </c>
      <c r="B127" t="n">
        <v>8215.35</v>
      </c>
    </row>
    <row r="128">
      <c r="A128" s="21" t="n">
        <v>44713</v>
      </c>
      <c r="B128" t="n">
        <v>7895.32</v>
      </c>
    </row>
    <row r="129">
      <c r="A129" s="21" t="n">
        <v>44720</v>
      </c>
      <c r="B129" t="n">
        <v>7233.84</v>
      </c>
    </row>
    <row r="130">
      <c r="A130" s="21" t="n">
        <v>44727</v>
      </c>
      <c r="B130" t="n">
        <v>6568.7</v>
      </c>
    </row>
    <row r="131">
      <c r="A131" s="21" t="n">
        <v>44734</v>
      </c>
      <c r="B131" t="n">
        <v>7582.83</v>
      </c>
    </row>
    <row r="132">
      <c r="A132" s="21" t="n">
        <v>44741</v>
      </c>
      <c r="B132" t="n">
        <v>7566.27</v>
      </c>
    </row>
    <row r="133">
      <c r="A133" s="21" t="n">
        <v>44748</v>
      </c>
      <c r="B133" t="n">
        <v>7004.57</v>
      </c>
    </row>
    <row r="134">
      <c r="A134" s="21" t="n">
        <v>44755</v>
      </c>
      <c r="B134" t="n">
        <v>6525.72</v>
      </c>
    </row>
    <row r="135">
      <c r="A135" s="21" t="n">
        <v>44762</v>
      </c>
      <c r="B135" t="n">
        <v>6138.78</v>
      </c>
    </row>
    <row r="136">
      <c r="A136" s="21" t="n">
        <v>44769</v>
      </c>
      <c r="B136" t="n">
        <v>6029.45</v>
      </c>
    </row>
    <row r="137">
      <c r="A137" s="21" t="n">
        <v>44776</v>
      </c>
      <c r="B137" t="n">
        <v>5941.15</v>
      </c>
    </row>
    <row r="138">
      <c r="A138" s="21" t="n">
        <v>44783</v>
      </c>
      <c r="B138" t="n">
        <v>5572.65</v>
      </c>
    </row>
    <row r="139">
      <c r="A139" s="21" t="n">
        <v>44790</v>
      </c>
      <c r="B139" t="n">
        <v>5453.21</v>
      </c>
    </row>
    <row r="140">
      <c r="A140" s="21" t="n">
        <v>44797</v>
      </c>
      <c r="B140" t="n">
        <v>5352.67</v>
      </c>
    </row>
    <row r="141">
      <c r="A141" s="21" t="n">
        <v>44804</v>
      </c>
      <c r="B141" t="n">
        <v>6125.36</v>
      </c>
    </row>
    <row r="142">
      <c r="A142" s="21" t="n">
        <v>44811</v>
      </c>
      <c r="B142" t="n">
        <v>5812.95</v>
      </c>
    </row>
    <row r="143">
      <c r="A143" s="21" t="n">
        <v>44818</v>
      </c>
      <c r="B143" t="n">
        <v>5938.08</v>
      </c>
    </row>
    <row r="144">
      <c r="A144" s="21" t="n">
        <v>44825</v>
      </c>
      <c r="B144" t="n">
        <v>6924.96</v>
      </c>
    </row>
    <row r="145">
      <c r="A145" s="21" t="n">
        <v>44832</v>
      </c>
      <c r="B145" t="n">
        <v>6895.69</v>
      </c>
    </row>
    <row r="146">
      <c r="A146" s="21" t="n">
        <v>44839</v>
      </c>
      <c r="B146" t="n">
        <v>6339.39</v>
      </c>
    </row>
    <row r="147">
      <c r="A147" s="21" t="n">
        <v>44846</v>
      </c>
      <c r="B147" t="n">
        <v>6083.02</v>
      </c>
    </row>
    <row r="148">
      <c r="A148" s="21" t="n">
        <v>44853</v>
      </c>
      <c r="B148" t="n">
        <v>6071.99</v>
      </c>
    </row>
    <row r="149">
      <c r="A149" s="21" t="n">
        <v>44860</v>
      </c>
      <c r="B149" t="n">
        <v>6345.48</v>
      </c>
    </row>
    <row r="150">
      <c r="A150" s="21" t="n">
        <v>44867</v>
      </c>
      <c r="B150" t="n">
        <v>5985.44</v>
      </c>
    </row>
    <row r="151">
      <c r="A151" s="21" t="n">
        <v>44874</v>
      </c>
      <c r="B151" t="n">
        <v>5274.79</v>
      </c>
    </row>
    <row r="152">
      <c r="A152" s="21" t="n">
        <v>44881</v>
      </c>
      <c r="B152" t="n">
        <v>5029.82</v>
      </c>
    </row>
    <row r="153">
      <c r="A153" s="21" t="n">
        <v>44888</v>
      </c>
      <c r="B153" t="n">
        <v>4794.74</v>
      </c>
    </row>
    <row r="154">
      <c r="A154" s="21" t="n">
        <v>44895</v>
      </c>
      <c r="B154" t="n">
        <v>5114.74</v>
      </c>
    </row>
    <row r="155">
      <c r="A155" s="21" t="n">
        <v>44902</v>
      </c>
      <c r="B155" t="n">
        <v>4323.35</v>
      </c>
    </row>
    <row r="156">
      <c r="A156" s="21" t="n">
        <v>44909</v>
      </c>
      <c r="B156" t="n">
        <v>3555.17</v>
      </c>
    </row>
    <row r="157">
      <c r="A157" s="21" t="n">
        <v>44916</v>
      </c>
      <c r="B157" t="n">
        <v>4597.8</v>
      </c>
    </row>
    <row r="158">
      <c r="A158" s="21" t="n">
        <v>44923</v>
      </c>
      <c r="B158" t="n">
        <v>4279.26</v>
      </c>
    </row>
    <row r="159">
      <c r="A159" s="21" t="n">
        <v>44930</v>
      </c>
      <c r="B159" t="n">
        <v>4236.25</v>
      </c>
    </row>
    <row r="160">
      <c r="A160" s="21" t="n">
        <v>44937</v>
      </c>
      <c r="B160" t="n">
        <v>3723.4</v>
      </c>
    </row>
    <row r="161">
      <c r="A161" s="21" t="n">
        <v>44944</v>
      </c>
      <c r="B161" t="n">
        <v>3390.18</v>
      </c>
    </row>
    <row r="162">
      <c r="A162" s="21" t="n">
        <v>44951</v>
      </c>
      <c r="B162" t="n">
        <v>4918.48</v>
      </c>
    </row>
    <row r="163">
      <c r="A163" s="21" t="n">
        <v>44958</v>
      </c>
      <c r="B163" t="n">
        <v>5600.89</v>
      </c>
    </row>
    <row r="164">
      <c r="A164" s="21" t="n">
        <v>44965</v>
      </c>
      <c r="B164" t="n">
        <v>4932.77</v>
      </c>
    </row>
    <row r="165">
      <c r="A165" s="21" t="n">
        <v>44972</v>
      </c>
      <c r="B165" t="n">
        <v>4903.79</v>
      </c>
    </row>
    <row r="166">
      <c r="A166" s="21" t="n">
        <v>44979</v>
      </c>
      <c r="B166" t="n">
        <v>4773.33</v>
      </c>
    </row>
    <row r="167">
      <c r="A167" s="21" t="n">
        <v>44986</v>
      </c>
      <c r="B167" t="n">
        <v>3812.45</v>
      </c>
    </row>
    <row r="168">
      <c r="A168" s="21" t="n">
        <v>44993</v>
      </c>
      <c r="B168" t="n">
        <v>3333.5</v>
      </c>
    </row>
    <row r="169">
      <c r="A169" s="21" t="n">
        <v>45000</v>
      </c>
      <c r="B169" t="n">
        <v>2328.66</v>
      </c>
    </row>
    <row r="170">
      <c r="A170" s="21" t="n">
        <v>45007</v>
      </c>
      <c r="B170" t="n">
        <v>2595.87</v>
      </c>
    </row>
    <row r="171">
      <c r="A171" s="21" t="n">
        <v>45014</v>
      </c>
      <c r="B171" t="n">
        <v>1835.77</v>
      </c>
    </row>
    <row r="172">
      <c r="A172" s="21" t="n">
        <v>45021</v>
      </c>
      <c r="B172" t="n">
        <v>1687.93</v>
      </c>
    </row>
    <row r="173">
      <c r="A173" s="21" t="n">
        <v>45028</v>
      </c>
      <c r="B173" t="n">
        <v>1092.08</v>
      </c>
    </row>
    <row r="174">
      <c r="A174" s="21" t="n">
        <v>45035</v>
      </c>
      <c r="B174" t="n">
        <v>1665.55</v>
      </c>
    </row>
    <row r="175">
      <c r="A175" s="21" t="n">
        <v>45042</v>
      </c>
      <c r="B175" t="n">
        <v>2917.02</v>
      </c>
    </row>
    <row r="176">
      <c r="A176" s="21" t="n">
        <v>45049</v>
      </c>
      <c r="B176" t="n">
        <v>2692.16</v>
      </c>
    </row>
    <row r="177">
      <c r="A177" s="21" t="n">
        <v>45056</v>
      </c>
      <c r="B177" t="n">
        <v>1976.66</v>
      </c>
    </row>
    <row r="178">
      <c r="A178" s="21" t="n">
        <v>45063</v>
      </c>
      <c r="B178" t="n">
        <v>1162.2</v>
      </c>
    </row>
    <row r="179">
      <c r="A179" s="21" t="n">
        <v>45070</v>
      </c>
      <c r="B179" t="n">
        <v>619.52</v>
      </c>
    </row>
    <row r="180">
      <c r="A180" s="21" t="n">
        <v>45077</v>
      </c>
      <c r="B180" t="n">
        <v>489.54</v>
      </c>
    </row>
    <row r="181">
      <c r="A181" s="21" t="n">
        <v>45084</v>
      </c>
      <c r="B181" t="n">
        <v>447.56</v>
      </c>
    </row>
    <row r="182">
      <c r="A182" s="21" t="n">
        <v>45091</v>
      </c>
      <c r="B182" t="n">
        <v>1021.18</v>
      </c>
    </row>
    <row r="183">
      <c r="A183" s="21" t="n">
        <v>45098</v>
      </c>
      <c r="B183" t="n">
        <v>2768.5</v>
      </c>
    </row>
    <row r="184">
      <c r="A184" s="21" t="n">
        <v>45105</v>
      </c>
      <c r="B184" t="n">
        <v>3905.71</v>
      </c>
    </row>
    <row r="185">
      <c r="A185" s="21" t="n">
        <v>45112</v>
      </c>
      <c r="B185" t="n">
        <v>4154.41</v>
      </c>
    </row>
    <row r="186">
      <c r="A186" s="21" t="n">
        <v>45119</v>
      </c>
      <c r="B186" t="n">
        <v>5143.37</v>
      </c>
    </row>
    <row r="187">
      <c r="A187" s="21" t="n">
        <v>45126</v>
      </c>
      <c r="B187" t="n">
        <v>5311.35</v>
      </c>
    </row>
    <row r="188">
      <c r="A188" s="21" t="n">
        <v>45133</v>
      </c>
      <c r="B188" t="n">
        <v>5435.97</v>
      </c>
    </row>
    <row r="189">
      <c r="A189" s="21" t="n">
        <v>45140</v>
      </c>
      <c r="B189" t="n">
        <v>5174.59</v>
      </c>
    </row>
    <row r="190">
      <c r="A190" s="21" t="n">
        <v>45147</v>
      </c>
      <c r="B190" t="n">
        <v>4445.94</v>
      </c>
    </row>
    <row r="191">
      <c r="A191" s="21" t="n">
        <v>45154</v>
      </c>
      <c r="B191" t="n">
        <v>4357.95</v>
      </c>
    </row>
    <row r="192">
      <c r="A192" s="21" t="n">
        <v>45161</v>
      </c>
      <c r="B192" t="n">
        <v>4137.87</v>
      </c>
    </row>
    <row r="193">
      <c r="A193" s="21" t="n">
        <v>45168</v>
      </c>
      <c r="B193" t="n">
        <v>4708</v>
      </c>
    </row>
    <row r="194">
      <c r="A194" s="21" t="n">
        <v>45175</v>
      </c>
      <c r="B194" t="n">
        <v>4708.81</v>
      </c>
    </row>
    <row r="195">
      <c r="A195" s="21" t="n">
        <v>45182</v>
      </c>
      <c r="B195" t="n">
        <v>5215.07</v>
      </c>
    </row>
    <row r="196">
      <c r="A196" s="21" t="n">
        <v>45189</v>
      </c>
      <c r="B196" t="n">
        <v>6402.96</v>
      </c>
    </row>
    <row r="197">
      <c r="A197" s="21" t="n">
        <v>45196</v>
      </c>
      <c r="B197" t="n">
        <v>6811.43</v>
      </c>
    </row>
    <row r="198">
      <c r="A198" s="21" t="n">
        <v>45203</v>
      </c>
      <c r="B198" t="n">
        <v>6680.09</v>
      </c>
    </row>
    <row r="199">
      <c r="A199" s="21" t="n">
        <v>45210</v>
      </c>
      <c r="B199" t="n">
        <v>7091.6</v>
      </c>
    </row>
    <row r="200">
      <c r="A200" s="21" t="n">
        <v>45217</v>
      </c>
      <c r="B200" t="n">
        <v>7598.78</v>
      </c>
    </row>
    <row r="201">
      <c r="A201" s="21" t="n">
        <v>45224</v>
      </c>
      <c r="B201" t="n">
        <v>8344.18</v>
      </c>
    </row>
    <row r="202">
      <c r="A202" s="21" t="n">
        <v>45231</v>
      </c>
      <c r="B202" t="n">
        <v>8204.870000000001</v>
      </c>
    </row>
    <row r="203">
      <c r="A203" s="21" t="n">
        <v>45238</v>
      </c>
      <c r="B203" t="n">
        <v>7726.86</v>
      </c>
    </row>
    <row r="204">
      <c r="A204" s="21" t="n">
        <v>45245</v>
      </c>
      <c r="B204" t="n">
        <v>7385.62</v>
      </c>
    </row>
    <row r="205">
      <c r="A205" s="21" t="n">
        <v>45252</v>
      </c>
      <c r="B205" t="n">
        <v>7060.17</v>
      </c>
    </row>
    <row r="206">
      <c r="A206" s="21" t="n">
        <v>45259</v>
      </c>
      <c r="B206" t="n">
        <v>7392.09</v>
      </c>
    </row>
    <row r="207">
      <c r="A207" s="21" t="n">
        <v>45266</v>
      </c>
      <c r="B207" t="n">
        <v>6825.09</v>
      </c>
    </row>
    <row r="208">
      <c r="A208" s="21" t="n">
        <v>45273</v>
      </c>
      <c r="B208" t="n">
        <v>6584.4</v>
      </c>
    </row>
    <row r="209">
      <c r="A209" s="21" t="n">
        <v>45280</v>
      </c>
      <c r="B209" t="n">
        <v>7321.96</v>
      </c>
    </row>
    <row r="210">
      <c r="A210" s="21" t="n">
        <v>45287</v>
      </c>
      <c r="B210" t="n">
        <v>7314.05</v>
      </c>
    </row>
    <row r="211">
      <c r="A211" s="21" t="n">
        <v>45294</v>
      </c>
      <c r="B211" t="n">
        <v>7584.48</v>
      </c>
    </row>
    <row r="212">
      <c r="A212" s="21" t="n">
        <v>45301</v>
      </c>
      <c r="B212" t="n">
        <v>7475.65</v>
      </c>
    </row>
    <row r="213">
      <c r="A213" s="21" t="n">
        <v>45308</v>
      </c>
      <c r="B213" t="n">
        <v>7488.83</v>
      </c>
    </row>
    <row r="214">
      <c r="A214" s="21" t="n">
        <v>45315</v>
      </c>
      <c r="B214" t="n">
        <v>7993.58</v>
      </c>
    </row>
    <row r="215">
      <c r="A215" s="21" t="n">
        <v>45322</v>
      </c>
      <c r="B215" t="n">
        <v>8415.5</v>
      </c>
    </row>
    <row r="216">
      <c r="A216" s="21" t="n">
        <v>45329</v>
      </c>
      <c r="B216" t="n">
        <v>8021.35</v>
      </c>
    </row>
    <row r="217">
      <c r="A217" s="21" t="n">
        <v>45336</v>
      </c>
      <c r="B217" t="n">
        <v>8380.049999999999</v>
      </c>
    </row>
    <row r="218">
      <c r="A218" s="21" t="n">
        <v>45343</v>
      </c>
      <c r="B218" t="n">
        <v>7854.65</v>
      </c>
    </row>
    <row r="219">
      <c r="A219" s="21" t="n">
        <v>45350</v>
      </c>
      <c r="B219" t="n">
        <v>7858.21</v>
      </c>
    </row>
    <row r="220">
      <c r="A220" s="21" t="n">
        <v>45357</v>
      </c>
      <c r="B220" t="n">
        <v>7677.33</v>
      </c>
    </row>
    <row r="221">
      <c r="A221" s="21" t="n">
        <v>45364</v>
      </c>
      <c r="B221" t="n">
        <v>7683.69</v>
      </c>
    </row>
    <row r="222">
      <c r="A222" s="21" t="n">
        <v>45371</v>
      </c>
      <c r="B222" t="n">
        <v>8092.98</v>
      </c>
    </row>
    <row r="223">
      <c r="A223" s="21" t="n">
        <v>45378</v>
      </c>
      <c r="B223" t="n">
        <v>8022.33</v>
      </c>
    </row>
    <row r="224">
      <c r="A224" s="21" t="n">
        <v>45385</v>
      </c>
      <c r="B224" t="n">
        <v>7686.51</v>
      </c>
    </row>
    <row r="225">
      <c r="A225" s="21" t="n">
        <v>45392</v>
      </c>
      <c r="B225" t="n">
        <v>7049.71</v>
      </c>
    </row>
    <row r="226">
      <c r="A226" s="21" t="n">
        <v>45399</v>
      </c>
      <c r="B226" t="n">
        <v>7965.35</v>
      </c>
    </row>
    <row r="227">
      <c r="A227" s="21" t="n">
        <v>45406</v>
      </c>
      <c r="B227" t="n">
        <v>9414.299999999999</v>
      </c>
    </row>
    <row r="228">
      <c r="A228" s="21" t="n">
        <v>45413</v>
      </c>
      <c r="B228" t="n">
        <v>9171.77</v>
      </c>
    </row>
    <row r="229">
      <c r="A229" s="21" t="n">
        <v>45420</v>
      </c>
      <c r="B229" t="n">
        <v>8515.91</v>
      </c>
    </row>
    <row r="230">
      <c r="A230" s="21" t="n">
        <v>45427</v>
      </c>
      <c r="B230" t="n">
        <v>7871.33</v>
      </c>
    </row>
    <row r="231">
      <c r="A231" s="21" t="n">
        <v>45434</v>
      </c>
      <c r="B231" t="n">
        <v>7253.76</v>
      </c>
    </row>
    <row r="232">
      <c r="A232" s="21" t="n">
        <v>45441</v>
      </c>
      <c r="B232" t="n">
        <v>7043.35</v>
      </c>
    </row>
    <row r="233">
      <c r="A233" s="21" t="n">
        <v>45448</v>
      </c>
      <c r="B233" t="n">
        <v>7103.09</v>
      </c>
    </row>
    <row r="234">
      <c r="A234" s="21" t="n">
        <v>45455</v>
      </c>
      <c r="B234" t="n">
        <v>6735.73</v>
      </c>
    </row>
    <row r="235">
      <c r="A235" s="21" t="n">
        <v>45462</v>
      </c>
      <c r="B235" t="n">
        <v>7234.1</v>
      </c>
    </row>
    <row r="236">
      <c r="A236" s="21" t="n">
        <v>45469</v>
      </c>
      <c r="B236" t="n">
        <v>7654.17</v>
      </c>
    </row>
    <row r="237">
      <c r="A237" s="21" t="n">
        <v>45476</v>
      </c>
      <c r="B237" t="n">
        <v>7613.73</v>
      </c>
    </row>
    <row r="238">
      <c r="A238" s="21" t="n">
        <v>45483</v>
      </c>
      <c r="B238" t="n">
        <v>7364.02</v>
      </c>
    </row>
    <row r="239">
      <c r="A239" s="21" t="n">
        <v>45490</v>
      </c>
      <c r="B239" t="n">
        <v>7515.93</v>
      </c>
    </row>
    <row r="240">
      <c r="A240" s="21" t="n">
        <v>45497</v>
      </c>
      <c r="B240" t="n">
        <v>7743.15</v>
      </c>
    </row>
    <row r="241">
      <c r="A241" s="21" t="n">
        <v>45504</v>
      </c>
      <c r="B241" t="n">
        <v>7864.86</v>
      </c>
    </row>
    <row r="242">
      <c r="A242" s="21" t="n">
        <v>45511</v>
      </c>
      <c r="B242" t="n">
        <v>7709.31</v>
      </c>
    </row>
    <row r="243">
      <c r="A243" s="21" t="n">
        <v>45518</v>
      </c>
      <c r="B243" t="n">
        <v>7941.2</v>
      </c>
    </row>
    <row r="244">
      <c r="A244" s="21" t="n">
        <v>45525</v>
      </c>
      <c r="B244" t="n">
        <v>7364.94</v>
      </c>
    </row>
    <row r="245">
      <c r="A245" s="21" t="n">
        <v>45532</v>
      </c>
      <c r="B245" t="n">
        <v>7458.51</v>
      </c>
    </row>
    <row r="246">
      <c r="A246" s="21" t="n">
        <v>45539</v>
      </c>
      <c r="B246" t="n">
        <v>7339.59</v>
      </c>
    </row>
    <row r="247">
      <c r="A247" s="21" t="n">
        <v>45546</v>
      </c>
      <c r="B247" t="n">
        <v>7559.58</v>
      </c>
    </row>
    <row r="248">
      <c r="A248" s="21" t="n">
        <v>45553</v>
      </c>
      <c r="B248" t="n">
        <v>7711.94</v>
      </c>
    </row>
    <row r="249">
      <c r="A249" s="21" t="n">
        <v>45560</v>
      </c>
      <c r="B249" t="n">
        <v>8067.71</v>
      </c>
    </row>
    <row r="250">
      <c r="A250" s="21" t="n">
        <v>45567</v>
      </c>
      <c r="B250" t="n">
        <v>7982.77</v>
      </c>
    </row>
    <row r="251">
      <c r="A251" s="21" t="n">
        <v>45574</v>
      </c>
      <c r="B251" t="n">
        <v>8021.15</v>
      </c>
    </row>
    <row r="252">
      <c r="A252" s="21" t="n">
        <v>45581</v>
      </c>
      <c r="B252" t="n">
        <v>7917.92</v>
      </c>
    </row>
    <row r="253">
      <c r="A253" s="21" t="n">
        <v>45588</v>
      </c>
      <c r="B253" t="n">
        <v>8299.91</v>
      </c>
    </row>
    <row r="254">
      <c r="A254" s="21" t="n">
        <v>45595</v>
      </c>
      <c r="B254" t="n">
        <v>8352.370000000001</v>
      </c>
    </row>
    <row r="255">
      <c r="A255" s="21" t="n">
        <v>45602</v>
      </c>
      <c r="B255" t="n">
        <v>8420.51</v>
      </c>
    </row>
    <row r="256">
      <c r="A256" s="21" t="n">
        <v>45609</v>
      </c>
      <c r="B256" t="n">
        <v>8321.860000000001</v>
      </c>
    </row>
    <row r="257">
      <c r="A257" s="21" t="n">
        <v>45616</v>
      </c>
      <c r="B257" t="n">
        <v>7518.73</v>
      </c>
    </row>
    <row r="258">
      <c r="A258" s="21" t="n">
        <v>45623</v>
      </c>
      <c r="B258" t="n">
        <v>7752.5</v>
      </c>
    </row>
    <row r="259">
      <c r="A259" s="21" t="n">
        <v>45630</v>
      </c>
      <c r="B259" t="n">
        <v>7895.16</v>
      </c>
    </row>
    <row r="260">
      <c r="A260" s="21" t="n">
        <v>45637</v>
      </c>
      <c r="B260" t="n">
        <v>7750.67</v>
      </c>
    </row>
    <row r="261">
      <c r="A261" s="21" t="n">
        <v>45644</v>
      </c>
      <c r="B261" t="n">
        <v>7679.32</v>
      </c>
    </row>
    <row r="262">
      <c r="A262" s="21" t="n">
        <v>45651</v>
      </c>
      <c r="B262" t="n">
        <v>7647.7</v>
      </c>
    </row>
    <row r="263">
      <c r="A263" s="21" t="n">
        <v>45658</v>
      </c>
      <c r="B263" t="n">
        <v>7198.73</v>
      </c>
    </row>
    <row r="264">
      <c r="A264" s="21" t="n">
        <v>45665</v>
      </c>
      <c r="B264" t="n">
        <v>6526.36</v>
      </c>
    </row>
    <row r="265">
      <c r="A265" s="21" t="n">
        <v>45672</v>
      </c>
      <c r="B265" t="n">
        <v>6412.25</v>
      </c>
    </row>
    <row r="266">
      <c r="A266" s="21" t="n">
        <v>45679</v>
      </c>
      <c r="B266" t="n">
        <v>6772.82</v>
      </c>
    </row>
    <row r="267">
      <c r="A267" s="21" t="n">
        <v>45686</v>
      </c>
      <c r="B267" t="n">
        <v>7842.06</v>
      </c>
    </row>
    <row r="268">
      <c r="A268" s="21" t="n">
        <v>45693</v>
      </c>
      <c r="B268" t="n">
        <v>8055.93</v>
      </c>
    </row>
    <row r="269">
      <c r="A269" s="21" t="n">
        <v>45700</v>
      </c>
      <c r="B269" t="n">
        <v>8281.02</v>
      </c>
    </row>
    <row r="270">
      <c r="A270" s="21" t="n">
        <v>45707</v>
      </c>
      <c r="B270" t="n">
        <v>7900.62</v>
      </c>
    </row>
    <row r="271">
      <c r="A271" s="21" t="n">
        <v>45714</v>
      </c>
      <c r="B271" t="n">
        <v>6811.61</v>
      </c>
    </row>
    <row r="272">
      <c r="A272" s="21" t="n">
        <v>45721</v>
      </c>
      <c r="B272" t="n">
        <v>5483.31</v>
      </c>
    </row>
    <row r="273">
      <c r="A273" s="21" t="n">
        <v>45728</v>
      </c>
      <c r="B273" t="n">
        <v>5125.81</v>
      </c>
    </row>
    <row r="274">
      <c r="A274" s="21" t="n">
        <v>45735</v>
      </c>
      <c r="B274" t="n">
        <v>4359.36</v>
      </c>
    </row>
    <row r="275">
      <c r="A275" s="21" t="n">
        <v>45742</v>
      </c>
      <c r="B275" t="n">
        <v>3601.77</v>
      </c>
    </row>
    <row r="276">
      <c r="A276" s="21" t="n">
        <v>45749</v>
      </c>
      <c r="B276" t="n">
        <v>3133.26</v>
      </c>
    </row>
    <row r="277">
      <c r="A277" s="21" t="n">
        <v>45756</v>
      </c>
      <c r="B277" t="n">
        <v>3060.49</v>
      </c>
    </row>
    <row r="278">
      <c r="A278" s="21" t="n">
        <v>45763</v>
      </c>
      <c r="B278" t="n">
        <v>4229.83</v>
      </c>
    </row>
    <row r="279">
      <c r="A279" s="21" t="n">
        <v>45770</v>
      </c>
      <c r="B279" t="n">
        <v>6066.32</v>
      </c>
    </row>
    <row r="280">
      <c r="A280" s="21" t="n">
        <v>45777</v>
      </c>
      <c r="B280" t="n">
        <v>5957.41</v>
      </c>
    </row>
    <row r="281">
      <c r="A281" s="21" t="n">
        <v>45784</v>
      </c>
      <c r="B281" t="n">
        <v>5837.27</v>
      </c>
    </row>
    <row r="282">
      <c r="A282" s="21" t="n">
        <v>45791</v>
      </c>
      <c r="B282" t="n">
        <v>5758.46</v>
      </c>
    </row>
    <row r="283">
      <c r="A283" s="21" t="n">
        <v>45798</v>
      </c>
      <c r="B283" t="n">
        <v>5030.55</v>
      </c>
    </row>
    <row r="284">
      <c r="A284" s="21" t="n">
        <v>45805</v>
      </c>
      <c r="B284" t="n">
        <v>4672.04</v>
      </c>
    </row>
    <row r="285">
      <c r="A285" s="21" t="n">
        <v>45812</v>
      </c>
      <c r="B285" t="n">
        <v>3789.47</v>
      </c>
    </row>
    <row r="286">
      <c r="A286" s="21" t="n">
        <v>45819</v>
      </c>
      <c r="B286" t="n">
        <v>3329.07</v>
      </c>
    </row>
    <row r="287">
      <c r="A287" s="21" t="n">
        <v>45826</v>
      </c>
      <c r="B287" t="n">
        <v>3377.62</v>
      </c>
    </row>
    <row r="288">
      <c r="A288" s="21" t="n">
        <v>45833</v>
      </c>
      <c r="B288" t="n">
        <v>3643.75</v>
      </c>
    </row>
    <row r="289">
      <c r="A289" s="21" t="n">
        <v>45840</v>
      </c>
      <c r="B289" t="n">
        <v>3595.16</v>
      </c>
    </row>
    <row r="290">
      <c r="A290" s="21" t="n">
        <v>45847</v>
      </c>
      <c r="B290" t="n">
        <v>3198.89</v>
      </c>
    </row>
    <row r="291">
      <c r="A291" s="21" t="n">
        <v>45854</v>
      </c>
      <c r="B291" t="n">
        <v>2962.47</v>
      </c>
    </row>
    <row r="292">
      <c r="A292" s="21" t="n">
        <v>45861</v>
      </c>
      <c r="B292" t="n">
        <v>3231.76</v>
      </c>
    </row>
    <row r="293">
      <c r="A293" s="21" t="n">
        <v>45868</v>
      </c>
      <c r="B293" t="n">
        <v>3705.07</v>
      </c>
    </row>
    <row r="294">
      <c r="A294" s="21" t="n">
        <v>45875</v>
      </c>
      <c r="B294" t="n">
        <v>4210.43</v>
      </c>
    </row>
    <row r="295">
      <c r="A295" s="21" t="n">
        <v>45882</v>
      </c>
      <c r="B295" t="n">
        <v>5043.04</v>
      </c>
    </row>
    <row r="296">
      <c r="A296" s="21" t="n">
        <v>45889</v>
      </c>
      <c r="B296" t="n">
        <v>5195.34</v>
      </c>
    </row>
    <row r="297">
      <c r="A297" s="21" t="n">
        <v>45896</v>
      </c>
      <c r="B297" t="n">
        <v>5899.98</v>
      </c>
    </row>
    <row r="298">
      <c r="A298" s="21" t="n">
        <v>45903</v>
      </c>
      <c r="B298" t="n">
        <v>5975.13</v>
      </c>
    </row>
    <row r="299">
      <c r="A299" s="21" t="n">
        <v>45910</v>
      </c>
      <c r="B299" t="n">
        <v>6722.74</v>
      </c>
    </row>
    <row r="300">
      <c r="A300" s="21" t="n">
        <v>45917</v>
      </c>
      <c r="B300" t="n">
        <v>7563.76</v>
      </c>
    </row>
    <row r="301">
      <c r="A301" s="21" t="n">
        <v>45924</v>
      </c>
      <c r="B301" t="n">
        <v>8048.56</v>
      </c>
    </row>
    <row r="302">
      <c r="A302" s="21" t="n">
        <v>45931</v>
      </c>
      <c r="B302" t="n">
        <v>8051.39</v>
      </c>
    </row>
    <row r="303">
      <c r="A303" s="21" t="n">
        <v>45938</v>
      </c>
      <c r="B303" t="n">
        <v>8074.28</v>
      </c>
    </row>
    <row r="304">
      <c r="A304" s="21" t="n">
        <v>45945</v>
      </c>
      <c r="B304" t="n">
        <v>8095.93</v>
      </c>
    </row>
    <row r="305">
      <c r="A305" s="21" t="n">
        <v>45952</v>
      </c>
      <c r="B305" t="n">
        <v>9080.01</v>
      </c>
    </row>
    <row r="306">
      <c r="A306" s="21" t="n">
        <v>45959</v>
      </c>
      <c r="B306" t="n">
        <v>9579.9</v>
      </c>
    </row>
    <row r="307">
      <c r="A307" s="21" t="n">
        <v>45966</v>
      </c>
      <c r="B307" t="n">
        <v>9409.790000000001</v>
      </c>
    </row>
    <row r="308">
      <c r="A308" s="21" t="n">
        <v>45973</v>
      </c>
      <c r="B308" t="n">
        <v>9538.16</v>
      </c>
    </row>
    <row r="309">
      <c r="A309" s="21" t="n">
        <v>45980</v>
      </c>
      <c r="B309" t="n">
        <v>9419.26</v>
      </c>
    </row>
    <row r="310">
      <c r="A310" s="21" t="n">
        <v>45987</v>
      </c>
      <c r="B310" t="n">
        <v>9033.940000000001</v>
      </c>
    </row>
    <row r="311">
      <c r="A311" s="21" t="n">
        <v>45994</v>
      </c>
      <c r="B311" t="n">
        <v>9371.67</v>
      </c>
    </row>
    <row r="312">
      <c r="A312" s="21" t="n">
        <v>46001</v>
      </c>
      <c r="B312" t="n">
        <v>8589.459999999999</v>
      </c>
    </row>
    <row r="313">
      <c r="A313" s="21" t="n">
        <v>46008</v>
      </c>
      <c r="B313" t="n">
        <v>8330.93</v>
      </c>
    </row>
    <row r="314">
      <c r="A314" s="21" t="n">
        <v>46015</v>
      </c>
      <c r="B314" t="n">
        <v>8371.200000000001</v>
      </c>
    </row>
    <row r="315">
      <c r="A315" s="21" t="n">
        <v>46022</v>
      </c>
      <c r="B315" t="n">
        <v>8373.059999999999</v>
      </c>
    </row>
    <row r="316">
      <c r="A316" s="21" t="n">
        <v>46029</v>
      </c>
      <c r="B316" t="n">
        <v>7961.48</v>
      </c>
    </row>
    <row r="317">
      <c r="A317" s="21" t="n">
        <v>46036</v>
      </c>
      <c r="B317" t="n">
        <v>7791.75</v>
      </c>
    </row>
    <row r="318">
      <c r="A318" s="21" t="n">
        <v>46043</v>
      </c>
      <c r="B318" t="n">
        <v>8692.610000000001</v>
      </c>
    </row>
    <row r="319">
      <c r="A319" s="21" t="n">
        <v>46050</v>
      </c>
      <c r="B319" t="n">
        <v>9230.42</v>
      </c>
    </row>
    <row r="320">
      <c r="A320" s="21" t="n">
        <v>46057</v>
      </c>
      <c r="B320" t="n">
        <v>9087.73</v>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1525"/>
  <sheetViews>
    <sheetView topLeftCell="A1469" workbookViewId="0">
      <selection activeCell="A1516" sqref="A1516"/>
    </sheetView>
  </sheetViews>
  <sheetFormatPr baseColWidth="8" defaultRowHeight="14.4"/>
  <cols>
    <col width="12.88671875" bestFit="1" customWidth="1" style="25" min="1" max="1"/>
    <col width="14.109375" bestFit="1" customWidth="1" style="25" min="2" max="2"/>
  </cols>
  <sheetData>
    <row r="1">
      <c r="A1" t="inlineStr">
        <is>
          <t>date</t>
        </is>
      </c>
      <c r="B1" t="inlineStr">
        <is>
          <t>value</t>
        </is>
      </c>
    </row>
    <row r="2">
      <c r="A2" s="21" t="n">
        <v>43832</v>
      </c>
      <c r="B2" t="n">
        <v>3.1e-08</v>
      </c>
    </row>
    <row r="3">
      <c r="A3" s="21" t="n">
        <v>43833</v>
      </c>
      <c r="B3" t="n">
        <v>4.251e-08</v>
      </c>
    </row>
    <row r="4">
      <c r="A4" s="21" t="n">
        <v>43836</v>
      </c>
      <c r="B4" t="n">
        <v>3.825e-08</v>
      </c>
    </row>
    <row r="5">
      <c r="A5" s="21" t="n">
        <v>43837</v>
      </c>
      <c r="B5" t="n">
        <v>1.602e-08</v>
      </c>
    </row>
    <row r="6">
      <c r="A6" s="21" t="n">
        <v>43838</v>
      </c>
      <c r="B6" t="n">
        <v>8.76e-09</v>
      </c>
    </row>
    <row r="7">
      <c r="A7" s="21" t="n">
        <v>43839</v>
      </c>
      <c r="B7" t="n">
        <v>4.01e-09</v>
      </c>
    </row>
    <row r="8">
      <c r="A8" s="21" t="n">
        <v>43840</v>
      </c>
      <c r="B8" t="n">
        <v>6.27e-09</v>
      </c>
    </row>
    <row r="9">
      <c r="A9" s="21" t="n">
        <v>43843</v>
      </c>
      <c r="B9" t="n">
        <v>1e-08</v>
      </c>
    </row>
    <row r="10">
      <c r="A10" s="21" t="n">
        <v>43844</v>
      </c>
      <c r="B10" t="n">
        <v>6.560000000000001e-09</v>
      </c>
    </row>
    <row r="11">
      <c r="A11" s="21" t="n">
        <v>43845</v>
      </c>
      <c r="B11" t="n">
        <v>6.75e-09</v>
      </c>
    </row>
    <row r="12">
      <c r="A12" s="21" t="n">
        <v>43846</v>
      </c>
      <c r="B12" t="n">
        <v>3e-09</v>
      </c>
    </row>
    <row r="13">
      <c r="A13" s="21" t="n">
        <v>43847</v>
      </c>
      <c r="B13" t="n">
        <v>1.615e-07</v>
      </c>
    </row>
    <row r="14">
      <c r="A14" s="21" t="n">
        <v>43851</v>
      </c>
      <c r="B14" t="n">
        <v>1.3381e-07</v>
      </c>
    </row>
    <row r="15">
      <c r="A15" s="21" t="n">
        <v>43852</v>
      </c>
      <c r="B15" t="n">
        <v>1.5604e-07</v>
      </c>
    </row>
    <row r="16">
      <c r="A16" s="21" t="n">
        <v>43853</v>
      </c>
      <c r="B16" t="n">
        <v>1.2904e-07</v>
      </c>
    </row>
    <row r="17">
      <c r="A17" s="21" t="n">
        <v>43854</v>
      </c>
      <c r="B17" t="n">
        <v>0</v>
      </c>
    </row>
    <row r="18">
      <c r="A18" s="21" t="n">
        <v>43857</v>
      </c>
      <c r="B18" t="n">
        <v>2e-11</v>
      </c>
    </row>
    <row r="19">
      <c r="A19" s="21" t="n">
        <v>43858</v>
      </c>
      <c r="B19" t="n">
        <v>2e-11</v>
      </c>
    </row>
    <row r="20">
      <c r="A20" s="21" t="n">
        <v>43859</v>
      </c>
      <c r="B20" t="n">
        <v>3e-09</v>
      </c>
    </row>
    <row r="21">
      <c r="A21" s="21" t="n">
        <v>43860</v>
      </c>
      <c r="B21" t="n">
        <v>4.139999999999999e-08</v>
      </c>
    </row>
    <row r="22">
      <c r="A22" s="21" t="n">
        <v>43861</v>
      </c>
      <c r="B22" t="n">
        <v>4.5e-08</v>
      </c>
    </row>
    <row r="23">
      <c r="A23" s="21" t="n">
        <v>43864</v>
      </c>
      <c r="B23" t="n">
        <v>6.16e-08</v>
      </c>
    </row>
    <row r="24">
      <c r="A24" s="21" t="n">
        <v>43865</v>
      </c>
      <c r="B24" t="n">
        <v>2.112e-08</v>
      </c>
    </row>
    <row r="25">
      <c r="A25" s="21" t="n">
        <v>43866</v>
      </c>
      <c r="B25" t="n">
        <v>4.112e-08</v>
      </c>
    </row>
    <row r="26">
      <c r="A26" s="21" t="n">
        <v>43867</v>
      </c>
      <c r="B26" t="n">
        <v>4.03e-09</v>
      </c>
    </row>
    <row r="27">
      <c r="A27" s="21" t="n">
        <v>43868</v>
      </c>
      <c r="B27" t="n">
        <v>1.1e-08</v>
      </c>
    </row>
    <row r="28">
      <c r="A28" s="21" t="n">
        <v>43871</v>
      </c>
      <c r="B28" t="n">
        <v>8.3e-09</v>
      </c>
    </row>
    <row r="29">
      <c r="A29" s="21" t="n">
        <v>43872</v>
      </c>
      <c r="B29" t="n">
        <v>2.28e-09</v>
      </c>
    </row>
    <row r="30">
      <c r="A30" s="21" t="n">
        <v>43873</v>
      </c>
      <c r="B30" t="n">
        <v>3.09e-09</v>
      </c>
    </row>
    <row r="31">
      <c r="A31" s="21" t="n">
        <v>43874</v>
      </c>
      <c r="B31" t="n">
        <v>4.5e-09</v>
      </c>
    </row>
    <row r="32">
      <c r="A32" s="21" t="n">
        <v>43875</v>
      </c>
      <c r="B32" t="n">
        <v>0</v>
      </c>
    </row>
    <row r="33">
      <c r="A33" s="21" t="n">
        <v>43879</v>
      </c>
      <c r="B33" t="n">
        <v>9.454000000000001e-08</v>
      </c>
    </row>
    <row r="34">
      <c r="A34" s="21" t="n">
        <v>43880</v>
      </c>
      <c r="B34" t="n">
        <v>9.5e-10</v>
      </c>
    </row>
    <row r="35">
      <c r="A35" s="21" t="n">
        <v>43881</v>
      </c>
      <c r="B35" t="n">
        <v>3.6e-08</v>
      </c>
    </row>
    <row r="36">
      <c r="A36" s="21" t="n">
        <v>43882</v>
      </c>
      <c r="B36" t="n">
        <v>4.532e-08</v>
      </c>
    </row>
    <row r="37">
      <c r="A37" s="21" t="n">
        <v>43885</v>
      </c>
      <c r="B37" t="n">
        <v>5.919999999999999e-09</v>
      </c>
    </row>
    <row r="38">
      <c r="A38" s="21" t="n">
        <v>43886</v>
      </c>
      <c r="B38" t="n">
        <v>1.11e-09</v>
      </c>
    </row>
    <row r="39">
      <c r="A39" s="21" t="n">
        <v>43887</v>
      </c>
      <c r="B39" t="n">
        <v>2.3e-08</v>
      </c>
    </row>
    <row r="40">
      <c r="A40" s="21" t="n">
        <v>43888</v>
      </c>
      <c r="B40" t="n">
        <v>2.75e-09</v>
      </c>
    </row>
    <row r="41">
      <c r="A41" s="21" t="n">
        <v>43889</v>
      </c>
      <c r="B41" t="n">
        <v>2.187e-08</v>
      </c>
    </row>
    <row r="42">
      <c r="A42" s="21" t="n">
        <v>43892</v>
      </c>
      <c r="B42" t="n">
        <v>2.525e-08</v>
      </c>
    </row>
    <row r="43">
      <c r="A43" s="21" t="n">
        <v>43893</v>
      </c>
      <c r="B43" t="n">
        <v>6.27e-09</v>
      </c>
    </row>
    <row r="44">
      <c r="A44" s="21" t="n">
        <v>43894</v>
      </c>
      <c r="B44" t="n">
        <v>5.025e-08</v>
      </c>
    </row>
    <row r="45">
      <c r="A45" s="21" t="n">
        <v>43895</v>
      </c>
      <c r="B45" t="n">
        <v>8.5e-09</v>
      </c>
    </row>
    <row r="46">
      <c r="A46" s="21" t="n">
        <v>43896</v>
      </c>
      <c r="B46" t="n">
        <v>2.93e-08</v>
      </c>
    </row>
    <row r="47">
      <c r="A47" s="21" t="n">
        <v>43899</v>
      </c>
      <c r="B47" t="n">
        <v>2.504e-08</v>
      </c>
    </row>
    <row r="48">
      <c r="A48" s="21" t="n">
        <v>43900</v>
      </c>
      <c r="B48" t="n">
        <v>1.51e-09</v>
      </c>
    </row>
    <row r="49">
      <c r="A49" s="21" t="n">
        <v>43901</v>
      </c>
      <c r="B49" t="n">
        <v>1.325e-08</v>
      </c>
    </row>
    <row r="50">
      <c r="A50" s="21" t="n">
        <v>43902</v>
      </c>
      <c r="B50" t="n">
        <v>2.105e-07</v>
      </c>
    </row>
    <row r="51">
      <c r="A51" s="21" t="n">
        <v>43903</v>
      </c>
      <c r="B51" t="n">
        <v>1.51e-07</v>
      </c>
    </row>
    <row r="52">
      <c r="A52" s="21" t="n">
        <v>43906</v>
      </c>
      <c r="B52" t="n">
        <v>1.425e-08</v>
      </c>
    </row>
    <row r="53">
      <c r="A53" s="21" t="n">
        <v>43907</v>
      </c>
      <c r="B53" t="n">
        <v>5.7e-08</v>
      </c>
    </row>
    <row r="54">
      <c r="A54" s="21" t="n">
        <v>43908</v>
      </c>
      <c r="B54" t="n">
        <v>4.77e-09</v>
      </c>
    </row>
    <row r="55">
      <c r="A55" s="21" t="n">
        <v>43909</v>
      </c>
      <c r="B55" t="n">
        <v>1.195e-08</v>
      </c>
    </row>
    <row r="56">
      <c r="A56" s="21" t="n">
        <v>43910</v>
      </c>
      <c r="B56" t="n">
        <v>1.2203e-07</v>
      </c>
    </row>
    <row r="57">
      <c r="A57" s="21" t="n">
        <v>43913</v>
      </c>
      <c r="B57" t="n">
        <v>2.6944e-07</v>
      </c>
    </row>
    <row r="58">
      <c r="A58" s="21" t="n">
        <v>43914</v>
      </c>
      <c r="B58" t="n">
        <v>4.1516e-07</v>
      </c>
    </row>
    <row r="59">
      <c r="A59" s="21" t="n">
        <v>43915</v>
      </c>
      <c r="B59" t="n">
        <v>9.7411e-07</v>
      </c>
    </row>
    <row r="60">
      <c r="A60" s="21" t="n">
        <v>43916</v>
      </c>
      <c r="B60" t="n">
        <v>1.3848e-06</v>
      </c>
    </row>
    <row r="61">
      <c r="A61" s="21" t="n">
        <v>43917</v>
      </c>
      <c r="B61" t="n">
        <v>2.10794e-06</v>
      </c>
    </row>
    <row r="62">
      <c r="A62" s="21" t="n">
        <v>43920</v>
      </c>
      <c r="B62" t="n">
        <v>2.37497e-06</v>
      </c>
    </row>
    <row r="63">
      <c r="A63" s="21" t="n">
        <v>43921</v>
      </c>
      <c r="B63" t="n">
        <v>2.84908e-06</v>
      </c>
    </row>
    <row r="64">
      <c r="A64" s="21" t="n">
        <v>43922</v>
      </c>
      <c r="B64" t="n">
        <v>2.07828e-06</v>
      </c>
    </row>
    <row r="65">
      <c r="A65" s="21" t="n">
        <v>43923</v>
      </c>
      <c r="B65" t="n">
        <v>1.82627e-06</v>
      </c>
    </row>
    <row r="66">
      <c r="A66" s="21" t="n">
        <v>43924</v>
      </c>
      <c r="B66" t="n">
        <v>1.48117e-06</v>
      </c>
    </row>
    <row r="67">
      <c r="A67" s="21" t="n">
        <v>43927</v>
      </c>
      <c r="B67" t="n">
        <v>1.44294e-06</v>
      </c>
    </row>
    <row r="68">
      <c r="A68" s="21" t="n">
        <v>43928</v>
      </c>
      <c r="B68" t="n">
        <v>8.836e-07</v>
      </c>
    </row>
    <row r="69">
      <c r="A69" s="21" t="n">
        <v>43929</v>
      </c>
      <c r="B69" t="n">
        <v>5.348299999999999e-07</v>
      </c>
    </row>
    <row r="70">
      <c r="A70" s="21" t="n">
        <v>43930</v>
      </c>
      <c r="B70" t="n">
        <v>5.525e-08</v>
      </c>
    </row>
    <row r="71">
      <c r="A71" s="21" t="n">
        <v>43934</v>
      </c>
      <c r="B71" t="n">
        <v>6.099999999999999e-08</v>
      </c>
    </row>
    <row r="72">
      <c r="A72" s="21" t="n">
        <v>43935</v>
      </c>
      <c r="B72" t="n">
        <v>9.9e-08</v>
      </c>
    </row>
    <row r="73">
      <c r="A73" s="21" t="n">
        <v>43936</v>
      </c>
      <c r="B73" t="n">
        <v>3.15e-08</v>
      </c>
    </row>
    <row r="74">
      <c r="A74" s="21" t="n">
        <v>43937</v>
      </c>
      <c r="B74" t="n">
        <v>1.525e-08</v>
      </c>
    </row>
    <row r="75">
      <c r="A75" s="21" t="n">
        <v>43938</v>
      </c>
      <c r="B75" t="n">
        <v>1.726e-08</v>
      </c>
    </row>
    <row r="76">
      <c r="A76" s="21" t="n">
        <v>43941</v>
      </c>
      <c r="B76" t="n">
        <v>3.1e-07</v>
      </c>
    </row>
    <row r="77">
      <c r="A77" s="21" t="n">
        <v>43942</v>
      </c>
      <c r="B77" t="n">
        <v>1.2528e-07</v>
      </c>
    </row>
    <row r="78">
      <c r="A78" s="21" t="n">
        <v>43943</v>
      </c>
      <c r="B78" t="n">
        <v>1.0825e-07</v>
      </c>
    </row>
    <row r="79">
      <c r="A79" s="21" t="n">
        <v>43944</v>
      </c>
      <c r="B79" t="n">
        <v>1.45e-08</v>
      </c>
    </row>
    <row r="80">
      <c r="A80" s="21" t="n">
        <v>43945</v>
      </c>
      <c r="B80" t="n">
        <v>1.5e-08</v>
      </c>
    </row>
    <row r="81">
      <c r="A81" s="21" t="n">
        <v>43948</v>
      </c>
      <c r="B81" t="n">
        <v>1.6476e-07</v>
      </c>
    </row>
    <row r="82">
      <c r="A82" s="21" t="n">
        <v>43949</v>
      </c>
      <c r="B82" t="n">
        <v>7.131000000000001e-08</v>
      </c>
    </row>
    <row r="83">
      <c r="A83" s="21" t="n">
        <v>43950</v>
      </c>
      <c r="B83" t="n">
        <v>1.45e-08</v>
      </c>
    </row>
    <row r="84">
      <c r="A84" s="21" t="n">
        <v>43951</v>
      </c>
      <c r="B84" t="n">
        <v>1.775e-08</v>
      </c>
    </row>
    <row r="85">
      <c r="A85" s="21" t="n">
        <v>43952</v>
      </c>
      <c r="B85" t="n">
        <v>2.51e-09</v>
      </c>
    </row>
    <row r="86">
      <c r="A86" s="21" t="n">
        <v>43955</v>
      </c>
      <c r="B86" t="n">
        <v>4.85e-08</v>
      </c>
    </row>
    <row r="87">
      <c r="A87" s="21" t="n">
        <v>43956</v>
      </c>
      <c r="B87" t="n">
        <v>1.925e-08</v>
      </c>
    </row>
    <row r="88">
      <c r="A88" s="21" t="n">
        <v>43957</v>
      </c>
      <c r="B88" t="n">
        <v>1.175e-08</v>
      </c>
    </row>
    <row r="89">
      <c r="A89" s="21" t="n">
        <v>43958</v>
      </c>
      <c r="B89" t="n">
        <v>9.82e-09</v>
      </c>
    </row>
    <row r="90">
      <c r="A90" s="21" t="n">
        <v>43959</v>
      </c>
      <c r="B90" t="n">
        <v>6.800000000000001e-09</v>
      </c>
    </row>
    <row r="91">
      <c r="A91" s="21" t="n">
        <v>43962</v>
      </c>
      <c r="B91" t="n">
        <v>1.23e-09</v>
      </c>
    </row>
    <row r="92">
      <c r="A92" s="21" t="n">
        <v>43963</v>
      </c>
      <c r="B92" t="n">
        <v>8.249999999999999e-09</v>
      </c>
    </row>
    <row r="93">
      <c r="A93" s="21" t="n">
        <v>43964</v>
      </c>
      <c r="B93" t="n">
        <v>1.3825e-07</v>
      </c>
    </row>
    <row r="94">
      <c r="A94" s="21" t="n">
        <v>43965</v>
      </c>
      <c r="B94" t="n">
        <v>1.33e-09</v>
      </c>
    </row>
    <row r="95">
      <c r="A95" s="21" t="n">
        <v>43966</v>
      </c>
      <c r="B95" t="n">
        <v>1.15e-08</v>
      </c>
    </row>
    <row r="96">
      <c r="A96" s="21" t="n">
        <v>43969</v>
      </c>
      <c r="B96" t="n">
        <v>5.779999999999999e-09</v>
      </c>
    </row>
    <row r="97">
      <c r="A97" s="21" t="n">
        <v>43970</v>
      </c>
      <c r="B97" t="n">
        <v>9e-10</v>
      </c>
    </row>
    <row r="98">
      <c r="A98" s="21" t="n">
        <v>43971</v>
      </c>
      <c r="B98" t="n">
        <v>9.726000000000001e-08</v>
      </c>
    </row>
    <row r="99">
      <c r="A99" s="21" t="n">
        <v>43972</v>
      </c>
      <c r="B99" t="n">
        <v>3e-11</v>
      </c>
    </row>
    <row r="100">
      <c r="A100" s="21" t="n">
        <v>43973</v>
      </c>
      <c r="B100" t="n">
        <v>1e-11</v>
      </c>
    </row>
    <row r="101">
      <c r="A101" s="21" t="n">
        <v>43977</v>
      </c>
      <c r="B101" t="n">
        <v>1e-11</v>
      </c>
    </row>
    <row r="102">
      <c r="A102" s="21" t="n">
        <v>43978</v>
      </c>
      <c r="B102" t="n">
        <v>4.326e-08</v>
      </c>
    </row>
    <row r="103">
      <c r="A103" s="21" t="n">
        <v>43979</v>
      </c>
      <c r="B103" t="n">
        <v>0</v>
      </c>
    </row>
    <row r="104">
      <c r="A104" s="21" t="n">
        <v>43980</v>
      </c>
      <c r="B104" t="n">
        <v>1.325e-08</v>
      </c>
    </row>
    <row r="105">
      <c r="A105" s="21" t="n">
        <v>43983</v>
      </c>
      <c r="B105" t="n">
        <v>0</v>
      </c>
    </row>
    <row r="106">
      <c r="A106" s="21" t="n">
        <v>43984</v>
      </c>
      <c r="B106" t="n">
        <v>2.013e-08</v>
      </c>
    </row>
    <row r="107">
      <c r="A107" s="21" t="n">
        <v>43985</v>
      </c>
      <c r="B107" t="n">
        <v>1.3e-10</v>
      </c>
    </row>
    <row r="108">
      <c r="A108" s="21" t="n">
        <v>43986</v>
      </c>
      <c r="B108" t="n">
        <v>0</v>
      </c>
    </row>
    <row r="109">
      <c r="A109" s="21" t="n">
        <v>43987</v>
      </c>
      <c r="B109" t="n">
        <v>0</v>
      </c>
    </row>
    <row r="110">
      <c r="A110" s="21" t="n">
        <v>43990</v>
      </c>
      <c r="B110" t="n">
        <v>0</v>
      </c>
    </row>
    <row r="111">
      <c r="A111" s="21" t="n">
        <v>43991</v>
      </c>
      <c r="B111" t="n">
        <v>1.252e-08</v>
      </c>
    </row>
    <row r="112">
      <c r="A112" s="21" t="n">
        <v>43992</v>
      </c>
      <c r="B112" t="n">
        <v>1.2e-10</v>
      </c>
    </row>
    <row r="113">
      <c r="A113" s="21" t="n">
        <v>43993</v>
      </c>
      <c r="B113" t="n">
        <v>3.75e-09</v>
      </c>
    </row>
    <row r="114">
      <c r="A114" s="21" t="n">
        <v>43994</v>
      </c>
      <c r="B114" t="n">
        <v>0</v>
      </c>
    </row>
    <row r="115">
      <c r="A115" s="21" t="n">
        <v>43997</v>
      </c>
      <c r="B115" t="n">
        <v>3e-11</v>
      </c>
    </row>
    <row r="116">
      <c r="A116" s="21" t="n">
        <v>43998</v>
      </c>
      <c r="B116" t="n">
        <v>4e-08</v>
      </c>
    </row>
    <row r="117">
      <c r="A117" s="21" t="n">
        <v>43999</v>
      </c>
      <c r="B117" t="n">
        <v>1e-11</v>
      </c>
    </row>
    <row r="118">
      <c r="A118" s="21" t="n">
        <v>44000</v>
      </c>
      <c r="B118" t="n">
        <v>1e-11</v>
      </c>
    </row>
    <row r="119">
      <c r="A119" s="21" t="n">
        <v>44001</v>
      </c>
      <c r="B119" t="n">
        <v>1e-11</v>
      </c>
    </row>
    <row r="120">
      <c r="A120" s="21" t="n">
        <v>44004</v>
      </c>
      <c r="B120" t="n">
        <v>1e-10</v>
      </c>
    </row>
    <row r="121">
      <c r="A121" s="21" t="n">
        <v>44005</v>
      </c>
      <c r="B121" t="n">
        <v>1.1e-10</v>
      </c>
    </row>
    <row r="122">
      <c r="A122" s="21" t="n">
        <v>44006</v>
      </c>
      <c r="B122" t="n">
        <v>1e-11</v>
      </c>
    </row>
    <row r="123">
      <c r="A123" s="21" t="n">
        <v>44007</v>
      </c>
      <c r="B123" t="n">
        <v>1e-11</v>
      </c>
    </row>
    <row r="124">
      <c r="A124" s="21" t="n">
        <v>44008</v>
      </c>
      <c r="B124" t="n">
        <v>2e-09</v>
      </c>
    </row>
    <row r="125">
      <c r="A125" s="21" t="n">
        <v>44011</v>
      </c>
      <c r="B125" t="n">
        <v>2.5e-09</v>
      </c>
    </row>
    <row r="126">
      <c r="A126" s="21" t="n">
        <v>44012</v>
      </c>
      <c r="B126" t="n">
        <v>9.499999999999999e-09</v>
      </c>
    </row>
    <row r="127">
      <c r="A127" s="21" t="n">
        <v>44013</v>
      </c>
      <c r="B127" t="n">
        <v>2e-11</v>
      </c>
    </row>
    <row r="128">
      <c r="A128" s="21" t="n">
        <v>44014</v>
      </c>
      <c r="B128" t="n">
        <v>0</v>
      </c>
    </row>
    <row r="129">
      <c r="A129" s="21" t="n">
        <v>44018</v>
      </c>
      <c r="B129" t="n">
        <v>0</v>
      </c>
    </row>
    <row r="130">
      <c r="A130" s="21" t="n">
        <v>44019</v>
      </c>
      <c r="B130" t="n">
        <v>3e-11</v>
      </c>
    </row>
    <row r="131">
      <c r="A131" s="21" t="n">
        <v>44020</v>
      </c>
      <c r="B131" t="n">
        <v>1e-11</v>
      </c>
    </row>
    <row r="132">
      <c r="A132" s="21" t="n">
        <v>44021</v>
      </c>
      <c r="B132" t="n">
        <v>0</v>
      </c>
    </row>
    <row r="133">
      <c r="A133" s="21" t="n">
        <v>44022</v>
      </c>
      <c r="B133" t="n">
        <v>0</v>
      </c>
    </row>
    <row r="134">
      <c r="A134" s="21" t="n">
        <v>44025</v>
      </c>
      <c r="B134" t="n">
        <v>1e-11</v>
      </c>
    </row>
    <row r="135">
      <c r="A135" s="21" t="n">
        <v>44026</v>
      </c>
      <c r="B135" t="n">
        <v>1e-11</v>
      </c>
    </row>
    <row r="136">
      <c r="A136" s="21" t="n">
        <v>44027</v>
      </c>
      <c r="B136" t="n">
        <v>1e-11</v>
      </c>
    </row>
    <row r="137">
      <c r="A137" s="21" t="n">
        <v>44028</v>
      </c>
      <c r="B137" t="n">
        <v>1e-11</v>
      </c>
    </row>
    <row r="138">
      <c r="A138" s="21" t="n">
        <v>44029</v>
      </c>
      <c r="B138" t="n">
        <v>0</v>
      </c>
    </row>
    <row r="139">
      <c r="A139" s="21" t="n">
        <v>44032</v>
      </c>
      <c r="B139" t="n">
        <v>3e-11</v>
      </c>
    </row>
    <row r="140">
      <c r="A140" s="21" t="n">
        <v>44033</v>
      </c>
      <c r="B140" t="n">
        <v>0</v>
      </c>
    </row>
    <row r="141">
      <c r="A141" s="21" t="n">
        <v>44034</v>
      </c>
      <c r="B141" t="n">
        <v>0</v>
      </c>
    </row>
    <row r="142">
      <c r="A142" s="21" t="n">
        <v>44035</v>
      </c>
      <c r="B142" t="n">
        <v>0</v>
      </c>
    </row>
    <row r="143">
      <c r="A143" s="21" t="n">
        <v>44036</v>
      </c>
      <c r="B143" t="n">
        <v>0</v>
      </c>
    </row>
    <row r="144">
      <c r="A144" s="21" t="n">
        <v>44039</v>
      </c>
      <c r="B144" t="n">
        <v>0</v>
      </c>
    </row>
    <row r="145">
      <c r="A145" s="21" t="n">
        <v>44040</v>
      </c>
      <c r="B145" t="n">
        <v>0</v>
      </c>
    </row>
    <row r="146">
      <c r="A146" s="21" t="n">
        <v>44041</v>
      </c>
      <c r="B146" t="n">
        <v>1e-11</v>
      </c>
    </row>
    <row r="147">
      <c r="A147" s="21" t="n">
        <v>44042</v>
      </c>
      <c r="B147" t="n">
        <v>3.07e-09</v>
      </c>
    </row>
    <row r="148">
      <c r="A148" s="21" t="n">
        <v>44043</v>
      </c>
      <c r="B148" t="n">
        <v>1.5e-09</v>
      </c>
    </row>
    <row r="149">
      <c r="A149" s="21" t="n">
        <v>44046</v>
      </c>
      <c r="B149" t="n">
        <v>0</v>
      </c>
    </row>
    <row r="150">
      <c r="A150" s="21" t="n">
        <v>44047</v>
      </c>
      <c r="B150" t="n">
        <v>5e-11</v>
      </c>
    </row>
    <row r="151">
      <c r="A151" s="21" t="n">
        <v>44048</v>
      </c>
      <c r="B151" t="n">
        <v>0</v>
      </c>
    </row>
    <row r="152">
      <c r="A152" s="21" t="n">
        <v>44049</v>
      </c>
      <c r="B152" t="n">
        <v>0</v>
      </c>
    </row>
    <row r="153">
      <c r="A153" s="21" t="n">
        <v>44050</v>
      </c>
      <c r="B153" t="n">
        <v>0</v>
      </c>
    </row>
    <row r="154">
      <c r="A154" s="21" t="n">
        <v>44053</v>
      </c>
      <c r="B154" t="n">
        <v>8.000000000000001e-11</v>
      </c>
    </row>
    <row r="155">
      <c r="A155" s="21" t="n">
        <v>44054</v>
      </c>
      <c r="B155" t="n">
        <v>0</v>
      </c>
    </row>
    <row r="156">
      <c r="A156" s="21" t="n">
        <v>44055</v>
      </c>
      <c r="B156" t="n">
        <v>1.03e-09</v>
      </c>
    </row>
    <row r="157">
      <c r="A157" s="21" t="n">
        <v>44056</v>
      </c>
      <c r="B157" t="n">
        <v>1.26e-09</v>
      </c>
    </row>
    <row r="158">
      <c r="A158" s="21" t="n">
        <v>44057</v>
      </c>
      <c r="B158" t="n">
        <v>1e-11</v>
      </c>
    </row>
    <row r="159">
      <c r="A159" s="21" t="n">
        <v>44060</v>
      </c>
      <c r="B159" t="n">
        <v>5.4e-10</v>
      </c>
    </row>
    <row r="160">
      <c r="A160" s="21" t="n">
        <v>44061</v>
      </c>
      <c r="B160" t="n">
        <v>2e-11</v>
      </c>
    </row>
    <row r="161">
      <c r="A161" s="21" t="n">
        <v>44062</v>
      </c>
      <c r="B161" t="n">
        <v>1.12e-09</v>
      </c>
    </row>
    <row r="162">
      <c r="A162" s="21" t="n">
        <v>44063</v>
      </c>
      <c r="B162" t="n">
        <v>1.5e-09</v>
      </c>
    </row>
    <row r="163">
      <c r="A163" s="21" t="n">
        <v>44064</v>
      </c>
      <c r="B163" t="n">
        <v>0</v>
      </c>
    </row>
    <row r="164">
      <c r="A164" s="21" t="n">
        <v>44067</v>
      </c>
      <c r="B164" t="n">
        <v>0</v>
      </c>
    </row>
    <row r="165">
      <c r="A165" s="21" t="n">
        <v>44068</v>
      </c>
      <c r="B165" t="n">
        <v>1.2e-10</v>
      </c>
    </row>
    <row r="166">
      <c r="A166" s="21" t="n">
        <v>44069</v>
      </c>
      <c r="B166" t="n">
        <v>9e-11</v>
      </c>
    </row>
    <row r="167">
      <c r="A167" s="21" t="n">
        <v>44070</v>
      </c>
      <c r="B167" t="n">
        <v>2e-11</v>
      </c>
    </row>
    <row r="168">
      <c r="A168" s="21" t="n">
        <v>44071</v>
      </c>
      <c r="B168" t="n">
        <v>0</v>
      </c>
    </row>
    <row r="169">
      <c r="A169" s="21" t="n">
        <v>44074</v>
      </c>
      <c r="B169" t="n">
        <v>1.1e-10</v>
      </c>
    </row>
    <row r="170">
      <c r="A170" s="21" t="n">
        <v>44075</v>
      </c>
      <c r="B170" t="n">
        <v>8.000000000000001e-11</v>
      </c>
    </row>
    <row r="171">
      <c r="A171" s="21" t="n">
        <v>44076</v>
      </c>
      <c r="B171" t="n">
        <v>1.4e-10</v>
      </c>
    </row>
    <row r="172">
      <c r="A172" s="21" t="n">
        <v>44077</v>
      </c>
      <c r="B172" t="n">
        <v>0</v>
      </c>
    </row>
    <row r="173">
      <c r="A173" s="21" t="n">
        <v>44078</v>
      </c>
      <c r="B173" t="n">
        <v>0</v>
      </c>
    </row>
    <row r="174">
      <c r="A174" s="21" t="n">
        <v>44082</v>
      </c>
      <c r="B174" t="n">
        <v>0</v>
      </c>
    </row>
    <row r="175">
      <c r="A175" s="21" t="n">
        <v>44083</v>
      </c>
      <c r="B175" t="n">
        <v>1e-11</v>
      </c>
    </row>
    <row r="176">
      <c r="A176" s="21" t="n">
        <v>44084</v>
      </c>
      <c r="B176" t="n">
        <v>1e-10</v>
      </c>
    </row>
    <row r="177">
      <c r="A177" s="21" t="n">
        <v>44085</v>
      </c>
      <c r="B177" t="n">
        <v>0</v>
      </c>
    </row>
    <row r="178">
      <c r="A178" s="21" t="n">
        <v>44088</v>
      </c>
      <c r="B178" t="n">
        <v>1e-11</v>
      </c>
    </row>
    <row r="179">
      <c r="A179" s="21" t="n">
        <v>44089</v>
      </c>
      <c r="B179" t="n">
        <v>2e-11</v>
      </c>
    </row>
    <row r="180">
      <c r="A180" s="21" t="n">
        <v>44090</v>
      </c>
      <c r="B180" t="n">
        <v>5.5e-10</v>
      </c>
    </row>
    <row r="181">
      <c r="A181" s="21" t="n">
        <v>44091</v>
      </c>
      <c r="B181" t="n">
        <v>1e-11</v>
      </c>
    </row>
    <row r="182">
      <c r="A182" s="21" t="n">
        <v>44092</v>
      </c>
      <c r="B182" t="n">
        <v>0</v>
      </c>
    </row>
    <row r="183">
      <c r="A183" s="21" t="n">
        <v>44095</v>
      </c>
      <c r="B183" t="n">
        <v>5.4e-10</v>
      </c>
    </row>
    <row r="184">
      <c r="A184" s="21" t="n">
        <v>44096</v>
      </c>
      <c r="B184" t="n">
        <v>0</v>
      </c>
    </row>
    <row r="185">
      <c r="A185" s="21" t="n">
        <v>44097</v>
      </c>
      <c r="B185" t="n">
        <v>1e-11</v>
      </c>
    </row>
    <row r="186">
      <c r="A186" s="21" t="n">
        <v>44098</v>
      </c>
      <c r="B186" t="n">
        <v>4e-11</v>
      </c>
    </row>
    <row r="187">
      <c r="A187" s="21" t="n">
        <v>44099</v>
      </c>
      <c r="B187" t="n">
        <v>0</v>
      </c>
    </row>
    <row r="188">
      <c r="A188" s="21" t="n">
        <v>44102</v>
      </c>
      <c r="B188" t="n">
        <v>0</v>
      </c>
    </row>
    <row r="189">
      <c r="A189" s="21" t="n">
        <v>44103</v>
      </c>
      <c r="B189" t="n">
        <v>1.301e-08</v>
      </c>
    </row>
    <row r="190">
      <c r="A190" s="21" t="n">
        <v>44104</v>
      </c>
      <c r="B190" t="n">
        <v>8.5e-09</v>
      </c>
    </row>
    <row r="191">
      <c r="A191" s="21" t="n">
        <v>44105</v>
      </c>
      <c r="B191" t="n">
        <v>1e-11</v>
      </c>
    </row>
    <row r="192">
      <c r="A192" s="21" t="n">
        <v>44106</v>
      </c>
      <c r="B192" t="n">
        <v>0</v>
      </c>
    </row>
    <row r="193">
      <c r="A193" s="21" t="n">
        <v>44109</v>
      </c>
      <c r="B193" t="n">
        <v>0</v>
      </c>
    </row>
    <row r="194">
      <c r="A194" s="21" t="n">
        <v>44110</v>
      </c>
      <c r="B194" t="n">
        <v>0</v>
      </c>
    </row>
    <row r="195">
      <c r="A195" s="21" t="n">
        <v>44111</v>
      </c>
      <c r="B195" t="n">
        <v>1.1e-10</v>
      </c>
    </row>
    <row r="196">
      <c r="A196" s="21" t="n">
        <v>44112</v>
      </c>
      <c r="B196" t="n">
        <v>2.12e-09</v>
      </c>
    </row>
    <row r="197">
      <c r="A197" s="21" t="n">
        <v>44113</v>
      </c>
      <c r="B197" t="n">
        <v>0</v>
      </c>
    </row>
    <row r="198">
      <c r="A198" s="21" t="n">
        <v>44117</v>
      </c>
      <c r="B198" t="n">
        <v>0</v>
      </c>
    </row>
    <row r="199">
      <c r="A199" s="21" t="n">
        <v>44118</v>
      </c>
      <c r="B199" t="n">
        <v>0</v>
      </c>
    </row>
    <row r="200">
      <c r="A200" s="21" t="n">
        <v>44119</v>
      </c>
      <c r="B200" t="n">
        <v>1e-11</v>
      </c>
    </row>
    <row r="201">
      <c r="A201" s="21" t="n">
        <v>44120</v>
      </c>
      <c r="B201" t="n">
        <v>2e-11</v>
      </c>
    </row>
    <row r="202">
      <c r="A202" s="21" t="n">
        <v>44123</v>
      </c>
      <c r="B202" t="n">
        <v>4e-11</v>
      </c>
    </row>
    <row r="203">
      <c r="A203" s="21" t="n">
        <v>44124</v>
      </c>
      <c r="B203" t="n">
        <v>7e-11</v>
      </c>
    </row>
    <row r="204">
      <c r="A204" s="21" t="n">
        <v>44125</v>
      </c>
      <c r="B204" t="n">
        <v>0</v>
      </c>
    </row>
    <row r="205">
      <c r="A205" s="21" t="n">
        <v>44126</v>
      </c>
      <c r="B205" t="n">
        <v>1e-11</v>
      </c>
    </row>
    <row r="206">
      <c r="A206" s="21" t="n">
        <v>44127</v>
      </c>
      <c r="B206" t="n">
        <v>0</v>
      </c>
    </row>
    <row r="207">
      <c r="A207" s="21" t="n">
        <v>44130</v>
      </c>
      <c r="B207" t="n">
        <v>1e-11</v>
      </c>
    </row>
    <row r="208">
      <c r="A208" s="21" t="n">
        <v>44131</v>
      </c>
      <c r="B208" t="n">
        <v>0</v>
      </c>
    </row>
    <row r="209">
      <c r="A209" s="21" t="n">
        <v>44132</v>
      </c>
      <c r="B209" t="n">
        <v>5e-11</v>
      </c>
    </row>
    <row r="210">
      <c r="A210" s="21" t="n">
        <v>44133</v>
      </c>
      <c r="B210" t="n">
        <v>1.4e-10</v>
      </c>
    </row>
    <row r="211">
      <c r="A211" s="21" t="n">
        <v>44134</v>
      </c>
      <c r="B211" t="n">
        <v>1e-11</v>
      </c>
    </row>
    <row r="212">
      <c r="A212" s="21" t="n">
        <v>44137</v>
      </c>
      <c r="B212" t="n">
        <v>0</v>
      </c>
    </row>
    <row r="213">
      <c r="A213" s="21" t="n">
        <v>44138</v>
      </c>
      <c r="B213" t="n">
        <v>0</v>
      </c>
    </row>
    <row r="214">
      <c r="A214" s="21" t="n">
        <v>44139</v>
      </c>
      <c r="B214" t="n">
        <v>0</v>
      </c>
    </row>
    <row r="215">
      <c r="A215" s="21" t="n">
        <v>44140</v>
      </c>
      <c r="B215" t="n">
        <v>0</v>
      </c>
    </row>
    <row r="216">
      <c r="A216" s="21" t="n">
        <v>44141</v>
      </c>
      <c r="B216" t="n">
        <v>0</v>
      </c>
    </row>
    <row r="217">
      <c r="A217" s="21" t="n">
        <v>44144</v>
      </c>
      <c r="B217" t="n">
        <v>0</v>
      </c>
    </row>
    <row r="218">
      <c r="A218" s="21" t="n">
        <v>44145</v>
      </c>
      <c r="B218" t="n">
        <v>0</v>
      </c>
    </row>
    <row r="219">
      <c r="A219" s="21" t="n">
        <v>44147</v>
      </c>
      <c r="B219" t="n">
        <v>0</v>
      </c>
    </row>
    <row r="220">
      <c r="A220" s="21" t="n">
        <v>44148</v>
      </c>
      <c r="B220" t="n">
        <v>3e-11</v>
      </c>
    </row>
    <row r="221">
      <c r="A221" s="21" t="n">
        <v>44151</v>
      </c>
      <c r="B221" t="n">
        <v>1.3e-10</v>
      </c>
    </row>
    <row r="222">
      <c r="A222" s="21" t="n">
        <v>44152</v>
      </c>
      <c r="B222" t="n">
        <v>0</v>
      </c>
    </row>
    <row r="223">
      <c r="A223" s="21" t="n">
        <v>44153</v>
      </c>
      <c r="B223" t="n">
        <v>1.03e-09</v>
      </c>
    </row>
    <row r="224">
      <c r="A224" s="21" t="n">
        <v>44154</v>
      </c>
      <c r="B224" t="n">
        <v>2e-08</v>
      </c>
    </row>
    <row r="225">
      <c r="A225" s="21" t="n">
        <v>44155</v>
      </c>
      <c r="B225" t="n">
        <v>0</v>
      </c>
    </row>
    <row r="226">
      <c r="A226" s="21" t="n">
        <v>44158</v>
      </c>
      <c r="B226" t="n">
        <v>4.85e-09</v>
      </c>
    </row>
    <row r="227">
      <c r="A227" s="21" t="n">
        <v>44159</v>
      </c>
      <c r="B227" t="n">
        <v>1e-11</v>
      </c>
    </row>
    <row r="228">
      <c r="A228" s="21" t="n">
        <v>44160</v>
      </c>
      <c r="B228" t="n">
        <v>0</v>
      </c>
    </row>
    <row r="229">
      <c r="A229" s="21" t="n">
        <v>44162</v>
      </c>
      <c r="B229" t="n">
        <v>0</v>
      </c>
    </row>
    <row r="230">
      <c r="A230" s="21" t="n">
        <v>44165</v>
      </c>
      <c r="B230" t="n">
        <v>6e-11</v>
      </c>
    </row>
    <row r="231">
      <c r="A231" s="21" t="n">
        <v>44166</v>
      </c>
      <c r="B231" t="n">
        <v>2e-11</v>
      </c>
    </row>
    <row r="232">
      <c r="A232" s="21" t="n">
        <v>44167</v>
      </c>
      <c r="B232" t="n">
        <v>1e-11</v>
      </c>
    </row>
    <row r="233">
      <c r="A233" s="21" t="n">
        <v>44168</v>
      </c>
      <c r="B233" t="n">
        <v>0</v>
      </c>
    </row>
    <row r="234">
      <c r="A234" s="21" t="n">
        <v>44169</v>
      </c>
      <c r="B234" t="n">
        <v>0</v>
      </c>
    </row>
    <row r="235">
      <c r="A235" s="21" t="n">
        <v>44172</v>
      </c>
      <c r="B235" t="n">
        <v>1e-11</v>
      </c>
    </row>
    <row r="236">
      <c r="A236" s="21" t="n">
        <v>44173</v>
      </c>
      <c r="B236" t="n">
        <v>1e-11</v>
      </c>
    </row>
    <row r="237">
      <c r="A237" s="21" t="n">
        <v>44174</v>
      </c>
      <c r="B237" t="n">
        <v>3e-11</v>
      </c>
    </row>
    <row r="238">
      <c r="A238" s="21" t="n">
        <v>44175</v>
      </c>
      <c r="B238" t="n">
        <v>1e-11</v>
      </c>
    </row>
    <row r="239">
      <c r="A239" s="21" t="n">
        <v>44176</v>
      </c>
      <c r="B239" t="n">
        <v>0</v>
      </c>
    </row>
    <row r="240">
      <c r="A240" s="21" t="n">
        <v>44179</v>
      </c>
      <c r="B240" t="n">
        <v>1e-09</v>
      </c>
    </row>
    <row r="241">
      <c r="A241" s="21" t="n">
        <v>44180</v>
      </c>
      <c r="B241" t="n">
        <v>1e-11</v>
      </c>
    </row>
    <row r="242">
      <c r="A242" s="21" t="n">
        <v>44181</v>
      </c>
      <c r="B242" t="n">
        <v>2.6e-10</v>
      </c>
    </row>
    <row r="243">
      <c r="A243" s="21" t="n">
        <v>44182</v>
      </c>
      <c r="B243" t="n">
        <v>1.4e-10</v>
      </c>
    </row>
    <row r="244">
      <c r="A244" s="21" t="n">
        <v>44183</v>
      </c>
      <c r="B244" t="n">
        <v>3.2e-10</v>
      </c>
    </row>
    <row r="245">
      <c r="A245" s="21" t="n">
        <v>44186</v>
      </c>
      <c r="B245" t="n">
        <v>4.35e-09</v>
      </c>
    </row>
    <row r="246">
      <c r="A246" s="21" t="n">
        <v>44187</v>
      </c>
      <c r="B246" t="n">
        <v>4.06e-09</v>
      </c>
    </row>
    <row r="247">
      <c r="A247" s="21" t="n">
        <v>44188</v>
      </c>
      <c r="B247" t="n">
        <v>8.57e-09</v>
      </c>
    </row>
    <row r="248">
      <c r="A248" s="21" t="n">
        <v>44189</v>
      </c>
      <c r="B248" t="n">
        <v>1e-10</v>
      </c>
    </row>
    <row r="249">
      <c r="A249" s="21" t="n">
        <v>44193</v>
      </c>
      <c r="B249" t="n">
        <v>9.010000000000001e-09</v>
      </c>
    </row>
    <row r="250">
      <c r="A250" s="21" t="n">
        <v>44194</v>
      </c>
      <c r="B250" t="n">
        <v>2.57e-09</v>
      </c>
    </row>
    <row r="251">
      <c r="A251" s="21" t="n">
        <v>44195</v>
      </c>
      <c r="B251" t="n">
        <v>6.520000000000001e-09</v>
      </c>
    </row>
    <row r="252">
      <c r="A252" s="21" t="n">
        <v>44196</v>
      </c>
      <c r="B252" t="n">
        <v>9.651e-08</v>
      </c>
    </row>
    <row r="253">
      <c r="A253" s="21" t="n">
        <v>44200</v>
      </c>
      <c r="B253" t="n">
        <v>1e-11</v>
      </c>
    </row>
    <row r="254">
      <c r="A254" s="21" t="n">
        <v>44201</v>
      </c>
      <c r="B254" t="n">
        <v>5e-11</v>
      </c>
    </row>
    <row r="255">
      <c r="A255" s="21" t="n">
        <v>44202</v>
      </c>
      <c r="B255" t="n">
        <v>4e-11</v>
      </c>
    </row>
    <row r="256">
      <c r="A256" s="21" t="n">
        <v>44203</v>
      </c>
      <c r="B256" t="n">
        <v>1e-11</v>
      </c>
    </row>
    <row r="257">
      <c r="A257" s="21" t="n">
        <v>44204</v>
      </c>
      <c r="B257" t="n">
        <v>0</v>
      </c>
    </row>
    <row r="258">
      <c r="A258" s="21" t="n">
        <v>44207</v>
      </c>
      <c r="B258" t="n">
        <v>0</v>
      </c>
    </row>
    <row r="259">
      <c r="A259" s="21" t="n">
        <v>44208</v>
      </c>
      <c r="B259" t="n">
        <v>0</v>
      </c>
    </row>
    <row r="260">
      <c r="A260" s="21" t="n">
        <v>44209</v>
      </c>
      <c r="B260" t="n">
        <v>0</v>
      </c>
    </row>
    <row r="261">
      <c r="A261" s="21" t="n">
        <v>44210</v>
      </c>
      <c r="B261" t="n">
        <v>6e-09</v>
      </c>
    </row>
    <row r="262">
      <c r="A262" s="21" t="n">
        <v>44211</v>
      </c>
      <c r="B262" t="n">
        <v>0</v>
      </c>
    </row>
    <row r="263">
      <c r="A263" s="21" t="n">
        <v>44215</v>
      </c>
      <c r="B263" t="n">
        <v>4e-11</v>
      </c>
    </row>
    <row r="264">
      <c r="A264" s="21" t="n">
        <v>44216</v>
      </c>
      <c r="B264" t="n">
        <v>1.806e-08</v>
      </c>
    </row>
    <row r="265">
      <c r="A265" s="21" t="n">
        <v>44217</v>
      </c>
      <c r="B265" t="n">
        <v>1.201e-08</v>
      </c>
    </row>
    <row r="266">
      <c r="A266" s="21" t="n">
        <v>44218</v>
      </c>
      <c r="B266" t="n">
        <v>0</v>
      </c>
    </row>
    <row r="267">
      <c r="A267" s="21" t="n">
        <v>44221</v>
      </c>
      <c r="B267" t="n">
        <v>2.2e-08</v>
      </c>
    </row>
    <row r="268">
      <c r="A268" s="21" t="n">
        <v>44222</v>
      </c>
      <c r="B268" t="n">
        <v>1.631e-08</v>
      </c>
    </row>
    <row r="269">
      <c r="A269" s="21" t="n">
        <v>44223</v>
      </c>
      <c r="B269" t="n">
        <v>1.152e-08</v>
      </c>
    </row>
    <row r="270">
      <c r="A270" s="21" t="n">
        <v>44224</v>
      </c>
      <c r="B270" t="n">
        <v>2.655e-08</v>
      </c>
    </row>
    <row r="271">
      <c r="A271" s="21" t="n">
        <v>44225</v>
      </c>
      <c r="B271" t="n">
        <v>7.1e-08</v>
      </c>
    </row>
    <row r="272">
      <c r="A272" s="21" t="n">
        <v>44228</v>
      </c>
      <c r="B272" t="n">
        <v>1.2e-10</v>
      </c>
    </row>
    <row r="273">
      <c r="A273" s="21" t="n">
        <v>44229</v>
      </c>
      <c r="B273" t="n">
        <v>1.1e-10</v>
      </c>
    </row>
    <row r="274">
      <c r="A274" s="21" t="n">
        <v>44230</v>
      </c>
      <c r="B274" t="n">
        <v>1.78e-09</v>
      </c>
    </row>
    <row r="275">
      <c r="A275" s="21" t="n">
        <v>44231</v>
      </c>
      <c r="B275" t="n">
        <v>5e-09</v>
      </c>
    </row>
    <row r="276">
      <c r="A276" s="21" t="n">
        <v>44232</v>
      </c>
      <c r="B276" t="n">
        <v>1e-10</v>
      </c>
    </row>
    <row r="277">
      <c r="A277" s="21" t="n">
        <v>44235</v>
      </c>
      <c r="B277" t="n">
        <v>2e-11</v>
      </c>
    </row>
    <row r="278">
      <c r="A278" s="21" t="n">
        <v>44236</v>
      </c>
      <c r="B278" t="n">
        <v>1e-11</v>
      </c>
    </row>
    <row r="279">
      <c r="A279" s="21" t="n">
        <v>44237</v>
      </c>
      <c r="B279" t="n">
        <v>0</v>
      </c>
    </row>
    <row r="280">
      <c r="A280" s="21" t="n">
        <v>44238</v>
      </c>
      <c r="B280" t="n">
        <v>1.08e-09</v>
      </c>
    </row>
    <row r="281">
      <c r="A281" s="21" t="n">
        <v>44239</v>
      </c>
      <c r="B281" t="n">
        <v>1e-11</v>
      </c>
    </row>
    <row r="282">
      <c r="A282" s="21" t="n">
        <v>44243</v>
      </c>
      <c r="B282" t="n">
        <v>4e-11</v>
      </c>
    </row>
    <row r="283">
      <c r="A283" s="21" t="n">
        <v>44244</v>
      </c>
      <c r="B283" t="n">
        <v>5e-10</v>
      </c>
    </row>
    <row r="284">
      <c r="A284" s="21" t="n">
        <v>44245</v>
      </c>
      <c r="B284" t="n">
        <v>0</v>
      </c>
    </row>
    <row r="285">
      <c r="A285" s="21" t="n">
        <v>44246</v>
      </c>
      <c r="B285" t="n">
        <v>2e-11</v>
      </c>
    </row>
    <row r="286">
      <c r="A286" s="21" t="n">
        <v>44249</v>
      </c>
      <c r="B286" t="n">
        <v>1.1e-08</v>
      </c>
    </row>
    <row r="287">
      <c r="A287" s="21" t="n">
        <v>44250</v>
      </c>
      <c r="B287" t="n">
        <v>4.35e-09</v>
      </c>
    </row>
    <row r="288">
      <c r="A288" s="21" t="n">
        <v>44251</v>
      </c>
      <c r="B288" t="n">
        <v>1e-11</v>
      </c>
    </row>
    <row r="289">
      <c r="A289" s="21" t="n">
        <v>44252</v>
      </c>
      <c r="B289" t="n">
        <v>9.976000000000001e-08</v>
      </c>
    </row>
    <row r="290">
      <c r="A290" s="21" t="n">
        <v>44253</v>
      </c>
      <c r="B290" t="n">
        <v>1.12e-07</v>
      </c>
    </row>
    <row r="291">
      <c r="A291" s="21" t="n">
        <v>44256</v>
      </c>
      <c r="B291" t="n">
        <v>0</v>
      </c>
    </row>
    <row r="292">
      <c r="A292" s="21" t="n">
        <v>44257</v>
      </c>
      <c r="B292" t="n">
        <v>5e-11</v>
      </c>
    </row>
    <row r="293">
      <c r="A293" s="21" t="n">
        <v>44258</v>
      </c>
      <c r="B293" t="n">
        <v>5.07e-09</v>
      </c>
    </row>
    <row r="294">
      <c r="A294" s="21" t="n">
        <v>44259</v>
      </c>
      <c r="B294" t="n">
        <v>2.1e-08</v>
      </c>
    </row>
    <row r="295">
      <c r="A295" s="21" t="n">
        <v>44260</v>
      </c>
      <c r="B295" t="n">
        <v>1e-08</v>
      </c>
    </row>
    <row r="296">
      <c r="A296" s="21" t="n">
        <v>44263</v>
      </c>
      <c r="B296" t="n">
        <v>2.5e-10</v>
      </c>
    </row>
    <row r="297">
      <c r="A297" s="21" t="n">
        <v>44264</v>
      </c>
      <c r="B297" t="n">
        <v>0</v>
      </c>
    </row>
    <row r="298">
      <c r="A298" s="21" t="n">
        <v>44265</v>
      </c>
      <c r="B298" t="n">
        <v>1e-09</v>
      </c>
    </row>
    <row r="299">
      <c r="A299" s="21" t="n">
        <v>44266</v>
      </c>
      <c r="B299" t="n">
        <v>1.1051e-07</v>
      </c>
    </row>
    <row r="300">
      <c r="A300" s="21" t="n">
        <v>44267</v>
      </c>
      <c r="B300" t="n">
        <v>6.8e-08</v>
      </c>
    </row>
    <row r="301">
      <c r="A301" s="21" t="n">
        <v>44270</v>
      </c>
      <c r="B301" t="n">
        <v>3e-11</v>
      </c>
    </row>
    <row r="302">
      <c r="A302" s="21" t="n">
        <v>44271</v>
      </c>
      <c r="B302" t="n">
        <v>7.019999999999999e-09</v>
      </c>
    </row>
    <row r="303">
      <c r="A303" s="21" t="n">
        <v>44272</v>
      </c>
      <c r="B303" t="n">
        <v>0</v>
      </c>
    </row>
    <row r="304">
      <c r="A304" s="21" t="n">
        <v>44273</v>
      </c>
      <c r="B304" t="n">
        <v>2.657e-07</v>
      </c>
    </row>
    <row r="305">
      <c r="A305" s="21" t="n">
        <v>44274</v>
      </c>
      <c r="B305" t="n">
        <v>1.8908e-07</v>
      </c>
    </row>
    <row r="306">
      <c r="A306" s="21" t="n">
        <v>44277</v>
      </c>
      <c r="B306" t="n">
        <v>2.2242e-07</v>
      </c>
    </row>
    <row r="307">
      <c r="A307" s="21" t="n">
        <v>44278</v>
      </c>
      <c r="B307" t="n">
        <v>1.9526e-07</v>
      </c>
    </row>
    <row r="308">
      <c r="A308" s="21" t="n">
        <v>44279</v>
      </c>
      <c r="B308" t="n">
        <v>2.1902e-07</v>
      </c>
    </row>
    <row r="309">
      <c r="A309" s="21" t="n">
        <v>44280</v>
      </c>
      <c r="B309" t="n">
        <v>1.01e-07</v>
      </c>
    </row>
    <row r="310">
      <c r="A310" s="21" t="n">
        <v>44281</v>
      </c>
      <c r="B310" t="n">
        <v>1.145e-07</v>
      </c>
    </row>
    <row r="311">
      <c r="A311" s="21" t="n">
        <v>44284</v>
      </c>
      <c r="B311" t="n">
        <v>4.0354e-07</v>
      </c>
    </row>
    <row r="312">
      <c r="A312" s="21" t="n">
        <v>44285</v>
      </c>
      <c r="B312" t="n">
        <v>1.04725e-06</v>
      </c>
    </row>
    <row r="313">
      <c r="A313" s="21" t="n">
        <v>44286</v>
      </c>
      <c r="B313" t="n">
        <v>1.34307e-06</v>
      </c>
    </row>
    <row r="314">
      <c r="A314" s="21" t="n">
        <v>44287</v>
      </c>
      <c r="B314" t="n">
        <v>9.574999999999999e-08</v>
      </c>
    </row>
    <row r="315">
      <c r="A315" s="21" t="n">
        <v>44291</v>
      </c>
      <c r="B315" t="n">
        <v>3.45e-08</v>
      </c>
    </row>
    <row r="316">
      <c r="A316" s="21" t="n">
        <v>44292</v>
      </c>
      <c r="B316" t="n">
        <v>1.8951e-07</v>
      </c>
    </row>
    <row r="317">
      <c r="A317" s="21" t="n">
        <v>44293</v>
      </c>
      <c r="B317" t="n">
        <v>3.5035e-07</v>
      </c>
    </row>
    <row r="318">
      <c r="A318" s="21" t="n">
        <v>44294</v>
      </c>
      <c r="B318" t="n">
        <v>2.764e-07</v>
      </c>
    </row>
    <row r="319">
      <c r="A319" s="21" t="n">
        <v>44295</v>
      </c>
      <c r="B319" t="n">
        <v>3.1265e-07</v>
      </c>
    </row>
    <row r="320">
      <c r="A320" s="21" t="n">
        <v>44298</v>
      </c>
      <c r="B320" t="n">
        <v>3.0221e-07</v>
      </c>
    </row>
    <row r="321">
      <c r="A321" s="21" t="n">
        <v>44299</v>
      </c>
      <c r="B321" t="n">
        <v>3.7543e-07</v>
      </c>
    </row>
    <row r="322">
      <c r="A322" s="21" t="n">
        <v>44300</v>
      </c>
      <c r="B322" t="n">
        <v>5.0856e-07</v>
      </c>
    </row>
    <row r="323">
      <c r="A323" s="21" t="n">
        <v>44301</v>
      </c>
      <c r="B323" t="n">
        <v>2.8626e-07</v>
      </c>
    </row>
    <row r="324">
      <c r="A324" s="21" t="n">
        <v>44302</v>
      </c>
      <c r="B324" t="n">
        <v>3.994e-07</v>
      </c>
    </row>
    <row r="325">
      <c r="A325" s="21" t="n">
        <v>44305</v>
      </c>
      <c r="B325" t="n">
        <v>5.379800000000001e-07</v>
      </c>
    </row>
    <row r="326">
      <c r="A326" s="21" t="n">
        <v>44306</v>
      </c>
      <c r="B326" t="n">
        <v>6.7747e-07</v>
      </c>
    </row>
    <row r="327">
      <c r="A327" s="21" t="n">
        <v>44307</v>
      </c>
      <c r="B327" t="n">
        <v>8.132899999999999e-07</v>
      </c>
    </row>
    <row r="328">
      <c r="A328" s="21" t="n">
        <v>44308</v>
      </c>
      <c r="B328" t="n">
        <v>1.02644e-06</v>
      </c>
    </row>
    <row r="329">
      <c r="A329" s="21" t="n">
        <v>44309</v>
      </c>
      <c r="B329" t="n">
        <v>7.3794e-07</v>
      </c>
    </row>
    <row r="330">
      <c r="A330" s="21" t="n">
        <v>44312</v>
      </c>
      <c r="B330" t="n">
        <v>1.00916e-06</v>
      </c>
    </row>
    <row r="331">
      <c r="A331" s="21" t="n">
        <v>44313</v>
      </c>
      <c r="B331" t="n">
        <v>1.42172e-06</v>
      </c>
    </row>
    <row r="332">
      <c r="A332" s="21" t="n">
        <v>44314</v>
      </c>
      <c r="B332" t="n">
        <v>1.66732e-06</v>
      </c>
    </row>
    <row r="333">
      <c r="A333" s="21" t="n">
        <v>44315</v>
      </c>
      <c r="B333" t="n">
        <v>1.73469e-06</v>
      </c>
    </row>
    <row r="334">
      <c r="A334" s="21" t="n">
        <v>44316</v>
      </c>
      <c r="B334" t="n">
        <v>1.83234e-06</v>
      </c>
    </row>
    <row r="335">
      <c r="A335" s="21" t="n">
        <v>44319</v>
      </c>
      <c r="B335" t="n">
        <v>1.29724e-06</v>
      </c>
    </row>
    <row r="336">
      <c r="A336" s="21" t="n">
        <v>44320</v>
      </c>
      <c r="B336" t="n">
        <v>1.47806e-06</v>
      </c>
    </row>
    <row r="337">
      <c r="A337" s="21" t="n">
        <v>44321</v>
      </c>
      <c r="B337" t="n">
        <v>1.628e-06</v>
      </c>
    </row>
    <row r="338">
      <c r="A338" s="21" t="n">
        <v>44322</v>
      </c>
      <c r="B338" t="n">
        <v>1.54921e-06</v>
      </c>
    </row>
    <row r="339">
      <c r="A339" s="21" t="n">
        <v>44323</v>
      </c>
      <c r="B339" t="n">
        <v>1.61856e-06</v>
      </c>
    </row>
    <row r="340">
      <c r="A340" s="21" t="n">
        <v>44326</v>
      </c>
      <c r="B340" t="n">
        <v>1.75548e-06</v>
      </c>
    </row>
    <row r="341">
      <c r="A341" s="21" t="n">
        <v>44327</v>
      </c>
      <c r="B341" t="n">
        <v>1.81753e-06</v>
      </c>
    </row>
    <row r="342">
      <c r="A342" s="21" t="n">
        <v>44328</v>
      </c>
      <c r="B342" t="n">
        <v>2.09257e-06</v>
      </c>
    </row>
    <row r="343">
      <c r="A343" s="21" t="n">
        <v>44329</v>
      </c>
      <c r="B343" t="n">
        <v>2.35217e-06</v>
      </c>
    </row>
    <row r="344">
      <c r="A344" s="21" t="n">
        <v>44330</v>
      </c>
      <c r="B344" t="n">
        <v>2.41185e-06</v>
      </c>
    </row>
    <row r="345">
      <c r="A345" s="21" t="n">
        <v>44333</v>
      </c>
      <c r="B345" t="n">
        <v>2.0896e-06</v>
      </c>
    </row>
    <row r="346">
      <c r="A346" s="21" t="n">
        <v>44334</v>
      </c>
      <c r="B346" t="n">
        <v>2.4347e-06</v>
      </c>
    </row>
    <row r="347">
      <c r="A347" s="21" t="n">
        <v>44335</v>
      </c>
      <c r="B347" t="n">
        <v>2.93998e-06</v>
      </c>
    </row>
    <row r="348">
      <c r="A348" s="21" t="n">
        <v>44336</v>
      </c>
      <c r="B348" t="n">
        <v>3.51121e-06</v>
      </c>
    </row>
    <row r="349">
      <c r="A349" s="21" t="n">
        <v>44337</v>
      </c>
      <c r="B349" t="n">
        <v>3.69046e-06</v>
      </c>
    </row>
    <row r="350">
      <c r="A350" s="21" t="n">
        <v>44340</v>
      </c>
      <c r="B350" t="n">
        <v>3.94941e-06</v>
      </c>
    </row>
    <row r="351">
      <c r="A351" s="21" t="n">
        <v>44341</v>
      </c>
      <c r="B351" t="n">
        <v>4.32955e-06</v>
      </c>
    </row>
    <row r="352">
      <c r="A352" s="21" t="n">
        <v>44342</v>
      </c>
      <c r="B352" t="n">
        <v>4.50283e-06</v>
      </c>
    </row>
    <row r="353">
      <c r="A353" s="21" t="n">
        <v>44343</v>
      </c>
      <c r="B353" t="n">
        <v>4.85329e-06</v>
      </c>
    </row>
    <row r="354">
      <c r="A354" s="21" t="n">
        <v>44344</v>
      </c>
      <c r="B354" t="n">
        <v>4.79498e-06</v>
      </c>
    </row>
    <row r="355">
      <c r="A355" s="21" t="n">
        <v>44348</v>
      </c>
      <c r="B355" t="n">
        <v>4.47985e-06</v>
      </c>
    </row>
    <row r="356">
      <c r="A356" s="21" t="n">
        <v>44349</v>
      </c>
      <c r="B356" t="n">
        <v>4.38778e-06</v>
      </c>
    </row>
    <row r="357">
      <c r="A357" s="21" t="n">
        <v>44350</v>
      </c>
      <c r="B357" t="n">
        <v>4.79102e-06</v>
      </c>
    </row>
    <row r="358">
      <c r="A358" s="21" t="n">
        <v>44351</v>
      </c>
      <c r="B358" t="n">
        <v>4.83349e-06</v>
      </c>
    </row>
    <row r="359">
      <c r="A359" s="21" t="n">
        <v>44354</v>
      </c>
      <c r="B359" t="n">
        <v>4.86097e-06</v>
      </c>
    </row>
    <row r="360">
      <c r="A360" s="21" t="n">
        <v>44355</v>
      </c>
      <c r="B360" t="n">
        <v>4.97428e-06</v>
      </c>
    </row>
    <row r="361">
      <c r="A361" s="21" t="n">
        <v>44356</v>
      </c>
      <c r="B361" t="n">
        <v>5.02904e-06</v>
      </c>
    </row>
    <row r="362">
      <c r="A362" s="21" t="n">
        <v>44357</v>
      </c>
      <c r="B362" t="n">
        <v>5.34943e-06</v>
      </c>
    </row>
    <row r="363">
      <c r="A363" s="21" t="n">
        <v>44358</v>
      </c>
      <c r="B363" t="n">
        <v>5.47808e-06</v>
      </c>
    </row>
    <row r="364">
      <c r="A364" s="21" t="n">
        <v>44361</v>
      </c>
      <c r="B364" t="n">
        <v>5.838920000000001e-06</v>
      </c>
    </row>
    <row r="365">
      <c r="A365" s="21" t="n">
        <v>44362</v>
      </c>
      <c r="B365" t="n">
        <v>5.09559e-06</v>
      </c>
    </row>
    <row r="366">
      <c r="A366" s="21" t="n">
        <v>44363</v>
      </c>
      <c r="B366" t="n">
        <v>5.20942e-06</v>
      </c>
    </row>
    <row r="367">
      <c r="A367" s="21" t="n">
        <v>44364</v>
      </c>
      <c r="B367" t="n">
        <v>7.557999999999999e-06</v>
      </c>
    </row>
    <row r="368">
      <c r="A368" s="21" t="n">
        <v>44365</v>
      </c>
      <c r="B368" t="n">
        <v>7.47121e-06</v>
      </c>
    </row>
    <row r="369">
      <c r="A369" s="21" t="n">
        <v>44368</v>
      </c>
      <c r="B369" t="n">
        <v>7.65141e-06</v>
      </c>
    </row>
    <row r="370">
      <c r="A370" s="21" t="n">
        <v>44369</v>
      </c>
      <c r="B370" t="n">
        <v>7.91605e-06</v>
      </c>
    </row>
    <row r="371">
      <c r="A371" s="21" t="n">
        <v>44370</v>
      </c>
      <c r="B371" t="n">
        <v>8.136499999999999e-06</v>
      </c>
    </row>
    <row r="372">
      <c r="A372" s="21" t="n">
        <v>44371</v>
      </c>
      <c r="B372" t="n">
        <v>8.13048e-06</v>
      </c>
    </row>
    <row r="373">
      <c r="A373" s="21" t="n">
        <v>44372</v>
      </c>
      <c r="B373" t="n">
        <v>7.7083e-06</v>
      </c>
    </row>
    <row r="374">
      <c r="A374" s="21" t="n">
        <v>44375</v>
      </c>
      <c r="B374" t="n">
        <v>8.030190000000001e-06</v>
      </c>
    </row>
    <row r="375">
      <c r="A375" s="21" t="n">
        <v>44376</v>
      </c>
      <c r="B375" t="n">
        <v>8.41246e-06</v>
      </c>
    </row>
    <row r="376">
      <c r="A376" s="21" t="n">
        <v>44377</v>
      </c>
      <c r="B376" t="n">
        <v>9.91939e-06</v>
      </c>
    </row>
    <row r="377">
      <c r="A377" s="21" t="n">
        <v>44378</v>
      </c>
      <c r="B377" t="n">
        <v>7.42647e-06</v>
      </c>
    </row>
    <row r="378">
      <c r="A378" s="21" t="n">
        <v>44379</v>
      </c>
      <c r="B378" t="n">
        <v>7.315040000000001e-06</v>
      </c>
    </row>
    <row r="379">
      <c r="A379" s="21" t="n">
        <v>44383</v>
      </c>
      <c r="B379" t="n">
        <v>7.72581e-06</v>
      </c>
    </row>
    <row r="380">
      <c r="A380" s="21" t="n">
        <v>44384</v>
      </c>
      <c r="B380" t="n">
        <v>7.8572e-06</v>
      </c>
    </row>
    <row r="381">
      <c r="A381" s="21" t="n">
        <v>44385</v>
      </c>
      <c r="B381" t="n">
        <v>7.93399e-06</v>
      </c>
    </row>
    <row r="382">
      <c r="A382" s="21" t="n">
        <v>44386</v>
      </c>
      <c r="B382" t="n">
        <v>7.80596e-06</v>
      </c>
    </row>
    <row r="383">
      <c r="A383" s="21" t="n">
        <v>44389</v>
      </c>
      <c r="B383" t="n">
        <v>7.76472e-06</v>
      </c>
    </row>
    <row r="384">
      <c r="A384" s="21" t="n">
        <v>44390</v>
      </c>
      <c r="B384" t="n">
        <v>7.98267e-06</v>
      </c>
    </row>
    <row r="385">
      <c r="A385" s="21" t="n">
        <v>44391</v>
      </c>
      <c r="B385" t="n">
        <v>8.59975e-06</v>
      </c>
    </row>
    <row r="386">
      <c r="A386" s="21" t="n">
        <v>44392</v>
      </c>
      <c r="B386" t="n">
        <v>7.76261e-06</v>
      </c>
    </row>
    <row r="387">
      <c r="A387" s="21" t="n">
        <v>44393</v>
      </c>
      <c r="B387" t="n">
        <v>8.175660000000001e-06</v>
      </c>
    </row>
    <row r="388">
      <c r="A388" s="21" t="n">
        <v>44396</v>
      </c>
      <c r="B388" t="n">
        <v>8.604679999999999e-06</v>
      </c>
    </row>
    <row r="389">
      <c r="A389" s="21" t="n">
        <v>44397</v>
      </c>
      <c r="B389" t="n">
        <v>8.48102e-06</v>
      </c>
    </row>
    <row r="390">
      <c r="A390" s="21" t="n">
        <v>44398</v>
      </c>
      <c r="B390" t="n">
        <v>8.86206e-06</v>
      </c>
    </row>
    <row r="391">
      <c r="A391" s="21" t="n">
        <v>44399</v>
      </c>
      <c r="B391" t="n">
        <v>8.981969999999999e-06</v>
      </c>
    </row>
    <row r="392">
      <c r="A392" s="21" t="n">
        <v>44400</v>
      </c>
      <c r="B392" t="n">
        <v>8.77251e-06</v>
      </c>
    </row>
    <row r="393">
      <c r="A393" s="21" t="n">
        <v>44403</v>
      </c>
      <c r="B393" t="n">
        <v>8.912029999999999e-06</v>
      </c>
    </row>
    <row r="394">
      <c r="A394" s="21" t="n">
        <v>44404</v>
      </c>
      <c r="B394" t="n">
        <v>9.274189999999999e-06</v>
      </c>
    </row>
    <row r="395">
      <c r="A395" s="21" t="n">
        <v>44405</v>
      </c>
      <c r="B395" t="n">
        <v>9.651889999999999e-06</v>
      </c>
    </row>
    <row r="396">
      <c r="A396" s="21" t="n">
        <v>44406</v>
      </c>
      <c r="B396" t="n">
        <v>9.87283e-06</v>
      </c>
    </row>
    <row r="397">
      <c r="A397" s="21" t="n">
        <v>44407</v>
      </c>
      <c r="B397" t="n">
        <v>1.039394e-05</v>
      </c>
    </row>
    <row r="398">
      <c r="A398" s="21" t="n">
        <v>44410</v>
      </c>
      <c r="B398" t="n">
        <v>9.21317e-06</v>
      </c>
    </row>
    <row r="399">
      <c r="A399" s="21" t="n">
        <v>44411</v>
      </c>
      <c r="B399" t="n">
        <v>9.09442e-06</v>
      </c>
    </row>
    <row r="400">
      <c r="A400" s="21" t="n">
        <v>44412</v>
      </c>
      <c r="B400" t="n">
        <v>9.31755e-06</v>
      </c>
    </row>
    <row r="401">
      <c r="A401" s="21" t="n">
        <v>44413</v>
      </c>
      <c r="B401" t="n">
        <v>9.44335e-06</v>
      </c>
    </row>
    <row r="402">
      <c r="A402" s="21" t="n">
        <v>44414</v>
      </c>
      <c r="B402" t="n">
        <v>9.521340000000001e-06</v>
      </c>
    </row>
    <row r="403">
      <c r="A403" s="21" t="n">
        <v>44417</v>
      </c>
      <c r="B403" t="n">
        <v>9.817649999999999e-06</v>
      </c>
    </row>
    <row r="404">
      <c r="A404" s="21" t="n">
        <v>44418</v>
      </c>
      <c r="B404" t="n">
        <v>9.986539999999999e-06</v>
      </c>
    </row>
    <row r="405">
      <c r="A405" s="21" t="n">
        <v>44419</v>
      </c>
      <c r="B405" t="n">
        <v>1.00046e-05</v>
      </c>
    </row>
    <row r="406">
      <c r="A406" s="21" t="n">
        <v>44420</v>
      </c>
      <c r="B406" t="n">
        <v>1.087342e-05</v>
      </c>
    </row>
    <row r="407">
      <c r="A407" s="21" t="n">
        <v>44421</v>
      </c>
      <c r="B407" t="n">
        <v>1.050941e-05</v>
      </c>
    </row>
    <row r="408">
      <c r="A408" s="21" t="n">
        <v>44424</v>
      </c>
      <c r="B408" t="n">
        <v>1.036418e-05</v>
      </c>
    </row>
    <row r="409">
      <c r="A409" s="21" t="n">
        <v>44425</v>
      </c>
      <c r="B409" t="n">
        <v>1.053454e-05</v>
      </c>
    </row>
    <row r="410">
      <c r="A410" s="21" t="n">
        <v>44426</v>
      </c>
      <c r="B410" t="n">
        <v>1.115656e-05</v>
      </c>
    </row>
    <row r="411">
      <c r="A411" s="21" t="n">
        <v>44427</v>
      </c>
      <c r="B411" t="n">
        <v>1.109938e-05</v>
      </c>
    </row>
    <row r="412">
      <c r="A412" s="21" t="n">
        <v>44428</v>
      </c>
      <c r="B412" t="n">
        <v>1.111905e-05</v>
      </c>
    </row>
    <row r="413">
      <c r="A413" s="21" t="n">
        <v>44431</v>
      </c>
      <c r="B413" t="n">
        <v>1.135697e-05</v>
      </c>
    </row>
    <row r="414">
      <c r="A414" s="21" t="n">
        <v>44432</v>
      </c>
      <c r="B414" t="n">
        <v>1.129737e-05</v>
      </c>
    </row>
    <row r="415">
      <c r="A415" s="21" t="n">
        <v>44433</v>
      </c>
      <c r="B415" t="n">
        <v>1.147089e-05</v>
      </c>
    </row>
    <row r="416">
      <c r="A416" s="21" t="n">
        <v>44434</v>
      </c>
      <c r="B416" t="n">
        <v>1.091792e-05</v>
      </c>
    </row>
    <row r="417">
      <c r="A417" s="21" t="n">
        <v>44435</v>
      </c>
      <c r="B417" t="n">
        <v>1.120015e-05</v>
      </c>
    </row>
    <row r="418">
      <c r="A418" s="21" t="n">
        <v>44438</v>
      </c>
      <c r="B418" t="n">
        <v>1.140711e-05</v>
      </c>
    </row>
    <row r="419">
      <c r="A419" s="21" t="n">
        <v>44439</v>
      </c>
      <c r="B419" t="n">
        <v>1.189616e-05</v>
      </c>
    </row>
    <row r="420">
      <c r="A420" s="21" t="n">
        <v>44440</v>
      </c>
      <c r="B420" t="n">
        <v>1.084115e-05</v>
      </c>
    </row>
    <row r="421">
      <c r="A421" s="21" t="n">
        <v>44441</v>
      </c>
      <c r="B421" t="n">
        <v>1.066987e-05</v>
      </c>
    </row>
    <row r="422">
      <c r="A422" s="21" t="n">
        <v>44442</v>
      </c>
      <c r="B422" t="n">
        <v>1.074707e-05</v>
      </c>
    </row>
    <row r="423">
      <c r="A423" s="21" t="n">
        <v>44446</v>
      </c>
      <c r="B423" t="n">
        <v>1.079945e-05</v>
      </c>
    </row>
    <row r="424">
      <c r="A424" s="21" t="n">
        <v>44447</v>
      </c>
      <c r="B424" t="n">
        <v>1.115229e-05</v>
      </c>
    </row>
    <row r="425">
      <c r="A425" s="21" t="n">
        <v>44448</v>
      </c>
      <c r="B425" t="n">
        <v>1.107659e-05</v>
      </c>
    </row>
    <row r="426">
      <c r="A426" s="21" t="n">
        <v>44449</v>
      </c>
      <c r="B426" t="n">
        <v>1.099323e-05</v>
      </c>
    </row>
    <row r="427">
      <c r="A427" s="21" t="n">
        <v>44452</v>
      </c>
      <c r="B427" t="n">
        <v>1.087108e-05</v>
      </c>
    </row>
    <row r="428">
      <c r="A428" s="21" t="n">
        <v>44453</v>
      </c>
      <c r="B428" t="n">
        <v>1.16928e-05</v>
      </c>
    </row>
    <row r="429">
      <c r="A429" s="21" t="n">
        <v>44454</v>
      </c>
      <c r="B429" t="n">
        <v>1.081342e-05</v>
      </c>
    </row>
    <row r="430">
      <c r="A430" s="21" t="n">
        <v>44455</v>
      </c>
      <c r="B430" t="n">
        <v>1.147494e-05</v>
      </c>
    </row>
    <row r="431">
      <c r="A431" s="21" t="n">
        <v>44456</v>
      </c>
      <c r="B431" t="n">
        <v>1.218303e-05</v>
      </c>
    </row>
    <row r="432">
      <c r="A432" s="21" t="n">
        <v>44459</v>
      </c>
      <c r="B432" t="n">
        <v>1.224289e-05</v>
      </c>
    </row>
    <row r="433">
      <c r="A433" s="21" t="n">
        <v>44460</v>
      </c>
      <c r="B433" t="n">
        <v>1.240494e-05</v>
      </c>
    </row>
    <row r="434">
      <c r="A434" s="21" t="n">
        <v>44461</v>
      </c>
      <c r="B434" t="n">
        <v>1.283281e-05</v>
      </c>
    </row>
    <row r="435">
      <c r="A435" s="21" t="n">
        <v>44462</v>
      </c>
      <c r="B435" t="n">
        <v>1.352483e-05</v>
      </c>
    </row>
    <row r="436">
      <c r="A436" s="21" t="n">
        <v>44463</v>
      </c>
      <c r="B436" t="n">
        <v>1.313657e-05</v>
      </c>
    </row>
    <row r="437">
      <c r="A437" s="21" t="n">
        <v>44466</v>
      </c>
      <c r="B437" t="n">
        <v>1.29705e-05</v>
      </c>
    </row>
    <row r="438">
      <c r="A438" s="21" t="n">
        <v>44467</v>
      </c>
      <c r="B438" t="n">
        <v>1.365185e-05</v>
      </c>
    </row>
    <row r="439">
      <c r="A439" s="21" t="n">
        <v>44468</v>
      </c>
      <c r="B439" t="n">
        <v>1.41584e-05</v>
      </c>
    </row>
    <row r="440">
      <c r="A440" s="21" t="n">
        <v>44469</v>
      </c>
      <c r="B440" t="n">
        <v>1.604881e-05</v>
      </c>
    </row>
    <row r="441">
      <c r="A441" s="21" t="n">
        <v>44470</v>
      </c>
      <c r="B441" t="n">
        <v>1.385991e-05</v>
      </c>
    </row>
    <row r="442">
      <c r="A442" s="21" t="n">
        <v>44473</v>
      </c>
      <c r="B442" t="n">
        <v>1.399173e-05</v>
      </c>
    </row>
    <row r="443">
      <c r="A443" s="21" t="n">
        <v>44474</v>
      </c>
      <c r="B443" t="n">
        <v>1.43118e-05</v>
      </c>
    </row>
    <row r="444">
      <c r="A444" s="21" t="n">
        <v>44475</v>
      </c>
      <c r="B444" t="n">
        <v>1.451175e-05</v>
      </c>
    </row>
    <row r="445">
      <c r="A445" s="21" t="n">
        <v>44476</v>
      </c>
      <c r="B445" t="n">
        <v>1.375863e-05</v>
      </c>
    </row>
    <row r="446">
      <c r="A446" s="21" t="n">
        <v>44477</v>
      </c>
      <c r="B446" t="n">
        <v>1.371958e-05</v>
      </c>
    </row>
    <row r="447">
      <c r="A447" s="21" t="n">
        <v>44481</v>
      </c>
      <c r="B447" t="n">
        <v>1.367051e-05</v>
      </c>
    </row>
    <row r="448">
      <c r="A448" s="21" t="n">
        <v>44482</v>
      </c>
      <c r="B448" t="n">
        <v>1.364701e-05</v>
      </c>
    </row>
    <row r="449">
      <c r="A449" s="21" t="n">
        <v>44483</v>
      </c>
      <c r="B449" t="n">
        <v>1.44566e-05</v>
      </c>
    </row>
    <row r="450">
      <c r="A450" s="21" t="n">
        <v>44484</v>
      </c>
      <c r="B450" t="n">
        <v>1.462297e-05</v>
      </c>
    </row>
    <row r="451">
      <c r="A451" s="21" t="n">
        <v>44487</v>
      </c>
      <c r="B451" t="n">
        <v>1.477114e-05</v>
      </c>
    </row>
    <row r="452">
      <c r="A452" s="21" t="n">
        <v>44488</v>
      </c>
      <c r="B452" t="n">
        <v>1.470739e-05</v>
      </c>
    </row>
    <row r="453">
      <c r="A453" s="21" t="n">
        <v>44489</v>
      </c>
      <c r="B453" t="n">
        <v>1.493961e-05</v>
      </c>
    </row>
    <row r="454">
      <c r="A454" s="21" t="n">
        <v>44490</v>
      </c>
      <c r="B454" t="n">
        <v>1.458605e-05</v>
      </c>
    </row>
    <row r="455">
      <c r="A455" s="21" t="n">
        <v>44491</v>
      </c>
      <c r="B455" t="n">
        <v>1.40302e-05</v>
      </c>
    </row>
    <row r="456">
      <c r="A456" s="21" t="n">
        <v>44494</v>
      </c>
      <c r="B456" t="n">
        <v>1.413188e-05</v>
      </c>
    </row>
    <row r="457">
      <c r="A457" s="21" t="n">
        <v>44495</v>
      </c>
      <c r="B457" t="n">
        <v>1.423198e-05</v>
      </c>
    </row>
    <row r="458">
      <c r="A458" s="21" t="n">
        <v>44496</v>
      </c>
      <c r="B458" t="n">
        <v>1.43337e-05</v>
      </c>
    </row>
    <row r="459">
      <c r="A459" s="21" t="n">
        <v>44497</v>
      </c>
      <c r="B459" t="n">
        <v>1.384684e-05</v>
      </c>
    </row>
    <row r="460">
      <c r="A460" s="21" t="n">
        <v>44498</v>
      </c>
      <c r="B460" t="n">
        <v>1.502296e-05</v>
      </c>
    </row>
    <row r="461">
      <c r="A461" s="21" t="n">
        <v>44501</v>
      </c>
      <c r="B461" t="n">
        <v>1.358606e-05</v>
      </c>
    </row>
    <row r="462">
      <c r="A462" s="21" t="n">
        <v>44502</v>
      </c>
      <c r="B462" t="n">
        <v>1.329913e-05</v>
      </c>
    </row>
    <row r="463">
      <c r="A463" s="21" t="n">
        <v>44503</v>
      </c>
      <c r="B463" t="n">
        <v>1.343985e-05</v>
      </c>
    </row>
    <row r="464">
      <c r="A464" s="21" t="n">
        <v>44504</v>
      </c>
      <c r="B464" t="n">
        <v>1.348539e-05</v>
      </c>
    </row>
    <row r="465">
      <c r="A465" s="21" t="n">
        <v>44505</v>
      </c>
      <c r="B465" t="n">
        <v>1.354059e-05</v>
      </c>
    </row>
    <row r="466">
      <c r="A466" s="21" t="n">
        <v>44508</v>
      </c>
      <c r="B466" t="n">
        <v>1.354382e-05</v>
      </c>
    </row>
    <row r="467">
      <c r="A467" s="21" t="n">
        <v>44509</v>
      </c>
      <c r="B467" t="n">
        <v>1.377197e-05</v>
      </c>
    </row>
    <row r="468">
      <c r="A468" s="21" t="n">
        <v>44510</v>
      </c>
      <c r="B468" t="n">
        <v>1.448623e-05</v>
      </c>
    </row>
    <row r="469">
      <c r="A469" s="21" t="n">
        <v>44512</v>
      </c>
      <c r="B469" t="n">
        <v>1.417643e-05</v>
      </c>
    </row>
    <row r="470">
      <c r="A470" s="21" t="n">
        <v>44515</v>
      </c>
      <c r="B470" t="n">
        <v>1.391657e-05</v>
      </c>
    </row>
    <row r="471">
      <c r="A471" s="21" t="n">
        <v>44516</v>
      </c>
      <c r="B471" t="n">
        <v>1.466857e-05</v>
      </c>
    </row>
    <row r="472">
      <c r="A472" s="21" t="n">
        <v>44517</v>
      </c>
      <c r="B472" t="n">
        <v>1.52e-05</v>
      </c>
    </row>
    <row r="473">
      <c r="A473" s="21" t="n">
        <v>44518</v>
      </c>
      <c r="B473" t="n">
        <v>1.584097e-05</v>
      </c>
    </row>
    <row r="474">
      <c r="A474" s="21" t="n">
        <v>44519</v>
      </c>
      <c r="B474" t="n">
        <v>1.575384e-05</v>
      </c>
    </row>
    <row r="475">
      <c r="A475" s="21" t="n">
        <v>44522</v>
      </c>
      <c r="B475" t="n">
        <v>1.573769e-05</v>
      </c>
    </row>
    <row r="476">
      <c r="A476" s="21" t="n">
        <v>44523</v>
      </c>
      <c r="B476" t="n">
        <v>1.57198e-05</v>
      </c>
    </row>
    <row r="477">
      <c r="A477" s="21" t="n">
        <v>44524</v>
      </c>
      <c r="B477" t="n">
        <v>1.452897e-05</v>
      </c>
    </row>
    <row r="478">
      <c r="A478" s="21" t="n">
        <v>44526</v>
      </c>
      <c r="B478" t="n">
        <v>1.451108e-05</v>
      </c>
    </row>
    <row r="479">
      <c r="A479" s="21" t="n">
        <v>44529</v>
      </c>
      <c r="B479" t="n">
        <v>1.459339e-05</v>
      </c>
    </row>
    <row r="480">
      <c r="A480" s="21" t="n">
        <v>44530</v>
      </c>
      <c r="B480" t="n">
        <v>1.517956e-05</v>
      </c>
    </row>
    <row r="481">
      <c r="A481" s="21" t="n">
        <v>44531</v>
      </c>
      <c r="B481" t="n">
        <v>1.427347e-05</v>
      </c>
    </row>
    <row r="482">
      <c r="A482" s="21" t="n">
        <v>44532</v>
      </c>
      <c r="B482" t="n">
        <v>1.448585e-05</v>
      </c>
    </row>
    <row r="483">
      <c r="A483" s="21" t="n">
        <v>44533</v>
      </c>
      <c r="B483" t="n">
        <v>1.475464e-05</v>
      </c>
    </row>
    <row r="484">
      <c r="A484" s="21" t="n">
        <v>44536</v>
      </c>
      <c r="B484" t="n">
        <v>1.487996e-05</v>
      </c>
    </row>
    <row r="485">
      <c r="A485" s="21" t="n">
        <v>44537</v>
      </c>
      <c r="B485" t="n">
        <v>1.455038e-05</v>
      </c>
    </row>
    <row r="486">
      <c r="A486" s="21" t="n">
        <v>44538</v>
      </c>
      <c r="B486" t="n">
        <v>1.484192e-05</v>
      </c>
    </row>
    <row r="487">
      <c r="A487" s="21" t="n">
        <v>44539</v>
      </c>
      <c r="B487" t="n">
        <v>1.500027e-05</v>
      </c>
    </row>
    <row r="488">
      <c r="A488" s="21" t="n">
        <v>44540</v>
      </c>
      <c r="B488" t="n">
        <v>1.507147e-05</v>
      </c>
    </row>
    <row r="489">
      <c r="A489" s="21" t="n">
        <v>44543</v>
      </c>
      <c r="B489" t="n">
        <v>1.599768e-05</v>
      </c>
    </row>
    <row r="490">
      <c r="A490" s="21" t="n">
        <v>44544</v>
      </c>
      <c r="B490" t="n">
        <v>1.584488e-05</v>
      </c>
    </row>
    <row r="491">
      <c r="A491" s="21" t="n">
        <v>44545</v>
      </c>
      <c r="B491" t="n">
        <v>1.621097e-05</v>
      </c>
    </row>
    <row r="492">
      <c r="A492" s="21" t="n">
        <v>44546</v>
      </c>
      <c r="B492" t="n">
        <v>1.657626e-05</v>
      </c>
    </row>
    <row r="493">
      <c r="A493" s="21" t="n">
        <v>44547</v>
      </c>
      <c r="B493" t="n">
        <v>1.704586e-05</v>
      </c>
    </row>
    <row r="494">
      <c r="A494" s="21" t="n">
        <v>44550</v>
      </c>
      <c r="B494" t="n">
        <v>1.758041e-05</v>
      </c>
    </row>
    <row r="495">
      <c r="A495" s="21" t="n">
        <v>44551</v>
      </c>
      <c r="B495" t="n">
        <v>1.748285e-05</v>
      </c>
    </row>
    <row r="496">
      <c r="A496" s="21" t="n">
        <v>44552</v>
      </c>
      <c r="B496" t="n">
        <v>1.699277e-05</v>
      </c>
    </row>
    <row r="497">
      <c r="A497" s="21" t="n">
        <v>44553</v>
      </c>
      <c r="B497" t="n">
        <v>1.57778e-05</v>
      </c>
    </row>
    <row r="498">
      <c r="A498" s="21" t="n">
        <v>44557</v>
      </c>
      <c r="B498" t="n">
        <v>1.580347e-05</v>
      </c>
    </row>
    <row r="499">
      <c r="A499" s="21" t="n">
        <v>44558</v>
      </c>
      <c r="B499" t="n">
        <v>1.637064e-05</v>
      </c>
    </row>
    <row r="500">
      <c r="A500" s="21" t="n">
        <v>44559</v>
      </c>
      <c r="B500" t="n">
        <v>1.642506e-05</v>
      </c>
    </row>
    <row r="501">
      <c r="A501" s="21" t="n">
        <v>44560</v>
      </c>
      <c r="B501" t="n">
        <v>1.696476e-05</v>
      </c>
    </row>
    <row r="502">
      <c r="A502" s="21" t="n">
        <v>44561</v>
      </c>
      <c r="B502" t="n">
        <v>1.904582e-05</v>
      </c>
    </row>
    <row r="503">
      <c r="A503" s="21" t="n">
        <v>44564</v>
      </c>
      <c r="B503" t="n">
        <v>1.579526e-05</v>
      </c>
    </row>
    <row r="504">
      <c r="A504" s="21" t="n">
        <v>44565</v>
      </c>
      <c r="B504" t="n">
        <v>1.495692e-05</v>
      </c>
    </row>
    <row r="505">
      <c r="A505" s="21" t="n">
        <v>44566</v>
      </c>
      <c r="B505" t="n">
        <v>1.492787e-05</v>
      </c>
    </row>
    <row r="506">
      <c r="A506" s="21" t="n">
        <v>44567</v>
      </c>
      <c r="B506" t="n">
        <v>1.510553e-05</v>
      </c>
    </row>
    <row r="507">
      <c r="A507" s="21" t="n">
        <v>44568</v>
      </c>
      <c r="B507" t="n">
        <v>1.530096e-05</v>
      </c>
    </row>
    <row r="508">
      <c r="A508" s="21" t="n">
        <v>44571</v>
      </c>
      <c r="B508" t="n">
        <v>1.560421e-05</v>
      </c>
    </row>
    <row r="509">
      <c r="A509" s="21" t="n">
        <v>44572</v>
      </c>
      <c r="B509" t="n">
        <v>1.52702e-05</v>
      </c>
    </row>
    <row r="510">
      <c r="A510" s="21" t="n">
        <v>44573</v>
      </c>
      <c r="B510" t="n">
        <v>1.536981e-05</v>
      </c>
    </row>
    <row r="511">
      <c r="A511" s="21" t="n">
        <v>44574</v>
      </c>
      <c r="B511" t="n">
        <v>1.636742e-05</v>
      </c>
    </row>
    <row r="512">
      <c r="A512" s="21" t="n">
        <v>44575</v>
      </c>
      <c r="B512" t="n">
        <v>1.598887e-05</v>
      </c>
    </row>
    <row r="513">
      <c r="A513" s="21" t="n">
        <v>44579</v>
      </c>
      <c r="B513" t="n">
        <v>1.597137e-05</v>
      </c>
    </row>
    <row r="514">
      <c r="A514" s="21" t="n">
        <v>44580</v>
      </c>
      <c r="B514" t="n">
        <v>1.656576e-05</v>
      </c>
    </row>
    <row r="515">
      <c r="A515" s="21" t="n">
        <v>44581</v>
      </c>
      <c r="B515" t="n">
        <v>1.678931e-05</v>
      </c>
    </row>
    <row r="516">
      <c r="A516" s="21" t="n">
        <v>44582</v>
      </c>
      <c r="B516" t="n">
        <v>1.706127e-05</v>
      </c>
    </row>
    <row r="517">
      <c r="A517" s="21" t="n">
        <v>44585</v>
      </c>
      <c r="B517" t="n">
        <v>1.614002e-05</v>
      </c>
    </row>
    <row r="518">
      <c r="A518" s="21" t="n">
        <v>44586</v>
      </c>
      <c r="B518" t="n">
        <v>1.599502e-05</v>
      </c>
    </row>
    <row r="519">
      <c r="A519" s="21" t="n">
        <v>44587</v>
      </c>
      <c r="B519" t="n">
        <v>1.613046e-05</v>
      </c>
    </row>
    <row r="520">
      <c r="A520" s="21" t="n">
        <v>44588</v>
      </c>
      <c r="B520" t="n">
        <v>1.583895e-05</v>
      </c>
    </row>
    <row r="521">
      <c r="A521" s="21" t="n">
        <v>44589</v>
      </c>
      <c r="B521" t="n">
        <v>1.615021e-05</v>
      </c>
    </row>
    <row r="522">
      <c r="A522" s="21" t="n">
        <v>44592</v>
      </c>
      <c r="B522" t="n">
        <v>1.65485e-05</v>
      </c>
    </row>
    <row r="523">
      <c r="A523" s="21" t="n">
        <v>44593</v>
      </c>
      <c r="B523" t="n">
        <v>1.584109e-05</v>
      </c>
    </row>
    <row r="524">
      <c r="A524" s="21" t="n">
        <v>44594</v>
      </c>
      <c r="B524" t="n">
        <v>1.626895e-05</v>
      </c>
    </row>
    <row r="525">
      <c r="A525" s="21" t="n">
        <v>44595</v>
      </c>
      <c r="B525" t="n">
        <v>1.640397e-05</v>
      </c>
    </row>
    <row r="526">
      <c r="A526" s="21" t="n">
        <v>44596</v>
      </c>
      <c r="B526" t="n">
        <v>1.642892e-05</v>
      </c>
    </row>
    <row r="527">
      <c r="A527" s="21" t="n">
        <v>44599</v>
      </c>
      <c r="B527" t="n">
        <v>1.679932e-05</v>
      </c>
    </row>
    <row r="528">
      <c r="A528" s="21" t="n">
        <v>44600</v>
      </c>
      <c r="B528" t="n">
        <v>1.67461e-05</v>
      </c>
    </row>
    <row r="529">
      <c r="A529" s="21" t="n">
        <v>44601</v>
      </c>
      <c r="B529" t="n">
        <v>1.653153e-05</v>
      </c>
    </row>
    <row r="530">
      <c r="A530" s="21" t="n">
        <v>44602</v>
      </c>
      <c r="B530" t="n">
        <v>1.634146e-05</v>
      </c>
    </row>
    <row r="531">
      <c r="A531" s="21" t="n">
        <v>44603</v>
      </c>
      <c r="B531" t="n">
        <v>1.635826e-05</v>
      </c>
    </row>
    <row r="532">
      <c r="A532" s="21" t="n">
        <v>44606</v>
      </c>
      <c r="B532" t="n">
        <v>1.666232e-05</v>
      </c>
    </row>
    <row r="533">
      <c r="A533" s="21" t="n">
        <v>44607</v>
      </c>
      <c r="B533" t="n">
        <v>1.608494e-05</v>
      </c>
    </row>
    <row r="534">
      <c r="A534" s="21" t="n">
        <v>44608</v>
      </c>
      <c r="B534" t="n">
        <v>1.644134e-05</v>
      </c>
    </row>
    <row r="535">
      <c r="A535" s="21" t="n">
        <v>44609</v>
      </c>
      <c r="B535" t="n">
        <v>1.647202e-05</v>
      </c>
    </row>
    <row r="536">
      <c r="A536" s="21" t="n">
        <v>44610</v>
      </c>
      <c r="B536" t="n">
        <v>1.674929e-05</v>
      </c>
    </row>
    <row r="537">
      <c r="A537" s="21" t="n">
        <v>44614</v>
      </c>
      <c r="B537" t="n">
        <v>1.699432e-05</v>
      </c>
    </row>
    <row r="538">
      <c r="A538" s="21" t="n">
        <v>44615</v>
      </c>
      <c r="B538" t="n">
        <v>1.738322e-05</v>
      </c>
    </row>
    <row r="539">
      <c r="A539" s="21" t="n">
        <v>44616</v>
      </c>
      <c r="B539" t="n">
        <v>1.650399e-05</v>
      </c>
    </row>
    <row r="540">
      <c r="A540" s="21" t="n">
        <v>44617</v>
      </c>
      <c r="B540" t="n">
        <v>1.603349e-05</v>
      </c>
    </row>
    <row r="541">
      <c r="A541" s="21" t="n">
        <v>44620</v>
      </c>
      <c r="B541" t="n">
        <v>1.596052e-05</v>
      </c>
    </row>
    <row r="542">
      <c r="A542" s="21" t="n">
        <v>44621</v>
      </c>
      <c r="B542" t="n">
        <v>1.55295e-05</v>
      </c>
    </row>
    <row r="543">
      <c r="A543" s="21" t="n">
        <v>44622</v>
      </c>
      <c r="B543" t="n">
        <v>1.526211e-05</v>
      </c>
    </row>
    <row r="544">
      <c r="A544" s="21" t="n">
        <v>44623</v>
      </c>
      <c r="B544" t="n">
        <v>1.533992e-05</v>
      </c>
    </row>
    <row r="545">
      <c r="A545" s="21" t="n">
        <v>44624</v>
      </c>
      <c r="B545" t="n">
        <v>1.483061e-05</v>
      </c>
    </row>
    <row r="546">
      <c r="A546" s="21" t="n">
        <v>44627</v>
      </c>
      <c r="B546" t="n">
        <v>1.461227e-05</v>
      </c>
    </row>
    <row r="547">
      <c r="A547" s="21" t="n">
        <v>44628</v>
      </c>
      <c r="B547" t="n">
        <v>1.525099e-05</v>
      </c>
    </row>
    <row r="548">
      <c r="A548" s="21" t="n">
        <v>44629</v>
      </c>
      <c r="B548" t="n">
        <v>1.542504e-05</v>
      </c>
    </row>
    <row r="549">
      <c r="A549" s="21" t="n">
        <v>44630</v>
      </c>
      <c r="B549" t="n">
        <v>1.568735e-05</v>
      </c>
    </row>
    <row r="550">
      <c r="A550" s="21" t="n">
        <v>44631</v>
      </c>
      <c r="B550" t="n">
        <v>1.557823e-05</v>
      </c>
    </row>
    <row r="551">
      <c r="A551" s="21" t="n">
        <v>44634</v>
      </c>
      <c r="B551" t="n">
        <v>1.608021e-05</v>
      </c>
    </row>
    <row r="552">
      <c r="A552" s="21" t="n">
        <v>44635</v>
      </c>
      <c r="B552" t="n">
        <v>1.583471e-05</v>
      </c>
    </row>
    <row r="553">
      <c r="A553" s="21" t="n">
        <v>44636</v>
      </c>
      <c r="B553" t="n">
        <v>1.613637e-05</v>
      </c>
    </row>
    <row r="554">
      <c r="A554" s="21" t="n">
        <v>44637</v>
      </c>
      <c r="B554" t="n">
        <v>1.659977e-05</v>
      </c>
    </row>
    <row r="555">
      <c r="A555" s="21" t="n">
        <v>44638</v>
      </c>
      <c r="B555" t="n">
        <v>1.715148e-05</v>
      </c>
    </row>
    <row r="556">
      <c r="A556" s="21" t="n">
        <v>44641</v>
      </c>
      <c r="B556" t="n">
        <v>1.728893e-05</v>
      </c>
    </row>
    <row r="557">
      <c r="A557" s="21" t="n">
        <v>44642</v>
      </c>
      <c r="B557" t="n">
        <v>1.763183e-05</v>
      </c>
    </row>
    <row r="558">
      <c r="A558" s="21" t="n">
        <v>44643</v>
      </c>
      <c r="B558" t="n">
        <v>1.803186e-05</v>
      </c>
    </row>
    <row r="559">
      <c r="A559" s="21" t="n">
        <v>44644</v>
      </c>
      <c r="B559" t="n">
        <v>1.707655e-05</v>
      </c>
    </row>
    <row r="560">
      <c r="A560" s="21" t="n">
        <v>44645</v>
      </c>
      <c r="B560" t="n">
        <v>1.676974e-05</v>
      </c>
    </row>
    <row r="561">
      <c r="A561" s="21" t="n">
        <v>44648</v>
      </c>
      <c r="B561" t="n">
        <v>1.688632e-05</v>
      </c>
    </row>
    <row r="562">
      <c r="A562" s="21" t="n">
        <v>44649</v>
      </c>
      <c r="B562" t="n">
        <v>1.71887e-05</v>
      </c>
    </row>
    <row r="563">
      <c r="A563" s="21" t="n">
        <v>44650</v>
      </c>
      <c r="B563" t="n">
        <v>1.785939e-05</v>
      </c>
    </row>
    <row r="564">
      <c r="A564" s="21" t="n">
        <v>44651</v>
      </c>
      <c r="B564" t="n">
        <v>1.87197e-05</v>
      </c>
    </row>
    <row r="565">
      <c r="A565" s="21" t="n">
        <v>44652</v>
      </c>
      <c r="B565" t="n">
        <v>1.666063e-05</v>
      </c>
    </row>
    <row r="566">
      <c r="A566" s="21" t="n">
        <v>44655</v>
      </c>
      <c r="B566" t="n">
        <v>1.692936e-05</v>
      </c>
    </row>
    <row r="567">
      <c r="A567" s="21" t="n">
        <v>44656</v>
      </c>
      <c r="B567" t="n">
        <v>1.710834e-05</v>
      </c>
    </row>
    <row r="568">
      <c r="A568" s="21" t="n">
        <v>44657</v>
      </c>
      <c r="B568" t="n">
        <v>1.731472e-05</v>
      </c>
    </row>
    <row r="569">
      <c r="A569" s="21" t="n">
        <v>44658</v>
      </c>
      <c r="B569" t="n">
        <v>1.734424e-05</v>
      </c>
    </row>
    <row r="570">
      <c r="A570" s="21" t="n">
        <v>44659</v>
      </c>
      <c r="B570" t="n">
        <v>1.750498e-05</v>
      </c>
    </row>
    <row r="571">
      <c r="A571" s="21" t="n">
        <v>44662</v>
      </c>
      <c r="B571" t="n">
        <v>1.758958e-05</v>
      </c>
    </row>
    <row r="572">
      <c r="A572" s="21" t="n">
        <v>44663</v>
      </c>
      <c r="B572" t="n">
        <v>1.710414e-05</v>
      </c>
    </row>
    <row r="573">
      <c r="A573" s="21" t="n">
        <v>44664</v>
      </c>
      <c r="B573" t="n">
        <v>1.815555e-05</v>
      </c>
    </row>
    <row r="574">
      <c r="A574" s="21" t="n">
        <v>44665</v>
      </c>
      <c r="B574" t="n">
        <v>1.706935e-05</v>
      </c>
    </row>
    <row r="575">
      <c r="A575" s="21" t="n">
        <v>44669</v>
      </c>
      <c r="B575" t="n">
        <v>1.738379e-05</v>
      </c>
    </row>
    <row r="576">
      <c r="A576" s="21" t="n">
        <v>44670</v>
      </c>
      <c r="B576" t="n">
        <v>1.817292e-05</v>
      </c>
    </row>
    <row r="577">
      <c r="A577" s="21" t="n">
        <v>44671</v>
      </c>
      <c r="B577" t="n">
        <v>1.86656e-05</v>
      </c>
    </row>
    <row r="578">
      <c r="A578" s="21" t="n">
        <v>44672</v>
      </c>
      <c r="B578" t="n">
        <v>1.8547e-05</v>
      </c>
    </row>
    <row r="579">
      <c r="A579" s="21" t="n">
        <v>44673</v>
      </c>
      <c r="B579" t="n">
        <v>1.765031e-05</v>
      </c>
    </row>
    <row r="580">
      <c r="A580" s="21" t="n">
        <v>44676</v>
      </c>
      <c r="B580" t="n">
        <v>1.783609e-05</v>
      </c>
    </row>
    <row r="581">
      <c r="A581" s="21" t="n">
        <v>44677</v>
      </c>
      <c r="B581" t="n">
        <v>1.819343e-05</v>
      </c>
    </row>
    <row r="582">
      <c r="A582" s="21" t="n">
        <v>44678</v>
      </c>
      <c r="B582" t="n">
        <v>1.803162e-05</v>
      </c>
    </row>
    <row r="583">
      <c r="A583" s="21" t="n">
        <v>44679</v>
      </c>
      <c r="B583" t="n">
        <v>1.818416e-05</v>
      </c>
    </row>
    <row r="584">
      <c r="A584" s="21" t="n">
        <v>44680</v>
      </c>
      <c r="B584" t="n">
        <v>1.906802e-05</v>
      </c>
    </row>
    <row r="585">
      <c r="A585" s="21" t="n">
        <v>44683</v>
      </c>
      <c r="B585" t="n">
        <v>1.796302e-05</v>
      </c>
    </row>
    <row r="586">
      <c r="A586" s="21" t="n">
        <v>44684</v>
      </c>
      <c r="B586" t="n">
        <v>1.796252e-05</v>
      </c>
    </row>
    <row r="587">
      <c r="A587" s="21" t="n">
        <v>44685</v>
      </c>
      <c r="B587" t="n">
        <v>1.815656e-05</v>
      </c>
    </row>
    <row r="588">
      <c r="A588" s="21" t="n">
        <v>44686</v>
      </c>
      <c r="B588" t="n">
        <v>1.844762e-05</v>
      </c>
    </row>
    <row r="589">
      <c r="A589" s="21" t="n">
        <v>44687</v>
      </c>
      <c r="B589" t="n">
        <v>1.861866e-05</v>
      </c>
    </row>
    <row r="590">
      <c r="A590" s="21" t="n">
        <v>44690</v>
      </c>
      <c r="B590" t="n">
        <v>1.858995e-05</v>
      </c>
    </row>
    <row r="591">
      <c r="A591" s="21" t="n">
        <v>44691</v>
      </c>
      <c r="B591" t="n">
        <v>1.864225e-05</v>
      </c>
    </row>
    <row r="592">
      <c r="A592" s="21" t="n">
        <v>44692</v>
      </c>
      <c r="B592" t="n">
        <v>1.876119e-05</v>
      </c>
    </row>
    <row r="593">
      <c r="A593" s="21" t="n">
        <v>44693</v>
      </c>
      <c r="B593" t="n">
        <v>1.900069e-05</v>
      </c>
    </row>
    <row r="594">
      <c r="A594" s="21" t="n">
        <v>44694</v>
      </c>
      <c r="B594" t="n">
        <v>1.865287e-05</v>
      </c>
    </row>
    <row r="595">
      <c r="A595" s="21" t="n">
        <v>44697</v>
      </c>
      <c r="B595" t="n">
        <v>1.833152e-05</v>
      </c>
    </row>
    <row r="596">
      <c r="A596" s="21" t="n">
        <v>44698</v>
      </c>
      <c r="B596" t="n">
        <v>1.877483e-05</v>
      </c>
    </row>
    <row r="597">
      <c r="A597" s="21" t="n">
        <v>44699</v>
      </c>
      <c r="B597" t="n">
        <v>1.973373e-05</v>
      </c>
    </row>
    <row r="598">
      <c r="A598" s="21" t="n">
        <v>44700</v>
      </c>
      <c r="B598" t="n">
        <v>1.981005e-05</v>
      </c>
    </row>
    <row r="599">
      <c r="A599" s="21" t="n">
        <v>44701</v>
      </c>
      <c r="B599" t="n">
        <v>1.987987e-05</v>
      </c>
    </row>
    <row r="600">
      <c r="A600" s="21" t="n">
        <v>44704</v>
      </c>
      <c r="B600" t="n">
        <v>2.044658e-05</v>
      </c>
    </row>
    <row r="601">
      <c r="A601" s="21" t="n">
        <v>44705</v>
      </c>
      <c r="B601" t="n">
        <v>1.987865e-05</v>
      </c>
    </row>
    <row r="602">
      <c r="A602" s="21" t="n">
        <v>44706</v>
      </c>
      <c r="B602" t="n">
        <v>1.99575e-05</v>
      </c>
    </row>
    <row r="603">
      <c r="A603" s="21" t="n">
        <v>44707</v>
      </c>
      <c r="B603" t="n">
        <v>2.007702e-05</v>
      </c>
    </row>
    <row r="604">
      <c r="A604" s="21" t="n">
        <v>44708</v>
      </c>
      <c r="B604" t="n">
        <v>2.006688e-05</v>
      </c>
    </row>
    <row r="605">
      <c r="A605" s="21" t="n">
        <v>44712</v>
      </c>
      <c r="B605" t="n">
        <v>1.978538e-05</v>
      </c>
    </row>
    <row r="606">
      <c r="A606" s="21" t="n">
        <v>44713</v>
      </c>
      <c r="B606" t="n">
        <v>1.965015e-05</v>
      </c>
    </row>
    <row r="607">
      <c r="A607" s="21" t="n">
        <v>44714</v>
      </c>
      <c r="B607" t="n">
        <v>1.985239e-05</v>
      </c>
    </row>
    <row r="608">
      <c r="A608" s="21" t="n">
        <v>44715</v>
      </c>
      <c r="B608" t="n">
        <v>2.031228e-05</v>
      </c>
    </row>
    <row r="609">
      <c r="A609" s="21" t="n">
        <v>44718</v>
      </c>
      <c r="B609" t="n">
        <v>2.040093e-05</v>
      </c>
    </row>
    <row r="610">
      <c r="A610" s="21" t="n">
        <v>44719</v>
      </c>
      <c r="B610" t="n">
        <v>2.091395e-05</v>
      </c>
    </row>
    <row r="611">
      <c r="A611" s="21" t="n">
        <v>44720</v>
      </c>
      <c r="B611" t="n">
        <v>2.140277e-05</v>
      </c>
    </row>
    <row r="612">
      <c r="A612" s="21" t="n">
        <v>44721</v>
      </c>
      <c r="B612" t="n">
        <v>2.142318e-05</v>
      </c>
    </row>
    <row r="613">
      <c r="A613" s="21" t="n">
        <v>44722</v>
      </c>
      <c r="B613" t="n">
        <v>2.162885e-05</v>
      </c>
    </row>
    <row r="614">
      <c r="A614" s="21" t="n">
        <v>44725</v>
      </c>
      <c r="B614" t="n">
        <v>2.21262e-05</v>
      </c>
    </row>
    <row r="615">
      <c r="A615" s="21" t="n">
        <v>44726</v>
      </c>
      <c r="B615" t="n">
        <v>2.223857e-05</v>
      </c>
    </row>
    <row r="616">
      <c r="A616" s="21" t="n">
        <v>44727</v>
      </c>
      <c r="B616" t="n">
        <v>2.162924e-05</v>
      </c>
    </row>
    <row r="617">
      <c r="A617" s="21" t="n">
        <v>44728</v>
      </c>
      <c r="B617" t="n">
        <v>2.178382e-05</v>
      </c>
    </row>
    <row r="618">
      <c r="A618" s="21" t="n">
        <v>44729</v>
      </c>
      <c r="B618" t="n">
        <v>2.229279e-05</v>
      </c>
    </row>
    <row r="619">
      <c r="A619" s="21" t="n">
        <v>44733</v>
      </c>
      <c r="B619" t="n">
        <v>2.188627e-05</v>
      </c>
    </row>
    <row r="620">
      <c r="A620" s="21" t="n">
        <v>44734</v>
      </c>
      <c r="B620" t="n">
        <v>2.259458e-05</v>
      </c>
    </row>
    <row r="621">
      <c r="A621" s="21" t="n">
        <v>44735</v>
      </c>
      <c r="B621" t="n">
        <v>2.285442e-05</v>
      </c>
    </row>
    <row r="622">
      <c r="A622" s="21" t="n">
        <v>44736</v>
      </c>
      <c r="B622" t="n">
        <v>2.180984e-05</v>
      </c>
    </row>
    <row r="623">
      <c r="A623" s="21" t="n">
        <v>44739</v>
      </c>
      <c r="B623" t="n">
        <v>2.155942e-05</v>
      </c>
    </row>
    <row r="624">
      <c r="A624" s="21" t="n">
        <v>44740</v>
      </c>
      <c r="B624" t="n">
        <v>2.213784e-05</v>
      </c>
    </row>
    <row r="625">
      <c r="A625" s="21" t="n">
        <v>44741</v>
      </c>
      <c r="B625" t="n">
        <v>2.226976e-05</v>
      </c>
    </row>
    <row r="626">
      <c r="A626" s="21" t="n">
        <v>44742</v>
      </c>
      <c r="B626" t="n">
        <v>2.329743e-05</v>
      </c>
    </row>
    <row r="627">
      <c r="A627" s="21" t="n">
        <v>44743</v>
      </c>
      <c r="B627" t="n">
        <v>2.167085e-05</v>
      </c>
    </row>
    <row r="628">
      <c r="A628" s="21" t="n">
        <v>44747</v>
      </c>
      <c r="B628" t="n">
        <v>2.13828e-05</v>
      </c>
    </row>
    <row r="629">
      <c r="A629" s="21" t="n">
        <v>44748</v>
      </c>
      <c r="B629" t="n">
        <v>2.168026e-05</v>
      </c>
    </row>
    <row r="630">
      <c r="A630" s="21" t="n">
        <v>44749</v>
      </c>
      <c r="B630" t="n">
        <v>2.172457e-05</v>
      </c>
    </row>
    <row r="631">
      <c r="A631" s="21" t="n">
        <v>44750</v>
      </c>
      <c r="B631" t="n">
        <v>2.144921e-05</v>
      </c>
    </row>
    <row r="632">
      <c r="A632" s="21" t="n">
        <v>44753</v>
      </c>
      <c r="B632" t="n">
        <v>2.164266e-05</v>
      </c>
    </row>
    <row r="633">
      <c r="A633" s="21" t="n">
        <v>44754</v>
      </c>
      <c r="B633" t="n">
        <v>2.146132e-05</v>
      </c>
    </row>
    <row r="634">
      <c r="A634" s="21" t="n">
        <v>44755</v>
      </c>
      <c r="B634" t="n">
        <v>2.15529e-05</v>
      </c>
    </row>
    <row r="635">
      <c r="A635" s="21" t="n">
        <v>44756</v>
      </c>
      <c r="B635" t="n">
        <v>2.207121e-05</v>
      </c>
    </row>
    <row r="636">
      <c r="A636" s="21" t="n">
        <v>44757</v>
      </c>
      <c r="B636" t="n">
        <v>2.15375e-05</v>
      </c>
    </row>
    <row r="637">
      <c r="A637" s="21" t="n">
        <v>44760</v>
      </c>
      <c r="B637" t="n">
        <v>2.190375e-05</v>
      </c>
    </row>
    <row r="638">
      <c r="A638" s="21" t="n">
        <v>44761</v>
      </c>
      <c r="B638" t="n">
        <v>2.211821e-05</v>
      </c>
    </row>
    <row r="639">
      <c r="A639" s="21" t="n">
        <v>44762</v>
      </c>
      <c r="B639" t="n">
        <v>2.240204e-05</v>
      </c>
    </row>
    <row r="640">
      <c r="A640" s="21" t="n">
        <v>44763</v>
      </c>
      <c r="B640" t="n">
        <v>2.271756e-05</v>
      </c>
    </row>
    <row r="641">
      <c r="A641" s="21" t="n">
        <v>44764</v>
      </c>
      <c r="B641" t="n">
        <v>2.228959e-05</v>
      </c>
    </row>
    <row r="642">
      <c r="A642" s="21" t="n">
        <v>44767</v>
      </c>
      <c r="B642" t="n">
        <v>2.192367e-05</v>
      </c>
    </row>
    <row r="643">
      <c r="A643" s="21" t="n">
        <v>44768</v>
      </c>
      <c r="B643" t="n">
        <v>2.189474e-05</v>
      </c>
    </row>
    <row r="644">
      <c r="A644" s="21" t="n">
        <v>44769</v>
      </c>
      <c r="B644" t="n">
        <v>2.188994e-05</v>
      </c>
    </row>
    <row r="645">
      <c r="A645" s="21" t="n">
        <v>44770</v>
      </c>
      <c r="B645" t="n">
        <v>2.239883e-05</v>
      </c>
    </row>
    <row r="646">
      <c r="A646" s="21" t="n">
        <v>44771</v>
      </c>
      <c r="B646" t="n">
        <v>2.3002e-05</v>
      </c>
    </row>
    <row r="647">
      <c r="A647" s="21" t="n">
        <v>44774</v>
      </c>
      <c r="B647" t="n">
        <v>2.161885e-05</v>
      </c>
    </row>
    <row r="648">
      <c r="A648" s="21" t="n">
        <v>44775</v>
      </c>
      <c r="B648" t="n">
        <v>2.156013e-05</v>
      </c>
    </row>
    <row r="649">
      <c r="A649" s="21" t="n">
        <v>44776</v>
      </c>
      <c r="B649" t="n">
        <v>2.182238e-05</v>
      </c>
    </row>
    <row r="650">
      <c r="A650" s="21" t="n">
        <v>44777</v>
      </c>
      <c r="B650" t="n">
        <v>2.191546e-05</v>
      </c>
    </row>
    <row r="651">
      <c r="A651" s="21" t="n">
        <v>44778</v>
      </c>
      <c r="B651" t="n">
        <v>2.194927e-05</v>
      </c>
    </row>
    <row r="652">
      <c r="A652" s="21" t="n">
        <v>44781</v>
      </c>
      <c r="B652" t="n">
        <v>2.195692e-05</v>
      </c>
    </row>
    <row r="653">
      <c r="A653" s="21" t="n">
        <v>44782</v>
      </c>
      <c r="B653" t="n">
        <v>2.186568e-05</v>
      </c>
    </row>
    <row r="654">
      <c r="A654" s="21" t="n">
        <v>44783</v>
      </c>
      <c r="B654" t="n">
        <v>2.177646e-05</v>
      </c>
    </row>
    <row r="655">
      <c r="A655" s="21" t="n">
        <v>44784</v>
      </c>
      <c r="B655" t="n">
        <v>2.199247e-05</v>
      </c>
    </row>
    <row r="656">
      <c r="A656" s="21" t="n">
        <v>44785</v>
      </c>
      <c r="B656" t="n">
        <v>2.213193e-05</v>
      </c>
    </row>
    <row r="657">
      <c r="A657" s="21" t="n">
        <v>44788</v>
      </c>
      <c r="B657" t="n">
        <v>2.175857e-05</v>
      </c>
    </row>
    <row r="658">
      <c r="A658" s="21" t="n">
        <v>44789</v>
      </c>
      <c r="B658" t="n">
        <v>2.165332e-05</v>
      </c>
    </row>
    <row r="659">
      <c r="A659" s="21" t="n">
        <v>44790</v>
      </c>
      <c r="B659" t="n">
        <v>2.199631e-05</v>
      </c>
    </row>
    <row r="660">
      <c r="A660" s="21" t="n">
        <v>44791</v>
      </c>
      <c r="B660" t="n">
        <v>2.218161e-05</v>
      </c>
    </row>
    <row r="661">
      <c r="A661" s="21" t="n">
        <v>44792</v>
      </c>
      <c r="B661" t="n">
        <v>2.22168e-05</v>
      </c>
    </row>
    <row r="662">
      <c r="A662" s="21" t="n">
        <v>44795</v>
      </c>
      <c r="B662" t="n">
        <v>2.235665e-05</v>
      </c>
    </row>
    <row r="663">
      <c r="A663" s="21" t="n">
        <v>44796</v>
      </c>
      <c r="B663" t="n">
        <v>2.250718e-05</v>
      </c>
    </row>
    <row r="664">
      <c r="A664" s="21" t="n">
        <v>44797</v>
      </c>
      <c r="B664" t="n">
        <v>2.237072e-05</v>
      </c>
    </row>
    <row r="665">
      <c r="A665" s="21" t="n">
        <v>44798</v>
      </c>
      <c r="B665" t="n">
        <v>2.187907e-05</v>
      </c>
    </row>
    <row r="666">
      <c r="A666" s="21" t="n">
        <v>44799</v>
      </c>
      <c r="B666" t="n">
        <v>2.182452e-05</v>
      </c>
    </row>
    <row r="667">
      <c r="A667" s="21" t="n">
        <v>44802</v>
      </c>
      <c r="B667" t="n">
        <v>2.205188e-05</v>
      </c>
    </row>
    <row r="668">
      <c r="A668" s="21" t="n">
        <v>44803</v>
      </c>
      <c r="B668" t="n">
        <v>2.188975e-05</v>
      </c>
    </row>
    <row r="669">
      <c r="A669" s="21" t="n">
        <v>44804</v>
      </c>
      <c r="B669" t="n">
        <v>2.251025e-05</v>
      </c>
    </row>
    <row r="670">
      <c r="A670" s="21" t="n">
        <v>44805</v>
      </c>
      <c r="B670" t="n">
        <v>2.173156e-05</v>
      </c>
    </row>
    <row r="671">
      <c r="A671" s="21" t="n">
        <v>44806</v>
      </c>
      <c r="B671" t="n">
        <v>2.173413e-05</v>
      </c>
    </row>
    <row r="672">
      <c r="A672" s="21" t="n">
        <v>44810</v>
      </c>
      <c r="B672" t="n">
        <v>2.188796e-05</v>
      </c>
    </row>
    <row r="673">
      <c r="A673" s="21" t="n">
        <v>44811</v>
      </c>
      <c r="B673" t="n">
        <v>2.206987e-05</v>
      </c>
    </row>
    <row r="674">
      <c r="A674" s="21" t="n">
        <v>44812</v>
      </c>
      <c r="B674" t="n">
        <v>2.210466e-05</v>
      </c>
    </row>
    <row r="675">
      <c r="A675" s="21" t="n">
        <v>44813</v>
      </c>
      <c r="B675" t="n">
        <v>2.209714e-05</v>
      </c>
    </row>
    <row r="676">
      <c r="A676" s="21" t="n">
        <v>44816</v>
      </c>
      <c r="B676" t="n">
        <v>2.218546e-05</v>
      </c>
    </row>
    <row r="677">
      <c r="A677" s="21" t="n">
        <v>44817</v>
      </c>
      <c r="B677" t="n">
        <v>2.202719e-05</v>
      </c>
    </row>
    <row r="678">
      <c r="A678" s="21" t="n">
        <v>44818</v>
      </c>
      <c r="B678" t="n">
        <v>2.225579e-05</v>
      </c>
    </row>
    <row r="679">
      <c r="A679" s="21" t="n">
        <v>44819</v>
      </c>
      <c r="B679" t="n">
        <v>2.176188e-05</v>
      </c>
    </row>
    <row r="680">
      <c r="A680" s="21" t="n">
        <v>44820</v>
      </c>
      <c r="B680" t="n">
        <v>2.186833e-05</v>
      </c>
    </row>
    <row r="681">
      <c r="A681" s="21" t="n">
        <v>44823</v>
      </c>
      <c r="B681" t="n">
        <v>2.217542e-05</v>
      </c>
    </row>
    <row r="682">
      <c r="A682" s="21" t="n">
        <v>44824</v>
      </c>
      <c r="B682" t="n">
        <v>2.23887e-05</v>
      </c>
    </row>
    <row r="683">
      <c r="A683" s="21" t="n">
        <v>44825</v>
      </c>
      <c r="B683" t="n">
        <v>2.3159e-05</v>
      </c>
    </row>
    <row r="684">
      <c r="A684" s="21" t="n">
        <v>44826</v>
      </c>
      <c r="B684" t="n">
        <v>2.359227e-05</v>
      </c>
    </row>
    <row r="685">
      <c r="A685" s="21" t="n">
        <v>44827</v>
      </c>
      <c r="B685" t="n">
        <v>2.319361e-05</v>
      </c>
    </row>
    <row r="686">
      <c r="A686" s="21" t="n">
        <v>44830</v>
      </c>
      <c r="B686" t="n">
        <v>2.299011e-05</v>
      </c>
    </row>
    <row r="687">
      <c r="A687" s="21" t="n">
        <v>44831</v>
      </c>
      <c r="B687" t="n">
        <v>2.327111e-05</v>
      </c>
    </row>
    <row r="688">
      <c r="A688" s="21" t="n">
        <v>44832</v>
      </c>
      <c r="B688" t="n">
        <v>2.366798e-05</v>
      </c>
    </row>
    <row r="689">
      <c r="A689" s="21" t="n">
        <v>44833</v>
      </c>
      <c r="B689" t="n">
        <v>2.371763e-05</v>
      </c>
    </row>
    <row r="690">
      <c r="A690" s="21" t="n">
        <v>44834</v>
      </c>
      <c r="B690" t="n">
        <v>2.42591e-05</v>
      </c>
    </row>
    <row r="691">
      <c r="A691" s="21" t="n">
        <v>44837</v>
      </c>
      <c r="B691" t="n">
        <v>2.252523e-05</v>
      </c>
    </row>
    <row r="692">
      <c r="A692" s="21" t="n">
        <v>44838</v>
      </c>
      <c r="B692" t="n">
        <v>2.233616e-05</v>
      </c>
    </row>
    <row r="693">
      <c r="A693" s="21" t="n">
        <v>44839</v>
      </c>
      <c r="B693" t="n">
        <v>2.230799e-05</v>
      </c>
    </row>
    <row r="694">
      <c r="A694" s="21" t="n">
        <v>44840</v>
      </c>
      <c r="B694" t="n">
        <v>2.232801e-05</v>
      </c>
    </row>
    <row r="695">
      <c r="A695" s="21" t="n">
        <v>44841</v>
      </c>
      <c r="B695" t="n">
        <v>2.22695e-05</v>
      </c>
    </row>
    <row r="696">
      <c r="A696" s="21" t="n">
        <v>44845</v>
      </c>
      <c r="B696" t="n">
        <v>2.222479e-05</v>
      </c>
    </row>
    <row r="697">
      <c r="A697" s="21" t="n">
        <v>44846</v>
      </c>
      <c r="B697" t="n">
        <v>2.247206e-05</v>
      </c>
    </row>
    <row r="698">
      <c r="A698" s="21" t="n">
        <v>44847</v>
      </c>
      <c r="B698" t="n">
        <v>2.2441e-05</v>
      </c>
    </row>
    <row r="699">
      <c r="A699" s="21" t="n">
        <v>44848</v>
      </c>
      <c r="B699" t="n">
        <v>2.222052e-05</v>
      </c>
    </row>
    <row r="700">
      <c r="A700" s="21" t="n">
        <v>44851</v>
      </c>
      <c r="B700" t="n">
        <v>2.172301e-05</v>
      </c>
    </row>
    <row r="701">
      <c r="A701" s="21" t="n">
        <v>44852</v>
      </c>
      <c r="B701" t="n">
        <v>2.226725e-05</v>
      </c>
    </row>
    <row r="702">
      <c r="A702" s="21" t="n">
        <v>44853</v>
      </c>
      <c r="B702" t="n">
        <v>2.241835e-05</v>
      </c>
    </row>
    <row r="703">
      <c r="A703" s="21" t="n">
        <v>44854</v>
      </c>
      <c r="B703" t="n">
        <v>2.234071e-05</v>
      </c>
    </row>
    <row r="704">
      <c r="A704" s="21" t="n">
        <v>44855</v>
      </c>
      <c r="B704" t="n">
        <v>2.265809e-05</v>
      </c>
    </row>
    <row r="705">
      <c r="A705" s="21" t="n">
        <v>44858</v>
      </c>
      <c r="B705" t="n">
        <v>2.242044e-05</v>
      </c>
    </row>
    <row r="706">
      <c r="A706" s="21" t="n">
        <v>44859</v>
      </c>
      <c r="B706" t="n">
        <v>2.195616e-05</v>
      </c>
    </row>
    <row r="707">
      <c r="A707" s="21" t="n">
        <v>44860</v>
      </c>
      <c r="B707" t="n">
        <v>2.186856e-05</v>
      </c>
    </row>
    <row r="708">
      <c r="A708" s="21" t="n">
        <v>44861</v>
      </c>
      <c r="B708" t="n">
        <v>2.152485e-05</v>
      </c>
    </row>
    <row r="709">
      <c r="A709" s="21" t="n">
        <v>44862</v>
      </c>
      <c r="B709" t="n">
        <v>2.18329e-05</v>
      </c>
    </row>
    <row r="710">
      <c r="A710" s="21" t="n">
        <v>44865</v>
      </c>
      <c r="B710" t="n">
        <v>2.275459e-05</v>
      </c>
    </row>
    <row r="711">
      <c r="A711" s="21" t="n">
        <v>44866</v>
      </c>
      <c r="B711" t="n">
        <v>2.20051e-05</v>
      </c>
    </row>
    <row r="712">
      <c r="A712" s="21" t="n">
        <v>44867</v>
      </c>
      <c r="B712" t="n">
        <v>2.229861e-05</v>
      </c>
    </row>
    <row r="713">
      <c r="A713" s="21" t="n">
        <v>44868</v>
      </c>
      <c r="B713" t="n">
        <v>2.219791e-05</v>
      </c>
    </row>
    <row r="714">
      <c r="A714" s="21" t="n">
        <v>44869</v>
      </c>
      <c r="B714" t="n">
        <v>2.23084e-05</v>
      </c>
    </row>
    <row r="715">
      <c r="A715" s="21" t="n">
        <v>44872</v>
      </c>
      <c r="B715" t="n">
        <v>2.241317e-05</v>
      </c>
    </row>
    <row r="716">
      <c r="A716" s="21" t="n">
        <v>44873</v>
      </c>
      <c r="B716" t="n">
        <v>2.232555e-05</v>
      </c>
    </row>
    <row r="717">
      <c r="A717" s="21" t="n">
        <v>44874</v>
      </c>
      <c r="B717" t="n">
        <v>2.237812e-05</v>
      </c>
    </row>
    <row r="718">
      <c r="A718" s="21" t="n">
        <v>44875</v>
      </c>
      <c r="B718" t="n">
        <v>2.200586e-05</v>
      </c>
    </row>
    <row r="719">
      <c r="A719" s="21" t="n">
        <v>44879</v>
      </c>
      <c r="B719" t="n">
        <v>2.165018e-05</v>
      </c>
    </row>
    <row r="720">
      <c r="A720" s="21" t="n">
        <v>44880</v>
      </c>
      <c r="B720" t="n">
        <v>2.086574e-05</v>
      </c>
    </row>
    <row r="721">
      <c r="A721" s="21" t="n">
        <v>44881</v>
      </c>
      <c r="B721" t="n">
        <v>2.09907e-05</v>
      </c>
    </row>
    <row r="722">
      <c r="A722" s="21" t="n">
        <v>44882</v>
      </c>
      <c r="B722" t="n">
        <v>2.114439e-05</v>
      </c>
    </row>
    <row r="723">
      <c r="A723" s="21" t="n">
        <v>44883</v>
      </c>
      <c r="B723" t="n">
        <v>2.113413e-05</v>
      </c>
    </row>
    <row r="724">
      <c r="A724" s="21" t="n">
        <v>44886</v>
      </c>
      <c r="B724" t="n">
        <v>2.125426e-05</v>
      </c>
    </row>
    <row r="725">
      <c r="A725" s="21" t="n">
        <v>44887</v>
      </c>
      <c r="B725" t="n">
        <v>2.103932e-05</v>
      </c>
    </row>
    <row r="726">
      <c r="A726" s="21" t="n">
        <v>44888</v>
      </c>
      <c r="B726" t="n">
        <v>2.069174e-05</v>
      </c>
    </row>
    <row r="727">
      <c r="A727" s="21" t="n">
        <v>44890</v>
      </c>
      <c r="B727" t="n">
        <v>2.031066e-05</v>
      </c>
    </row>
    <row r="728">
      <c r="A728" s="21" t="n">
        <v>44893</v>
      </c>
      <c r="B728" t="n">
        <v>2.054914e-05</v>
      </c>
    </row>
    <row r="729">
      <c r="A729" s="21" t="n">
        <v>44894</v>
      </c>
      <c r="B729" t="n">
        <v>2.064377e-05</v>
      </c>
    </row>
    <row r="730">
      <c r="A730" s="21" t="n">
        <v>44895</v>
      </c>
      <c r="B730" t="n">
        <v>2.115913e-05</v>
      </c>
    </row>
    <row r="731">
      <c r="A731" s="21" t="n">
        <v>44896</v>
      </c>
      <c r="B731" t="n">
        <v>2.050286e-05</v>
      </c>
    </row>
    <row r="732">
      <c r="A732" s="21" t="n">
        <v>44897</v>
      </c>
      <c r="B732" t="n">
        <v>2.049763e-05</v>
      </c>
    </row>
    <row r="733">
      <c r="A733" s="21" t="n">
        <v>44900</v>
      </c>
      <c r="B733" t="n">
        <v>2.093647e-05</v>
      </c>
    </row>
    <row r="734">
      <c r="A734" s="21" t="n">
        <v>44901</v>
      </c>
      <c r="B734" t="n">
        <v>2.111465e-05</v>
      </c>
    </row>
    <row r="735">
      <c r="A735" s="21" t="n">
        <v>44902</v>
      </c>
      <c r="B735" t="n">
        <v>2.151549e-05</v>
      </c>
    </row>
    <row r="736">
      <c r="A736" s="21" t="n">
        <v>44903</v>
      </c>
      <c r="B736" t="n">
        <v>2.175973e-05</v>
      </c>
    </row>
    <row r="737">
      <c r="A737" s="21" t="n">
        <v>44904</v>
      </c>
      <c r="B737" t="n">
        <v>2.146748e-05</v>
      </c>
    </row>
    <row r="738">
      <c r="A738" s="21" t="n">
        <v>44907</v>
      </c>
      <c r="B738" t="n">
        <v>2.158517e-05</v>
      </c>
    </row>
    <row r="739">
      <c r="A739" s="21" t="n">
        <v>44908</v>
      </c>
      <c r="B739" t="n">
        <v>2.180676e-05</v>
      </c>
    </row>
    <row r="740">
      <c r="A740" s="21" t="n">
        <v>44909</v>
      </c>
      <c r="B740" t="n">
        <v>2.192864e-05</v>
      </c>
    </row>
    <row r="741">
      <c r="A741" s="21" t="n">
        <v>44910</v>
      </c>
      <c r="B741" t="n">
        <v>2.123995e-05</v>
      </c>
    </row>
    <row r="742">
      <c r="A742" s="21" t="n">
        <v>44911</v>
      </c>
      <c r="B742" t="n">
        <v>2.12654e-05</v>
      </c>
    </row>
    <row r="743">
      <c r="A743" s="21" t="n">
        <v>44914</v>
      </c>
      <c r="B743" t="n">
        <v>2.134765e-05</v>
      </c>
    </row>
    <row r="744">
      <c r="A744" s="21" t="n">
        <v>44915</v>
      </c>
      <c r="B744" t="n">
        <v>2.159408e-05</v>
      </c>
    </row>
    <row r="745">
      <c r="A745" s="21" t="n">
        <v>44916</v>
      </c>
      <c r="B745" t="n">
        <v>2.206965e-05</v>
      </c>
    </row>
    <row r="746">
      <c r="A746" s="21" t="n">
        <v>44917</v>
      </c>
      <c r="B746" t="n">
        <v>2.222898e-05</v>
      </c>
    </row>
    <row r="747">
      <c r="A747" s="21" t="n">
        <v>44918</v>
      </c>
      <c r="B747" t="n">
        <v>2.216348e-05</v>
      </c>
    </row>
    <row r="748">
      <c r="A748" s="21" t="n">
        <v>44922</v>
      </c>
      <c r="B748" t="n">
        <v>2.221259e-05</v>
      </c>
    </row>
    <row r="749">
      <c r="A749" s="21" t="n">
        <v>44923</v>
      </c>
      <c r="B749" t="n">
        <v>2.293003e-05</v>
      </c>
    </row>
    <row r="750">
      <c r="A750" s="21" t="n">
        <v>44924</v>
      </c>
      <c r="B750" t="n">
        <v>2.308319e-05</v>
      </c>
    </row>
    <row r="751">
      <c r="A751" s="21" t="n">
        <v>44925</v>
      </c>
      <c r="B751" t="n">
        <v>2.553716e-05</v>
      </c>
    </row>
    <row r="752">
      <c r="A752" s="21" t="n">
        <v>44929</v>
      </c>
      <c r="B752" t="n">
        <v>2.188272e-05</v>
      </c>
    </row>
    <row r="753">
      <c r="A753" s="21" t="n">
        <v>44930</v>
      </c>
      <c r="B753" t="n">
        <v>2.229542e-05</v>
      </c>
    </row>
    <row r="754">
      <c r="A754" s="21" t="n">
        <v>44931</v>
      </c>
      <c r="B754" t="n">
        <v>2.242486e-05</v>
      </c>
    </row>
    <row r="755">
      <c r="A755" s="21" t="n">
        <v>44932</v>
      </c>
      <c r="B755" t="n">
        <v>2.208265e-05</v>
      </c>
    </row>
    <row r="756">
      <c r="A756" s="21" t="n">
        <v>44935</v>
      </c>
      <c r="B756" t="n">
        <v>2.199121e-05</v>
      </c>
    </row>
    <row r="757">
      <c r="A757" s="21" t="n">
        <v>44936</v>
      </c>
      <c r="B757" t="n">
        <v>2.192942e-05</v>
      </c>
    </row>
    <row r="758">
      <c r="A758" s="21" t="n">
        <v>44937</v>
      </c>
      <c r="B758" t="n">
        <v>2.19917e-05</v>
      </c>
    </row>
    <row r="759">
      <c r="A759" s="21" t="n">
        <v>44938</v>
      </c>
      <c r="B759" t="n">
        <v>2.202989e-05</v>
      </c>
    </row>
    <row r="760">
      <c r="A760" s="21" t="n">
        <v>44939</v>
      </c>
      <c r="B760" t="n">
        <v>2.179781e-05</v>
      </c>
    </row>
    <row r="761">
      <c r="A761" s="21" t="n">
        <v>44943</v>
      </c>
      <c r="B761" t="n">
        <v>2.093328e-05</v>
      </c>
    </row>
    <row r="762">
      <c r="A762" s="21" t="n">
        <v>44944</v>
      </c>
      <c r="B762" t="n">
        <v>2.131678e-05</v>
      </c>
    </row>
    <row r="763">
      <c r="A763" s="21" t="n">
        <v>44945</v>
      </c>
      <c r="B763" t="n">
        <v>2.110145e-05</v>
      </c>
    </row>
    <row r="764">
      <c r="A764" s="21" t="n">
        <v>44946</v>
      </c>
      <c r="B764" t="n">
        <v>2.090523e-05</v>
      </c>
    </row>
    <row r="765">
      <c r="A765" s="21" t="n">
        <v>44949</v>
      </c>
      <c r="B765" t="n">
        <v>2.135499e-05</v>
      </c>
    </row>
    <row r="766">
      <c r="A766" s="21" t="n">
        <v>44950</v>
      </c>
      <c r="B766" t="n">
        <v>2.048386e-05</v>
      </c>
    </row>
    <row r="767">
      <c r="A767" s="21" t="n">
        <v>44951</v>
      </c>
      <c r="B767" t="n">
        <v>2.031561e-05</v>
      </c>
    </row>
    <row r="768">
      <c r="A768" s="21" t="n">
        <v>44952</v>
      </c>
      <c r="B768" t="n">
        <v>2.024069e-05</v>
      </c>
    </row>
    <row r="769">
      <c r="A769" s="21" t="n">
        <v>44953</v>
      </c>
      <c r="B769" t="n">
        <v>2.003634e-05</v>
      </c>
    </row>
    <row r="770">
      <c r="A770" s="21" t="n">
        <v>44956</v>
      </c>
      <c r="B770" t="n">
        <v>2.048714e-05</v>
      </c>
    </row>
    <row r="771">
      <c r="A771" s="21" t="n">
        <v>44957</v>
      </c>
      <c r="B771" t="n">
        <v>2.061572e-05</v>
      </c>
    </row>
    <row r="772">
      <c r="A772" s="21" t="n">
        <v>44958</v>
      </c>
      <c r="B772" t="n">
        <v>2.038262e-05</v>
      </c>
    </row>
    <row r="773">
      <c r="A773" s="21" t="n">
        <v>44959</v>
      </c>
      <c r="B773" t="n">
        <v>2.050063e-05</v>
      </c>
    </row>
    <row r="774">
      <c r="A774" s="21" t="n">
        <v>44960</v>
      </c>
      <c r="B774" t="n">
        <v>2.041217e-05</v>
      </c>
    </row>
    <row r="775">
      <c r="A775" s="21" t="n">
        <v>44963</v>
      </c>
      <c r="B775" t="n">
        <v>2.072261e-05</v>
      </c>
    </row>
    <row r="776">
      <c r="A776" s="21" t="n">
        <v>44964</v>
      </c>
      <c r="B776" t="n">
        <v>2.057958e-05</v>
      </c>
    </row>
    <row r="777">
      <c r="A777" s="21" t="n">
        <v>44965</v>
      </c>
      <c r="B777" t="n">
        <v>2.059604e-05</v>
      </c>
    </row>
    <row r="778">
      <c r="A778" s="21" t="n">
        <v>44966</v>
      </c>
      <c r="B778" t="n">
        <v>2.058942e-05</v>
      </c>
    </row>
    <row r="779">
      <c r="A779" s="21" t="n">
        <v>44967</v>
      </c>
      <c r="B779" t="n">
        <v>2.042893e-05</v>
      </c>
    </row>
    <row r="780">
      <c r="A780" s="21" t="n">
        <v>44970</v>
      </c>
      <c r="B780" t="n">
        <v>2.107775e-05</v>
      </c>
    </row>
    <row r="781">
      <c r="A781" s="21" t="n">
        <v>44971</v>
      </c>
      <c r="B781" t="n">
        <v>2.076548e-05</v>
      </c>
    </row>
    <row r="782">
      <c r="A782" s="21" t="n">
        <v>44972</v>
      </c>
      <c r="B782" t="n">
        <v>2.011998e-05</v>
      </c>
    </row>
    <row r="783">
      <c r="A783" s="21" t="n">
        <v>44973</v>
      </c>
      <c r="B783" t="n">
        <v>2.032457e-05</v>
      </c>
    </row>
    <row r="784">
      <c r="A784" s="21" t="n">
        <v>44974</v>
      </c>
      <c r="B784" t="n">
        <v>2.059662e-05</v>
      </c>
    </row>
    <row r="785">
      <c r="A785" s="21" t="n">
        <v>44978</v>
      </c>
      <c r="B785" t="n">
        <v>2.046064e-05</v>
      </c>
    </row>
    <row r="786">
      <c r="A786" s="21" t="n">
        <v>44979</v>
      </c>
      <c r="B786" t="n">
        <v>2.113849e-05</v>
      </c>
    </row>
    <row r="787">
      <c r="A787" s="21" t="n">
        <v>44980</v>
      </c>
      <c r="B787" t="n">
        <v>2.147417e-05</v>
      </c>
    </row>
    <row r="788">
      <c r="A788" s="21" t="n">
        <v>44981</v>
      </c>
      <c r="B788" t="n">
        <v>2.142141e-05</v>
      </c>
    </row>
    <row r="789">
      <c r="A789" s="21" t="n">
        <v>44984</v>
      </c>
      <c r="B789" t="n">
        <v>2.162435e-05</v>
      </c>
    </row>
    <row r="790">
      <c r="A790" s="21" t="n">
        <v>44985</v>
      </c>
      <c r="B790" t="n">
        <v>2.188035e-05</v>
      </c>
    </row>
    <row r="791">
      <c r="A791" s="21" t="n">
        <v>44986</v>
      </c>
      <c r="B791" t="n">
        <v>2.13395e-05</v>
      </c>
    </row>
    <row r="792">
      <c r="A792" s="21" t="n">
        <v>44987</v>
      </c>
      <c r="B792" t="n">
        <v>2.192355e-05</v>
      </c>
    </row>
    <row r="793">
      <c r="A793" s="21" t="n">
        <v>44988</v>
      </c>
      <c r="B793" t="n">
        <v>2.18615e-05</v>
      </c>
    </row>
    <row r="794">
      <c r="A794" s="21" t="n">
        <v>44991</v>
      </c>
      <c r="B794" t="n">
        <v>2.190793e-05</v>
      </c>
    </row>
    <row r="795">
      <c r="A795" s="21" t="n">
        <v>44992</v>
      </c>
      <c r="B795" t="n">
        <v>2.170195e-05</v>
      </c>
    </row>
    <row r="796">
      <c r="A796" s="21" t="n">
        <v>44993</v>
      </c>
      <c r="B796" t="n">
        <v>2.193237e-05</v>
      </c>
    </row>
    <row r="797">
      <c r="A797" s="21" t="n">
        <v>44994</v>
      </c>
      <c r="B797" t="n">
        <v>2.229623e-05</v>
      </c>
    </row>
    <row r="798">
      <c r="A798" s="21" t="n">
        <v>44995</v>
      </c>
      <c r="B798" t="n">
        <v>2.188375e-05</v>
      </c>
    </row>
    <row r="799">
      <c r="A799" s="21" t="n">
        <v>44998</v>
      </c>
      <c r="B799" t="n">
        <v>2.126677e-05</v>
      </c>
    </row>
    <row r="800">
      <c r="A800" s="21" t="n">
        <v>44999</v>
      </c>
      <c r="B800" t="n">
        <v>2.042579e-05</v>
      </c>
    </row>
    <row r="801">
      <c r="A801" s="21" t="n">
        <v>45000</v>
      </c>
      <c r="B801" t="n">
        <v>2.055823e-05</v>
      </c>
    </row>
    <row r="802">
      <c r="A802" s="21" t="n">
        <v>45001</v>
      </c>
      <c r="B802" t="n">
        <v>2.066319e-05</v>
      </c>
    </row>
    <row r="803">
      <c r="A803" s="21" t="n">
        <v>45002</v>
      </c>
      <c r="B803" t="n">
        <v>2.106166e-05</v>
      </c>
    </row>
    <row r="804">
      <c r="A804" s="21" t="n">
        <v>45005</v>
      </c>
      <c r="B804" t="n">
        <v>2.098393e-05</v>
      </c>
    </row>
    <row r="805">
      <c r="A805" s="21" t="n">
        <v>45006</v>
      </c>
      <c r="B805" t="n">
        <v>2.194631e-05</v>
      </c>
    </row>
    <row r="806">
      <c r="A806" s="21" t="n">
        <v>45007</v>
      </c>
      <c r="B806" t="n">
        <v>2.279608e-05</v>
      </c>
    </row>
    <row r="807">
      <c r="A807" s="21" t="n">
        <v>45008</v>
      </c>
      <c r="B807" t="n">
        <v>2.233956e-05</v>
      </c>
    </row>
    <row r="808">
      <c r="A808" s="21" t="n">
        <v>45009</v>
      </c>
      <c r="B808" t="n">
        <v>2.218458e-05</v>
      </c>
    </row>
    <row r="809">
      <c r="A809" s="21" t="n">
        <v>45012</v>
      </c>
      <c r="B809" t="n">
        <v>2.220131e-05</v>
      </c>
    </row>
    <row r="810">
      <c r="A810" s="21" t="n">
        <v>45013</v>
      </c>
      <c r="B810" t="n">
        <v>2.231749e-05</v>
      </c>
    </row>
    <row r="811">
      <c r="A811" s="21" t="n">
        <v>45014</v>
      </c>
      <c r="B811" t="n">
        <v>2.264862e-05</v>
      </c>
    </row>
    <row r="812">
      <c r="A812" s="21" t="n">
        <v>45015</v>
      </c>
      <c r="B812" t="n">
        <v>2.271531e-05</v>
      </c>
    </row>
    <row r="813">
      <c r="A813" s="21" t="n">
        <v>45016</v>
      </c>
      <c r="B813" t="n">
        <v>2.375171e-05</v>
      </c>
    </row>
    <row r="814">
      <c r="A814" s="21" t="n">
        <v>45019</v>
      </c>
      <c r="B814" t="n">
        <v>2.22101e-05</v>
      </c>
    </row>
    <row r="815">
      <c r="A815" s="21" t="n">
        <v>45020</v>
      </c>
      <c r="B815" t="n">
        <v>2.219375e-05</v>
      </c>
    </row>
    <row r="816">
      <c r="A816" s="21" t="n">
        <v>45021</v>
      </c>
      <c r="B816" t="n">
        <v>2.243011e-05</v>
      </c>
    </row>
    <row r="817">
      <c r="A817" s="21" t="n">
        <v>45022</v>
      </c>
      <c r="B817" t="n">
        <v>2.173663e-05</v>
      </c>
    </row>
    <row r="818">
      <c r="A818" s="21" t="n">
        <v>45026</v>
      </c>
      <c r="B818" t="n">
        <v>2.239655e-05</v>
      </c>
    </row>
    <row r="819">
      <c r="A819" s="21" t="n">
        <v>45027</v>
      </c>
      <c r="B819" t="n">
        <v>2.297208e-05</v>
      </c>
    </row>
    <row r="820">
      <c r="A820" s="21" t="n">
        <v>45028</v>
      </c>
      <c r="B820" t="n">
        <v>2.303862e-05</v>
      </c>
    </row>
    <row r="821">
      <c r="A821" s="21" t="n">
        <v>45029</v>
      </c>
      <c r="B821" t="n">
        <v>2.321699e-05</v>
      </c>
    </row>
    <row r="822">
      <c r="A822" s="21" t="n">
        <v>45030</v>
      </c>
      <c r="B822" t="n">
        <v>2.253786e-05</v>
      </c>
    </row>
    <row r="823">
      <c r="A823" s="21" t="n">
        <v>45033</v>
      </c>
      <c r="B823" t="n">
        <v>2.256845e-05</v>
      </c>
    </row>
    <row r="824">
      <c r="A824" s="21" t="n">
        <v>45034</v>
      </c>
      <c r="B824" t="n">
        <v>2.238994e-05</v>
      </c>
    </row>
    <row r="825">
      <c r="A825" s="21" t="n">
        <v>45035</v>
      </c>
      <c r="B825" t="n">
        <v>2.294677e-05</v>
      </c>
    </row>
    <row r="826">
      <c r="A826" s="21" t="n">
        <v>45036</v>
      </c>
      <c r="B826" t="n">
        <v>2.277259e-05</v>
      </c>
    </row>
    <row r="827">
      <c r="A827" s="21" t="n">
        <v>45037</v>
      </c>
      <c r="B827" t="n">
        <v>2.290023e-05</v>
      </c>
    </row>
    <row r="828">
      <c r="A828" s="21" t="n">
        <v>45040</v>
      </c>
      <c r="B828" t="n">
        <v>2.308538e-05</v>
      </c>
    </row>
    <row r="829">
      <c r="A829" s="21" t="n">
        <v>45041</v>
      </c>
      <c r="B829" t="n">
        <v>2.275402e-05</v>
      </c>
    </row>
    <row r="830">
      <c r="A830" s="21" t="n">
        <v>45042</v>
      </c>
      <c r="B830" t="n">
        <v>2.279561e-05</v>
      </c>
    </row>
    <row r="831">
      <c r="A831" s="21" t="n">
        <v>45043</v>
      </c>
      <c r="B831" t="n">
        <v>2.273926e-05</v>
      </c>
    </row>
    <row r="832">
      <c r="A832" s="21" t="n">
        <v>45044</v>
      </c>
      <c r="B832" t="n">
        <v>2.325479e-05</v>
      </c>
    </row>
    <row r="833">
      <c r="A833" s="21" t="n">
        <v>45047</v>
      </c>
      <c r="B833" t="n">
        <v>2.239866e-05</v>
      </c>
    </row>
    <row r="834">
      <c r="A834" s="21" t="n">
        <v>45048</v>
      </c>
      <c r="B834" t="n">
        <v>2.26713e-05</v>
      </c>
    </row>
    <row r="835">
      <c r="A835" s="21" t="n">
        <v>45049</v>
      </c>
      <c r="B835" t="n">
        <v>2.258222e-05</v>
      </c>
    </row>
    <row r="836">
      <c r="A836" s="21" t="n">
        <v>45050</v>
      </c>
      <c r="B836" t="n">
        <v>2.242399e-05</v>
      </c>
    </row>
    <row r="837">
      <c r="A837" s="21" t="n">
        <v>45051</v>
      </c>
      <c r="B837" t="n">
        <v>2.207415e-05</v>
      </c>
    </row>
    <row r="838">
      <c r="A838" s="21" t="n">
        <v>45054</v>
      </c>
      <c r="B838" t="n">
        <v>2.217601e-05</v>
      </c>
    </row>
    <row r="839">
      <c r="A839" s="21" t="n">
        <v>45055</v>
      </c>
      <c r="B839" t="n">
        <v>2.222864e-05</v>
      </c>
    </row>
    <row r="840">
      <c r="A840" s="21" t="n">
        <v>45056</v>
      </c>
      <c r="B840" t="n">
        <v>2.233149e-05</v>
      </c>
    </row>
    <row r="841">
      <c r="A841" s="21" t="n">
        <v>45057</v>
      </c>
      <c r="B841" t="n">
        <v>2.242243e-05</v>
      </c>
    </row>
    <row r="842">
      <c r="A842" s="21" t="n">
        <v>45058</v>
      </c>
      <c r="B842" t="n">
        <v>2.229199e-05</v>
      </c>
    </row>
    <row r="843">
      <c r="A843" s="21" t="n">
        <v>45061</v>
      </c>
      <c r="B843" t="n">
        <v>2.220927e-05</v>
      </c>
    </row>
    <row r="844">
      <c r="A844" s="21" t="n">
        <v>45062</v>
      </c>
      <c r="B844" t="n">
        <v>2.203214e-05</v>
      </c>
    </row>
    <row r="845">
      <c r="A845" s="21" t="n">
        <v>45063</v>
      </c>
      <c r="B845" t="n">
        <v>2.213676e-05</v>
      </c>
    </row>
    <row r="846">
      <c r="A846" s="21" t="n">
        <v>45064</v>
      </c>
      <c r="B846" t="n">
        <v>2.238266e-05</v>
      </c>
    </row>
    <row r="847">
      <c r="A847" s="21" t="n">
        <v>45065</v>
      </c>
      <c r="B847" t="n">
        <v>2.27672e-05</v>
      </c>
    </row>
    <row r="848">
      <c r="A848" s="21" t="n">
        <v>45068</v>
      </c>
      <c r="B848" t="n">
        <v>2.275311e-05</v>
      </c>
    </row>
    <row r="849">
      <c r="A849" s="21" t="n">
        <v>45069</v>
      </c>
      <c r="B849" t="n">
        <v>2.256689e-05</v>
      </c>
    </row>
    <row r="850">
      <c r="A850" s="21" t="n">
        <v>45070</v>
      </c>
      <c r="B850" t="n">
        <v>2.250709e-05</v>
      </c>
    </row>
    <row r="851">
      <c r="A851" s="21" t="n">
        <v>45071</v>
      </c>
      <c r="B851" t="n">
        <v>2.197638e-05</v>
      </c>
    </row>
    <row r="852">
      <c r="A852" s="21" t="n">
        <v>45072</v>
      </c>
      <c r="B852" t="n">
        <v>2.189681e-05</v>
      </c>
    </row>
    <row r="853">
      <c r="A853" s="21" t="n">
        <v>45076</v>
      </c>
      <c r="B853" t="n">
        <v>2.200479e-05</v>
      </c>
    </row>
    <row r="854">
      <c r="A854" s="21" t="n">
        <v>45077</v>
      </c>
      <c r="B854" t="n">
        <v>2.254859e-05</v>
      </c>
    </row>
    <row r="855">
      <c r="A855" s="21" t="n">
        <v>45078</v>
      </c>
      <c r="B855" t="n">
        <v>2.160055e-05</v>
      </c>
    </row>
    <row r="856">
      <c r="A856" s="21" t="n">
        <v>45079</v>
      </c>
      <c r="B856" t="n">
        <v>2.142102e-05</v>
      </c>
    </row>
    <row r="857">
      <c r="A857" s="21" t="n">
        <v>45082</v>
      </c>
      <c r="B857" t="n">
        <v>2.131417e-05</v>
      </c>
    </row>
    <row r="858">
      <c r="A858" s="21" t="n">
        <v>45083</v>
      </c>
      <c r="B858" t="n">
        <v>2.134638e-05</v>
      </c>
    </row>
    <row r="859">
      <c r="A859" s="21" t="n">
        <v>45084</v>
      </c>
      <c r="B859" t="n">
        <v>2.161556e-05</v>
      </c>
    </row>
    <row r="860">
      <c r="A860" s="21" t="n">
        <v>45085</v>
      </c>
      <c r="B860" t="n">
        <v>2.141798e-05</v>
      </c>
    </row>
    <row r="861">
      <c r="A861" s="21" t="n">
        <v>45086</v>
      </c>
      <c r="B861" t="n">
        <v>2.127652e-05</v>
      </c>
    </row>
    <row r="862">
      <c r="A862" s="21" t="n">
        <v>45089</v>
      </c>
      <c r="B862" t="n">
        <v>2.12687e-05</v>
      </c>
    </row>
    <row r="863">
      <c r="A863" s="21" t="n">
        <v>45090</v>
      </c>
      <c r="B863" t="n">
        <v>2.07452e-05</v>
      </c>
    </row>
    <row r="864">
      <c r="A864" s="21" t="n">
        <v>45091</v>
      </c>
      <c r="B864" t="n">
        <v>2.109105e-05</v>
      </c>
    </row>
    <row r="865">
      <c r="A865" s="21" t="n">
        <v>45092</v>
      </c>
      <c r="B865" t="n">
        <v>1.99214e-05</v>
      </c>
    </row>
    <row r="866">
      <c r="A866" s="21" t="n">
        <v>45093</v>
      </c>
      <c r="B866" t="n">
        <v>2.011556e-05</v>
      </c>
    </row>
    <row r="867">
      <c r="A867" s="21" t="n">
        <v>45097</v>
      </c>
      <c r="B867" t="n">
        <v>1.989489e-05</v>
      </c>
    </row>
    <row r="868">
      <c r="A868" s="21" t="n">
        <v>45098</v>
      </c>
      <c r="B868" t="n">
        <v>2.037102e-05</v>
      </c>
    </row>
    <row r="869">
      <c r="A869" s="21" t="n">
        <v>45099</v>
      </c>
      <c r="B869" t="n">
        <v>1.994711e-05</v>
      </c>
    </row>
    <row r="870">
      <c r="A870" s="21" t="n">
        <v>45100</v>
      </c>
      <c r="B870" t="n">
        <v>1.96938e-05</v>
      </c>
    </row>
    <row r="871">
      <c r="A871" s="21" t="n">
        <v>45103</v>
      </c>
      <c r="B871" t="n">
        <v>1.961027e-05</v>
      </c>
    </row>
    <row r="872">
      <c r="A872" s="21" t="n">
        <v>45104</v>
      </c>
      <c r="B872" t="n">
        <v>1.951098e-05</v>
      </c>
    </row>
    <row r="873">
      <c r="A873" s="21" t="n">
        <v>45105</v>
      </c>
      <c r="B873" t="n">
        <v>1.945211e-05</v>
      </c>
    </row>
    <row r="874">
      <c r="A874" s="21" t="n">
        <v>45106</v>
      </c>
      <c r="B874" t="n">
        <v>1.934684e-05</v>
      </c>
    </row>
    <row r="875">
      <c r="A875" s="21" t="n">
        <v>45107</v>
      </c>
      <c r="B875" t="n">
        <v>2.034319e-05</v>
      </c>
    </row>
    <row r="876">
      <c r="A876" s="21" t="n">
        <v>45110</v>
      </c>
      <c r="B876" t="n">
        <v>1.909639e-05</v>
      </c>
    </row>
    <row r="877">
      <c r="A877" s="21" t="n">
        <v>45112</v>
      </c>
      <c r="B877" t="n">
        <v>1.867061e-05</v>
      </c>
    </row>
    <row r="878">
      <c r="A878" s="21" t="n">
        <v>45113</v>
      </c>
      <c r="B878" t="n">
        <v>1.854256e-05</v>
      </c>
    </row>
    <row r="879">
      <c r="A879" s="21" t="n">
        <v>45114</v>
      </c>
      <c r="B879" t="n">
        <v>1.822303e-05</v>
      </c>
    </row>
    <row r="880">
      <c r="A880" s="21" t="n">
        <v>45117</v>
      </c>
      <c r="B880" t="n">
        <v>1.811981e-05</v>
      </c>
    </row>
    <row r="881">
      <c r="A881" s="21" t="n">
        <v>45118</v>
      </c>
      <c r="B881" t="n">
        <v>1.775796e-05</v>
      </c>
    </row>
    <row r="882">
      <c r="A882" s="21" t="n">
        <v>45119</v>
      </c>
      <c r="B882" t="n">
        <v>1.820146e-05</v>
      </c>
    </row>
    <row r="883">
      <c r="A883" s="21" t="n">
        <v>45120</v>
      </c>
      <c r="B883" t="n">
        <v>1.767432e-05</v>
      </c>
    </row>
    <row r="884">
      <c r="A884" s="21" t="n">
        <v>45121</v>
      </c>
      <c r="B884" t="n">
        <v>1.740777e-05</v>
      </c>
    </row>
    <row r="885">
      <c r="A885" s="21" t="n">
        <v>45124</v>
      </c>
      <c r="B885" t="n">
        <v>1.728322e-05</v>
      </c>
    </row>
    <row r="886">
      <c r="A886" s="21" t="n">
        <v>45125</v>
      </c>
      <c r="B886" t="n">
        <v>1.716862e-05</v>
      </c>
    </row>
    <row r="887">
      <c r="A887" s="21" t="n">
        <v>45126</v>
      </c>
      <c r="B887" t="n">
        <v>1.732804e-05</v>
      </c>
    </row>
    <row r="888">
      <c r="A888" s="21" t="n">
        <v>45127</v>
      </c>
      <c r="B888" t="n">
        <v>1.721001e-05</v>
      </c>
    </row>
    <row r="889">
      <c r="A889" s="21" t="n">
        <v>45128</v>
      </c>
      <c r="B889" t="n">
        <v>1.770752e-05</v>
      </c>
    </row>
    <row r="890">
      <c r="A890" s="21" t="n">
        <v>45131</v>
      </c>
      <c r="B890" t="n">
        <v>1.770867e-05</v>
      </c>
    </row>
    <row r="891">
      <c r="A891" s="21" t="n">
        <v>45132</v>
      </c>
      <c r="B891" t="n">
        <v>1.720716e-05</v>
      </c>
    </row>
    <row r="892">
      <c r="A892" s="21" t="n">
        <v>45133</v>
      </c>
      <c r="B892" t="n">
        <v>1.749733e-05</v>
      </c>
    </row>
    <row r="893">
      <c r="A893" s="21" t="n">
        <v>45134</v>
      </c>
      <c r="B893" t="n">
        <v>1.735783e-05</v>
      </c>
    </row>
    <row r="894">
      <c r="A894" s="21" t="n">
        <v>45135</v>
      </c>
      <c r="B894" t="n">
        <v>1.730227e-05</v>
      </c>
    </row>
    <row r="895">
      <c r="A895" s="21" t="n">
        <v>45138</v>
      </c>
      <c r="B895" t="n">
        <v>1.821124e-05</v>
      </c>
    </row>
    <row r="896">
      <c r="A896" s="21" t="n">
        <v>45139</v>
      </c>
      <c r="B896" t="n">
        <v>1.739554e-05</v>
      </c>
    </row>
    <row r="897">
      <c r="A897" s="21" t="n">
        <v>45140</v>
      </c>
      <c r="B897" t="n">
        <v>1.770186e-05</v>
      </c>
    </row>
    <row r="898">
      <c r="A898" s="21" t="n">
        <v>45141</v>
      </c>
      <c r="B898" t="n">
        <v>1.776774e-05</v>
      </c>
    </row>
    <row r="899">
      <c r="A899" s="21" t="n">
        <v>45142</v>
      </c>
      <c r="B899" t="n">
        <v>1.793804e-05</v>
      </c>
    </row>
    <row r="900">
      <c r="A900" s="21" t="n">
        <v>45145</v>
      </c>
      <c r="B900" t="n">
        <v>1.810583e-05</v>
      </c>
    </row>
    <row r="901">
      <c r="A901" s="21" t="n">
        <v>45146</v>
      </c>
      <c r="B901" t="n">
        <v>1.778351e-05</v>
      </c>
    </row>
    <row r="902">
      <c r="A902" s="21" t="n">
        <v>45147</v>
      </c>
      <c r="B902" t="n">
        <v>1.796519e-05</v>
      </c>
    </row>
    <row r="903">
      <c r="A903" s="21" t="n">
        <v>45148</v>
      </c>
      <c r="B903" t="n">
        <v>1.759897e-05</v>
      </c>
    </row>
    <row r="904">
      <c r="A904" s="21" t="n">
        <v>45149</v>
      </c>
      <c r="B904" t="n">
        <v>1.773236e-05</v>
      </c>
    </row>
    <row r="905">
      <c r="A905" s="21" t="n">
        <v>45152</v>
      </c>
      <c r="B905" t="n">
        <v>1.799311e-05</v>
      </c>
    </row>
    <row r="906">
      <c r="A906" s="21" t="n">
        <v>45153</v>
      </c>
      <c r="B906" t="n">
        <v>1.743784e-05</v>
      </c>
    </row>
    <row r="907">
      <c r="A907" s="21" t="n">
        <v>45154</v>
      </c>
      <c r="B907" t="n">
        <v>1.796725e-05</v>
      </c>
    </row>
    <row r="908">
      <c r="A908" s="21" t="n">
        <v>45155</v>
      </c>
      <c r="B908" t="n">
        <v>1.79412e-05</v>
      </c>
    </row>
    <row r="909">
      <c r="A909" s="21" t="n">
        <v>45156</v>
      </c>
      <c r="B909" t="n">
        <v>1.819201e-05</v>
      </c>
    </row>
    <row r="910">
      <c r="A910" s="21" t="n">
        <v>45159</v>
      </c>
      <c r="B910" t="n">
        <v>1.824788e-05</v>
      </c>
    </row>
    <row r="911">
      <c r="A911" s="21" t="n">
        <v>45160</v>
      </c>
      <c r="B911" t="n">
        <v>1.812294e-05</v>
      </c>
    </row>
    <row r="912">
      <c r="A912" s="21" t="n">
        <v>45161</v>
      </c>
      <c r="B912" t="n">
        <v>1.816533e-05</v>
      </c>
    </row>
    <row r="913">
      <c r="A913" s="21" t="n">
        <v>45162</v>
      </c>
      <c r="B913" t="n">
        <v>1.731623e-05</v>
      </c>
    </row>
    <row r="914">
      <c r="A914" s="21" t="n">
        <v>45163</v>
      </c>
      <c r="B914" t="n">
        <v>1.687379e-05</v>
      </c>
    </row>
    <row r="915">
      <c r="A915" s="21" t="n">
        <v>45166</v>
      </c>
      <c r="B915" t="n">
        <v>1.708605e-05</v>
      </c>
    </row>
    <row r="916">
      <c r="A916" s="21" t="n">
        <v>45167</v>
      </c>
      <c r="B916" t="n">
        <v>1.693278e-05</v>
      </c>
    </row>
    <row r="917">
      <c r="A917" s="21" t="n">
        <v>45168</v>
      </c>
      <c r="B917" t="n">
        <v>1.696819e-05</v>
      </c>
    </row>
    <row r="918">
      <c r="A918" s="21" t="n">
        <v>45169</v>
      </c>
      <c r="B918" t="n">
        <v>1.651602e-05</v>
      </c>
    </row>
    <row r="919">
      <c r="A919" s="21" t="n">
        <v>45170</v>
      </c>
      <c r="B919" t="n">
        <v>1.574065e-05</v>
      </c>
    </row>
    <row r="920">
      <c r="A920" s="21" t="n">
        <v>45174</v>
      </c>
      <c r="B920" t="n">
        <v>1.56849e-05</v>
      </c>
    </row>
    <row r="921">
      <c r="A921" s="21" t="n">
        <v>45175</v>
      </c>
      <c r="B921" t="n">
        <v>1.606244e-05</v>
      </c>
    </row>
    <row r="922">
      <c r="A922" s="21" t="n">
        <v>45176</v>
      </c>
      <c r="B922" t="n">
        <v>1.535289e-05</v>
      </c>
    </row>
    <row r="923">
      <c r="A923" s="21" t="n">
        <v>45177</v>
      </c>
      <c r="B923" t="n">
        <v>1.525403e-05</v>
      </c>
    </row>
    <row r="924">
      <c r="A924" s="21" t="n">
        <v>45180</v>
      </c>
      <c r="B924" t="n">
        <v>1.549111e-05</v>
      </c>
    </row>
    <row r="925">
      <c r="A925" s="21" t="n">
        <v>45181</v>
      </c>
      <c r="B925" t="n">
        <v>1.493781e-05</v>
      </c>
    </row>
    <row r="926">
      <c r="A926" s="21" t="n">
        <v>45182</v>
      </c>
      <c r="B926" t="n">
        <v>1.546225e-05</v>
      </c>
    </row>
    <row r="927">
      <c r="A927" s="21" t="n">
        <v>45183</v>
      </c>
      <c r="B927" t="n">
        <v>1.492427e-05</v>
      </c>
    </row>
    <row r="928">
      <c r="A928" s="21" t="n">
        <v>45184</v>
      </c>
      <c r="B928" t="n">
        <v>1.401403e-05</v>
      </c>
    </row>
    <row r="929">
      <c r="A929" s="21" t="n">
        <v>45187</v>
      </c>
      <c r="B929" t="n">
        <v>1.452942e-05</v>
      </c>
    </row>
    <row r="930">
      <c r="A930" s="21" t="n">
        <v>45188</v>
      </c>
      <c r="B930" t="n">
        <v>1.453324e-05</v>
      </c>
    </row>
    <row r="931">
      <c r="A931" s="21" t="n">
        <v>45189</v>
      </c>
      <c r="B931" t="n">
        <v>1.486984e-05</v>
      </c>
    </row>
    <row r="932">
      <c r="A932" s="21" t="n">
        <v>45190</v>
      </c>
      <c r="B932" t="n">
        <v>1.454115e-05</v>
      </c>
    </row>
    <row r="933">
      <c r="A933" s="21" t="n">
        <v>45191</v>
      </c>
      <c r="B933" t="n">
        <v>1.427575e-05</v>
      </c>
    </row>
    <row r="934">
      <c r="A934" s="21" t="n">
        <v>45194</v>
      </c>
      <c r="B934" t="n">
        <v>1.43731e-05</v>
      </c>
    </row>
    <row r="935">
      <c r="A935" s="21" t="n">
        <v>45195</v>
      </c>
      <c r="B935" t="n">
        <v>1.438301e-05</v>
      </c>
    </row>
    <row r="936">
      <c r="A936" s="21" t="n">
        <v>45196</v>
      </c>
      <c r="B936" t="n">
        <v>1.442805e-05</v>
      </c>
    </row>
    <row r="937">
      <c r="A937" s="21" t="n">
        <v>45197</v>
      </c>
      <c r="B937" t="n">
        <v>1.453366e-05</v>
      </c>
    </row>
    <row r="938">
      <c r="A938" s="21" t="n">
        <v>45198</v>
      </c>
      <c r="B938" t="n">
        <v>1.557569e-05</v>
      </c>
    </row>
    <row r="939">
      <c r="A939" s="21" t="n">
        <v>45201</v>
      </c>
      <c r="B939" t="n">
        <v>1.365739e-05</v>
      </c>
    </row>
    <row r="940">
      <c r="A940" s="21" t="n">
        <v>45202</v>
      </c>
      <c r="B940" t="n">
        <v>1.348465e-05</v>
      </c>
    </row>
    <row r="941">
      <c r="A941" s="21" t="n">
        <v>45203</v>
      </c>
      <c r="B941" t="n">
        <v>1.342031e-05</v>
      </c>
    </row>
    <row r="942">
      <c r="A942" s="21" t="n">
        <v>45204</v>
      </c>
      <c r="B942" t="n">
        <v>1.265132e-05</v>
      </c>
    </row>
    <row r="943">
      <c r="A943" s="21" t="n">
        <v>45205</v>
      </c>
      <c r="B943" t="n">
        <v>1.283461e-05</v>
      </c>
    </row>
    <row r="944">
      <c r="A944" s="21" t="n">
        <v>45209</v>
      </c>
      <c r="B944" t="n">
        <v>1.22244e-05</v>
      </c>
    </row>
    <row r="945">
      <c r="A945" s="21" t="n">
        <v>45210</v>
      </c>
      <c r="B945" t="n">
        <v>1.239382e-05</v>
      </c>
    </row>
    <row r="946">
      <c r="A946" s="21" t="n">
        <v>45211</v>
      </c>
      <c r="B946" t="n">
        <v>1.157319e-05</v>
      </c>
    </row>
    <row r="947">
      <c r="A947" s="21" t="n">
        <v>45212</v>
      </c>
      <c r="B947" t="n">
        <v>1.151818e-05</v>
      </c>
    </row>
    <row r="948">
      <c r="A948" s="21" t="n">
        <v>45215</v>
      </c>
      <c r="B948" t="n">
        <v>1.108819e-05</v>
      </c>
    </row>
    <row r="949">
      <c r="A949" s="21" t="n">
        <v>45216</v>
      </c>
      <c r="B949" t="n">
        <v>1.082502e-05</v>
      </c>
    </row>
    <row r="950">
      <c r="A950" s="21" t="n">
        <v>45217</v>
      </c>
      <c r="B950" t="n">
        <v>1.150781e-05</v>
      </c>
    </row>
    <row r="951">
      <c r="A951" s="21" t="n">
        <v>45218</v>
      </c>
      <c r="B951" t="n">
        <v>1.114179e-05</v>
      </c>
    </row>
    <row r="952">
      <c r="A952" s="21" t="n">
        <v>45219</v>
      </c>
      <c r="B952" t="n">
        <v>1.138756e-05</v>
      </c>
    </row>
    <row r="953">
      <c r="A953" s="21" t="n">
        <v>45222</v>
      </c>
      <c r="B953" t="n">
        <v>1.157976e-05</v>
      </c>
    </row>
    <row r="954">
      <c r="A954" s="21" t="n">
        <v>45223</v>
      </c>
      <c r="B954" t="n">
        <v>1.097875e-05</v>
      </c>
    </row>
    <row r="955">
      <c r="A955" s="21" t="n">
        <v>45224</v>
      </c>
      <c r="B955" t="n">
        <v>1.100617e-05</v>
      </c>
    </row>
    <row r="956">
      <c r="A956" s="21" t="n">
        <v>45225</v>
      </c>
      <c r="B956" t="n">
        <v>1.08985e-05</v>
      </c>
    </row>
    <row r="957">
      <c r="A957" s="21" t="n">
        <v>45226</v>
      </c>
      <c r="B957" t="n">
        <v>1.091858e-05</v>
      </c>
    </row>
    <row r="958">
      <c r="A958" s="21" t="n">
        <v>45229</v>
      </c>
      <c r="B958" t="n">
        <v>1.138035e-05</v>
      </c>
    </row>
    <row r="959">
      <c r="A959" s="21" t="n">
        <v>45230</v>
      </c>
      <c r="B959" t="n">
        <v>1.137697e-05</v>
      </c>
    </row>
    <row r="960">
      <c r="A960" s="21" t="n">
        <v>45231</v>
      </c>
      <c r="B960" t="n">
        <v>1.079462e-05</v>
      </c>
    </row>
    <row r="961">
      <c r="A961" s="21" t="n">
        <v>45232</v>
      </c>
      <c r="B961" t="n">
        <v>1.054986e-05</v>
      </c>
    </row>
    <row r="962">
      <c r="A962" s="21" t="n">
        <v>45233</v>
      </c>
      <c r="B962" t="n">
        <v>1.071139e-05</v>
      </c>
    </row>
    <row r="963">
      <c r="A963" s="21" t="n">
        <v>45236</v>
      </c>
      <c r="B963" t="n">
        <v>1.062878e-05</v>
      </c>
    </row>
    <row r="964">
      <c r="A964" s="21" t="n">
        <v>45237</v>
      </c>
      <c r="B964" t="n">
        <v>1.008685e-05</v>
      </c>
    </row>
    <row r="965">
      <c r="A965" s="21" t="n">
        <v>45238</v>
      </c>
      <c r="B965" t="n">
        <v>1.024451e-05</v>
      </c>
    </row>
    <row r="966">
      <c r="A966" s="21" t="n">
        <v>45239</v>
      </c>
      <c r="B966" t="n">
        <v>9.933139999999999e-06</v>
      </c>
    </row>
    <row r="967">
      <c r="A967" s="21" t="n">
        <v>45240</v>
      </c>
      <c r="B967" t="n">
        <v>1.03272e-05</v>
      </c>
    </row>
    <row r="968">
      <c r="A968" s="21" t="n">
        <v>45243</v>
      </c>
      <c r="B968" t="n">
        <v>1.020272e-05</v>
      </c>
    </row>
    <row r="969">
      <c r="A969" s="21" t="n">
        <v>45244</v>
      </c>
      <c r="B969" t="n">
        <v>9.88298e-06</v>
      </c>
    </row>
    <row r="970">
      <c r="A970" s="21" t="n">
        <v>45245</v>
      </c>
      <c r="B970" t="n">
        <v>9.44241e-06</v>
      </c>
    </row>
    <row r="971">
      <c r="A971" s="21" t="n">
        <v>45246</v>
      </c>
      <c r="B971" t="n">
        <v>9.120099999999999e-06</v>
      </c>
    </row>
    <row r="972">
      <c r="A972" s="21" t="n">
        <v>45247</v>
      </c>
      <c r="B972" t="n">
        <v>9.35803e-06</v>
      </c>
    </row>
    <row r="973">
      <c r="A973" s="21" t="n">
        <v>45250</v>
      </c>
      <c r="B973" t="n">
        <v>9.530879999999999e-06</v>
      </c>
    </row>
    <row r="974">
      <c r="A974" s="21" t="n">
        <v>45251</v>
      </c>
      <c r="B974" t="n">
        <v>9.311549999999999e-06</v>
      </c>
    </row>
    <row r="975">
      <c r="A975" s="21" t="n">
        <v>45252</v>
      </c>
      <c r="B975" t="n">
        <v>9.31604e-06</v>
      </c>
    </row>
    <row r="976">
      <c r="A976" s="21" t="n">
        <v>45254</v>
      </c>
      <c r="B976" t="n">
        <v>8.659070000000001e-06</v>
      </c>
    </row>
    <row r="977">
      <c r="A977" s="21" t="n">
        <v>45257</v>
      </c>
      <c r="B977" t="n">
        <v>8.6722e-06</v>
      </c>
    </row>
    <row r="978">
      <c r="A978" s="21" t="n">
        <v>45258</v>
      </c>
      <c r="B978" t="n">
        <v>8.733440000000001e-06</v>
      </c>
    </row>
    <row r="979">
      <c r="A979" s="21" t="n">
        <v>45259</v>
      </c>
      <c r="B979" t="n">
        <v>9.141870000000001e-06</v>
      </c>
    </row>
    <row r="980">
      <c r="A980" s="21" t="n">
        <v>45260</v>
      </c>
      <c r="B980" t="n">
        <v>8.878220000000001e-06</v>
      </c>
    </row>
    <row r="981">
      <c r="A981" s="21" t="n">
        <v>45261</v>
      </c>
      <c r="B981" t="n">
        <v>7.68543e-06</v>
      </c>
    </row>
    <row r="982">
      <c r="A982" s="21" t="n">
        <v>45264</v>
      </c>
      <c r="B982" t="n">
        <v>8.158469999999999e-06</v>
      </c>
    </row>
    <row r="983">
      <c r="A983" s="21" t="n">
        <v>45265</v>
      </c>
      <c r="B983" t="n">
        <v>8.344279999999999e-06</v>
      </c>
    </row>
    <row r="984">
      <c r="A984" s="21" t="n">
        <v>45266</v>
      </c>
      <c r="B984" t="n">
        <v>8.46498e-06</v>
      </c>
    </row>
    <row r="985">
      <c r="A985" s="21" t="n">
        <v>45267</v>
      </c>
      <c r="B985" t="n">
        <v>8.257340000000001e-06</v>
      </c>
    </row>
    <row r="986">
      <c r="A986" s="21" t="n">
        <v>45268</v>
      </c>
      <c r="B986" t="n">
        <v>8.21408e-06</v>
      </c>
    </row>
    <row r="987">
      <c r="A987" s="21" t="n">
        <v>45271</v>
      </c>
      <c r="B987" t="n">
        <v>8.38507e-06</v>
      </c>
    </row>
    <row r="988">
      <c r="A988" s="21" t="n">
        <v>45272</v>
      </c>
      <c r="B988" t="n">
        <v>8.37803e-06</v>
      </c>
    </row>
    <row r="989">
      <c r="A989" s="21" t="n">
        <v>45273</v>
      </c>
      <c r="B989" t="n">
        <v>8.233289999999999e-06</v>
      </c>
    </row>
    <row r="990">
      <c r="A990" s="21" t="n">
        <v>45274</v>
      </c>
      <c r="B990" t="n">
        <v>7.693460000000001e-06</v>
      </c>
    </row>
    <row r="991">
      <c r="A991" s="21" t="n">
        <v>45275</v>
      </c>
      <c r="B991" t="n">
        <v>6.83254e-06</v>
      </c>
    </row>
    <row r="992">
      <c r="A992" s="21" t="n">
        <v>45278</v>
      </c>
      <c r="B992" t="n">
        <v>7.24704e-06</v>
      </c>
    </row>
    <row r="993">
      <c r="A993" s="21" t="n">
        <v>45279</v>
      </c>
      <c r="B993" t="n">
        <v>7.73082e-06</v>
      </c>
    </row>
    <row r="994">
      <c r="A994" s="21" t="n">
        <v>45280</v>
      </c>
      <c r="B994" t="n">
        <v>7.79143e-06</v>
      </c>
    </row>
    <row r="995">
      <c r="A995" s="21" t="n">
        <v>45281</v>
      </c>
      <c r="B995" t="n">
        <v>7.78402e-06</v>
      </c>
    </row>
    <row r="996">
      <c r="A996" s="21" t="n">
        <v>45282</v>
      </c>
      <c r="B996" t="n">
        <v>7.72258e-06</v>
      </c>
    </row>
    <row r="997">
      <c r="A997" s="21" t="n">
        <v>45286</v>
      </c>
      <c r="B997" t="n">
        <v>7.93937e-06</v>
      </c>
    </row>
    <row r="998">
      <c r="A998" s="21" t="n">
        <v>45287</v>
      </c>
      <c r="B998" t="n">
        <v>8.188690000000001e-06</v>
      </c>
    </row>
    <row r="999">
      <c r="A999" s="21" t="n">
        <v>45288</v>
      </c>
      <c r="B999" t="n">
        <v>8.29573e-06</v>
      </c>
    </row>
    <row r="1000">
      <c r="A1000" s="21" t="n">
        <v>45289</v>
      </c>
      <c r="B1000" t="n">
        <v>1.018483e-05</v>
      </c>
    </row>
    <row r="1001">
      <c r="A1001" s="21" t="n">
        <v>45293</v>
      </c>
      <c r="B1001" t="n">
        <v>7.04864e-06</v>
      </c>
    </row>
    <row r="1002">
      <c r="A1002" s="21" t="n">
        <v>45294</v>
      </c>
      <c r="B1002" t="n">
        <v>7.19897e-06</v>
      </c>
    </row>
    <row r="1003">
      <c r="A1003" s="21" t="n">
        <v>45295</v>
      </c>
      <c r="B1003" t="n">
        <v>6.64899e-06</v>
      </c>
    </row>
    <row r="1004">
      <c r="A1004" s="21" t="n">
        <v>45296</v>
      </c>
      <c r="B1004" t="n">
        <v>6.944779999999999e-06</v>
      </c>
    </row>
    <row r="1005">
      <c r="A1005" s="21" t="n">
        <v>45299</v>
      </c>
      <c r="B1005" t="n">
        <v>6.91485e-06</v>
      </c>
    </row>
    <row r="1006">
      <c r="A1006" s="21" t="n">
        <v>45300</v>
      </c>
      <c r="B1006" t="n">
        <v>6.7605e-06</v>
      </c>
    </row>
    <row r="1007">
      <c r="A1007" s="21" t="n">
        <v>45301</v>
      </c>
      <c r="B1007" t="n">
        <v>6.79961e-06</v>
      </c>
    </row>
    <row r="1008">
      <c r="A1008" s="21" t="n">
        <v>45302</v>
      </c>
      <c r="B1008" t="n">
        <v>6.2637e-06</v>
      </c>
    </row>
    <row r="1009">
      <c r="A1009" s="21" t="n">
        <v>45303</v>
      </c>
      <c r="B1009" t="n">
        <v>6.03116e-06</v>
      </c>
    </row>
    <row r="1010">
      <c r="A1010" s="21" t="n">
        <v>45307</v>
      </c>
      <c r="B1010" t="n">
        <v>5.831029999999999e-06</v>
      </c>
    </row>
    <row r="1011">
      <c r="A1011" s="21" t="n">
        <v>45308</v>
      </c>
      <c r="B1011" t="n">
        <v>5.90191e-06</v>
      </c>
    </row>
    <row r="1012">
      <c r="A1012" s="21" t="n">
        <v>45309</v>
      </c>
      <c r="B1012" t="n">
        <v>6.18234e-06</v>
      </c>
    </row>
    <row r="1013">
      <c r="A1013" s="21" t="n">
        <v>45310</v>
      </c>
      <c r="B1013" t="n">
        <v>6.251820000000001e-06</v>
      </c>
    </row>
    <row r="1014">
      <c r="A1014" s="21" t="n">
        <v>45313</v>
      </c>
      <c r="B1014" t="n">
        <v>6.471029999999999e-06</v>
      </c>
    </row>
    <row r="1015">
      <c r="A1015" s="21" t="n">
        <v>45314</v>
      </c>
      <c r="B1015" t="n">
        <v>6.211950000000001e-06</v>
      </c>
    </row>
    <row r="1016">
      <c r="A1016" s="21" t="n">
        <v>45315</v>
      </c>
      <c r="B1016" t="n">
        <v>6.395599999999999e-06</v>
      </c>
    </row>
    <row r="1017">
      <c r="A1017" s="21" t="n">
        <v>45316</v>
      </c>
      <c r="B1017" t="n">
        <v>5.57687e-06</v>
      </c>
    </row>
    <row r="1018">
      <c r="A1018" s="21" t="n">
        <v>45317</v>
      </c>
      <c r="B1018" t="n">
        <v>5.708279999999999e-06</v>
      </c>
    </row>
    <row r="1019">
      <c r="A1019" s="21" t="n">
        <v>45320</v>
      </c>
      <c r="B1019" t="n">
        <v>5.8141e-06</v>
      </c>
    </row>
    <row r="1020">
      <c r="A1020" s="21" t="n">
        <v>45321</v>
      </c>
      <c r="B1020" t="n">
        <v>5.77755e-06</v>
      </c>
    </row>
    <row r="1021">
      <c r="A1021" s="21" t="n">
        <v>45322</v>
      </c>
      <c r="B1021" t="n">
        <v>6.15379e-06</v>
      </c>
    </row>
    <row r="1022">
      <c r="A1022" s="21" t="n">
        <v>45323</v>
      </c>
      <c r="B1022" t="n">
        <v>5.03548e-06</v>
      </c>
    </row>
    <row r="1023">
      <c r="A1023" s="21" t="n">
        <v>45324</v>
      </c>
      <c r="B1023" t="n">
        <v>5.13422e-06</v>
      </c>
    </row>
    <row r="1024">
      <c r="A1024" s="21" t="n">
        <v>45327</v>
      </c>
      <c r="B1024" t="n">
        <v>5.52289e-06</v>
      </c>
    </row>
    <row r="1025">
      <c r="A1025" s="21" t="n">
        <v>45328</v>
      </c>
      <c r="B1025" t="n">
        <v>5.32439e-06</v>
      </c>
    </row>
    <row r="1026">
      <c r="A1026" s="21" t="n">
        <v>45329</v>
      </c>
      <c r="B1026" t="n">
        <v>5.530549999999999e-06</v>
      </c>
    </row>
    <row r="1027">
      <c r="A1027" s="21" t="n">
        <v>45330</v>
      </c>
      <c r="B1027" t="n">
        <v>5.357050000000001e-06</v>
      </c>
    </row>
    <row r="1028">
      <c r="A1028" s="21" t="n">
        <v>45331</v>
      </c>
      <c r="B1028" t="n">
        <v>5.691749999999999e-06</v>
      </c>
    </row>
    <row r="1029">
      <c r="A1029" s="21" t="n">
        <v>45334</v>
      </c>
      <c r="B1029" t="n">
        <v>5.81568e-06</v>
      </c>
    </row>
    <row r="1030">
      <c r="A1030" s="21" t="n">
        <v>45335</v>
      </c>
      <c r="B1030" t="n">
        <v>5.536839999999999e-06</v>
      </c>
    </row>
    <row r="1031">
      <c r="A1031" s="21" t="n">
        <v>45336</v>
      </c>
      <c r="B1031" t="n">
        <v>5.75332e-06</v>
      </c>
    </row>
    <row r="1032">
      <c r="A1032" s="21" t="n">
        <v>45337</v>
      </c>
      <c r="B1032" t="n">
        <v>4.93065e-06</v>
      </c>
    </row>
    <row r="1033">
      <c r="A1033" s="21" t="n">
        <v>45338</v>
      </c>
      <c r="B1033" t="n">
        <v>5.32125e-06</v>
      </c>
    </row>
    <row r="1034">
      <c r="A1034" s="21" t="n">
        <v>45342</v>
      </c>
      <c r="B1034" t="n">
        <v>5.30879e-06</v>
      </c>
    </row>
    <row r="1035">
      <c r="A1035" s="21" t="n">
        <v>45343</v>
      </c>
      <c r="B1035" t="n">
        <v>5.74882e-06</v>
      </c>
    </row>
    <row r="1036">
      <c r="A1036" s="21" t="n">
        <v>45344</v>
      </c>
      <c r="B1036" t="n">
        <v>5.53245e-06</v>
      </c>
    </row>
    <row r="1037">
      <c r="A1037" s="21" t="n">
        <v>45345</v>
      </c>
      <c r="B1037" t="n">
        <v>5.20107e-06</v>
      </c>
    </row>
    <row r="1038">
      <c r="A1038" s="21" t="n">
        <v>45348</v>
      </c>
      <c r="B1038" t="n">
        <v>5.24959e-06</v>
      </c>
    </row>
    <row r="1039">
      <c r="A1039" s="21" t="n">
        <v>45349</v>
      </c>
      <c r="B1039" t="n">
        <v>5.19725e-06</v>
      </c>
    </row>
    <row r="1040">
      <c r="A1040" s="21" t="n">
        <v>45350</v>
      </c>
      <c r="B1040" t="n">
        <v>5.69855e-06</v>
      </c>
    </row>
    <row r="1041">
      <c r="A1041" s="21" t="n">
        <v>45351</v>
      </c>
      <c r="B1041" t="n">
        <v>5.02074e-06</v>
      </c>
    </row>
    <row r="1042">
      <c r="A1042" s="21" t="n">
        <v>45352</v>
      </c>
      <c r="B1042" t="n">
        <v>4.41265e-06</v>
      </c>
    </row>
    <row r="1043">
      <c r="A1043" s="21" t="n">
        <v>45355</v>
      </c>
      <c r="B1043" t="n">
        <v>4.39793e-06</v>
      </c>
    </row>
    <row r="1044">
      <c r="A1044" s="21" t="n">
        <v>45356</v>
      </c>
      <c r="B1044" t="n">
        <v>4.44474e-06</v>
      </c>
    </row>
    <row r="1045">
      <c r="A1045" s="21" t="n">
        <v>45357</v>
      </c>
      <c r="B1045" t="n">
        <v>4.56847e-06</v>
      </c>
    </row>
    <row r="1046">
      <c r="A1046" s="21" t="n">
        <v>45358</v>
      </c>
      <c r="B1046" t="n">
        <v>4.36754e-06</v>
      </c>
    </row>
    <row r="1047">
      <c r="A1047" s="21" t="n">
        <v>45359</v>
      </c>
      <c r="B1047" t="n">
        <v>4.44803e-06</v>
      </c>
    </row>
    <row r="1048">
      <c r="A1048" s="21" t="n">
        <v>45362</v>
      </c>
      <c r="B1048" t="n">
        <v>4.78728e-06</v>
      </c>
    </row>
    <row r="1049">
      <c r="A1049" s="21" t="n">
        <v>45363</v>
      </c>
      <c r="B1049" t="n">
        <v>4.76862e-06</v>
      </c>
    </row>
    <row r="1050">
      <c r="A1050" s="21" t="n">
        <v>45364</v>
      </c>
      <c r="B1050" t="n">
        <v>5.217380000000001e-06</v>
      </c>
    </row>
    <row r="1051">
      <c r="A1051" s="21" t="n">
        <v>45365</v>
      </c>
      <c r="B1051" t="n">
        <v>4.83573e-06</v>
      </c>
    </row>
    <row r="1052">
      <c r="A1052" s="21" t="n">
        <v>45366</v>
      </c>
      <c r="B1052" t="n">
        <v>4.13877e-06</v>
      </c>
    </row>
    <row r="1053">
      <c r="A1053" s="21" t="n">
        <v>45369</v>
      </c>
      <c r="B1053" t="n">
        <v>4.40596e-06</v>
      </c>
    </row>
    <row r="1054">
      <c r="A1054" s="21" t="n">
        <v>45370</v>
      </c>
      <c r="B1054" t="n">
        <v>4.46978e-06</v>
      </c>
    </row>
    <row r="1055">
      <c r="A1055" s="21" t="n">
        <v>45371</v>
      </c>
      <c r="B1055" t="n">
        <v>4.96245e-06</v>
      </c>
    </row>
    <row r="1056">
      <c r="A1056" s="21" t="n">
        <v>45372</v>
      </c>
      <c r="B1056" t="n">
        <v>4.60631e-06</v>
      </c>
    </row>
    <row r="1057">
      <c r="A1057" s="21" t="n">
        <v>45373</v>
      </c>
      <c r="B1057" t="n">
        <v>4.78531e-06</v>
      </c>
    </row>
    <row r="1058">
      <c r="A1058" s="21" t="n">
        <v>45376</v>
      </c>
      <c r="B1058" t="n">
        <v>4.73787e-06</v>
      </c>
    </row>
    <row r="1059">
      <c r="A1059" s="21" t="n">
        <v>45377</v>
      </c>
      <c r="B1059" t="n">
        <v>4.96062e-06</v>
      </c>
    </row>
    <row r="1060">
      <c r="A1060" s="21" t="n">
        <v>45378</v>
      </c>
      <c r="B1060" t="n">
        <v>5.183569999999999e-06</v>
      </c>
    </row>
    <row r="1061">
      <c r="A1061" s="21" t="n">
        <v>45379</v>
      </c>
      <c r="B1061" t="n">
        <v>5.94428e-06</v>
      </c>
    </row>
    <row r="1062">
      <c r="A1062" s="21" t="n">
        <v>45383</v>
      </c>
      <c r="B1062" t="n">
        <v>4.41903e-06</v>
      </c>
    </row>
    <row r="1063">
      <c r="A1063" s="21" t="n">
        <v>45384</v>
      </c>
      <c r="B1063" t="n">
        <v>4.48424e-06</v>
      </c>
    </row>
    <row r="1064">
      <c r="A1064" s="21" t="n">
        <v>45385</v>
      </c>
      <c r="B1064" t="n">
        <v>4.36631e-06</v>
      </c>
    </row>
    <row r="1065">
      <c r="A1065" s="21" t="n">
        <v>45386</v>
      </c>
      <c r="B1065" t="n">
        <v>4.38764e-06</v>
      </c>
    </row>
    <row r="1066">
      <c r="A1066" s="21" t="n">
        <v>45387</v>
      </c>
      <c r="B1066" t="n">
        <v>4.38319e-06</v>
      </c>
    </row>
    <row r="1067">
      <c r="A1067" s="21" t="n">
        <v>45390</v>
      </c>
      <c r="B1067" t="n">
        <v>4.48597e-06</v>
      </c>
    </row>
    <row r="1068">
      <c r="A1068" s="21" t="n">
        <v>45391</v>
      </c>
      <c r="B1068" t="n">
        <v>4.417919999999999e-06</v>
      </c>
    </row>
    <row r="1069">
      <c r="A1069" s="21" t="n">
        <v>45392</v>
      </c>
      <c r="B1069" t="n">
        <v>4.45816e-06</v>
      </c>
    </row>
    <row r="1070">
      <c r="A1070" s="21" t="n">
        <v>45393</v>
      </c>
      <c r="B1070" t="n">
        <v>4.55361e-06</v>
      </c>
    </row>
    <row r="1071">
      <c r="A1071" s="21" t="n">
        <v>45394</v>
      </c>
      <c r="B1071" t="n">
        <v>4.07322e-06</v>
      </c>
    </row>
    <row r="1072">
      <c r="A1072" s="21" t="n">
        <v>45397</v>
      </c>
      <c r="B1072" t="n">
        <v>3.27066e-06</v>
      </c>
    </row>
    <row r="1073">
      <c r="A1073" s="21" t="n">
        <v>45398</v>
      </c>
      <c r="B1073" t="n">
        <v>3.71554e-06</v>
      </c>
    </row>
    <row r="1074">
      <c r="A1074" s="21" t="n">
        <v>45399</v>
      </c>
      <c r="B1074" t="n">
        <v>4.40508e-06</v>
      </c>
    </row>
    <row r="1075">
      <c r="A1075" s="21" t="n">
        <v>45400</v>
      </c>
      <c r="B1075" t="n">
        <v>4.33006e-06</v>
      </c>
    </row>
    <row r="1076">
      <c r="A1076" s="21" t="n">
        <v>45401</v>
      </c>
      <c r="B1076" t="n">
        <v>3.972339999999999e-06</v>
      </c>
    </row>
    <row r="1077">
      <c r="A1077" s="21" t="n">
        <v>45404</v>
      </c>
      <c r="B1077" t="n">
        <v>4.09816e-06</v>
      </c>
    </row>
    <row r="1078">
      <c r="A1078" s="21" t="n">
        <v>45405</v>
      </c>
      <c r="B1078" t="n">
        <v>4.3588e-06</v>
      </c>
    </row>
    <row r="1079">
      <c r="A1079" s="21" t="n">
        <v>45406</v>
      </c>
      <c r="B1079" t="n">
        <v>4.41215e-06</v>
      </c>
    </row>
    <row r="1080">
      <c r="A1080" s="21" t="n">
        <v>45407</v>
      </c>
      <c r="B1080" t="n">
        <v>4.43928e-06</v>
      </c>
    </row>
    <row r="1081">
      <c r="A1081" s="21" t="n">
        <v>45408</v>
      </c>
      <c r="B1081" t="n">
        <v>4.64912e-06</v>
      </c>
    </row>
    <row r="1082">
      <c r="A1082" s="21" t="n">
        <v>45411</v>
      </c>
      <c r="B1082" t="n">
        <v>5.0553e-06</v>
      </c>
    </row>
    <row r="1083">
      <c r="A1083" s="21" t="n">
        <v>45412</v>
      </c>
      <c r="B1083" t="n">
        <v>5.342340000000001e-06</v>
      </c>
    </row>
    <row r="1084">
      <c r="A1084" s="21" t="n">
        <v>45413</v>
      </c>
      <c r="B1084" t="n">
        <v>4.381480000000001e-06</v>
      </c>
    </row>
    <row r="1085">
      <c r="A1085" s="21" t="n">
        <v>45414</v>
      </c>
      <c r="B1085" t="n">
        <v>4.2868e-06</v>
      </c>
    </row>
    <row r="1086">
      <c r="A1086" s="21" t="n">
        <v>45415</v>
      </c>
      <c r="B1086" t="n">
        <v>4.50165e-06</v>
      </c>
    </row>
    <row r="1087">
      <c r="A1087" s="21" t="n">
        <v>45418</v>
      </c>
      <c r="B1087" t="n">
        <v>4.6897e-06</v>
      </c>
    </row>
    <row r="1088">
      <c r="A1088" s="21" t="n">
        <v>45419</v>
      </c>
      <c r="B1088" t="n">
        <v>4.75325e-06</v>
      </c>
    </row>
    <row r="1089">
      <c r="A1089" s="21" t="n">
        <v>45420</v>
      </c>
      <c r="B1089" t="n">
        <v>4.93427e-06</v>
      </c>
    </row>
    <row r="1090">
      <c r="A1090" s="21" t="n">
        <v>45421</v>
      </c>
      <c r="B1090" t="n">
        <v>4.5855e-06</v>
      </c>
    </row>
    <row r="1091">
      <c r="A1091" s="21" t="n">
        <v>45422</v>
      </c>
      <c r="B1091" t="n">
        <v>4.86434e-06</v>
      </c>
    </row>
    <row r="1092">
      <c r="A1092" s="21" t="n">
        <v>45425</v>
      </c>
      <c r="B1092" t="n">
        <v>4.92068e-06</v>
      </c>
    </row>
    <row r="1093">
      <c r="A1093" s="21" t="n">
        <v>45426</v>
      </c>
      <c r="B1093" t="n">
        <v>4.68344e-06</v>
      </c>
    </row>
    <row r="1094">
      <c r="A1094" s="21" t="n">
        <v>45427</v>
      </c>
      <c r="B1094" t="n">
        <v>4.43779e-06</v>
      </c>
    </row>
    <row r="1095">
      <c r="A1095" s="21" t="n">
        <v>45428</v>
      </c>
      <c r="B1095" t="n">
        <v>4.10121e-06</v>
      </c>
    </row>
    <row r="1096">
      <c r="A1096" s="21" t="n">
        <v>45429</v>
      </c>
      <c r="B1096" t="n">
        <v>4.49373e-06</v>
      </c>
    </row>
    <row r="1097">
      <c r="A1097" s="21" t="n">
        <v>45432</v>
      </c>
      <c r="B1097" t="n">
        <v>4.89728e-06</v>
      </c>
    </row>
    <row r="1098">
      <c r="A1098" s="21" t="n">
        <v>45433</v>
      </c>
      <c r="B1098" t="n">
        <v>4.9172e-06</v>
      </c>
    </row>
    <row r="1099">
      <c r="A1099" s="21" t="n">
        <v>45434</v>
      </c>
      <c r="B1099" t="n">
        <v>4.96382e-06</v>
      </c>
    </row>
    <row r="1100">
      <c r="A1100" s="21" t="n">
        <v>45435</v>
      </c>
      <c r="B1100" t="n">
        <v>4.67398e-06</v>
      </c>
    </row>
    <row r="1101">
      <c r="A1101" s="21" t="n">
        <v>45436</v>
      </c>
      <c r="B1101" t="n">
        <v>4.31239e-06</v>
      </c>
    </row>
    <row r="1102">
      <c r="A1102" s="21" t="n">
        <v>45440</v>
      </c>
      <c r="B1102" t="n">
        <v>4.17836e-06</v>
      </c>
    </row>
    <row r="1103">
      <c r="A1103" s="21" t="n">
        <v>45441</v>
      </c>
      <c r="B1103" t="n">
        <v>4.59314e-06</v>
      </c>
    </row>
    <row r="1104">
      <c r="A1104" s="21" t="n">
        <v>45442</v>
      </c>
      <c r="B1104" t="n">
        <v>4.52034e-06</v>
      </c>
    </row>
    <row r="1105">
      <c r="A1105" s="21" t="n">
        <v>45443</v>
      </c>
      <c r="B1105" t="n">
        <v>4.39806e-06</v>
      </c>
    </row>
    <row r="1106">
      <c r="A1106" s="21" t="n">
        <v>45446</v>
      </c>
      <c r="B1106" t="n">
        <v>3.87069e-06</v>
      </c>
    </row>
    <row r="1107">
      <c r="A1107" s="21" t="n">
        <v>45447</v>
      </c>
      <c r="B1107" t="n">
        <v>3.77825e-06</v>
      </c>
    </row>
    <row r="1108">
      <c r="A1108" s="21" t="n">
        <v>45448</v>
      </c>
      <c r="B1108" t="n">
        <v>3.71841e-06</v>
      </c>
    </row>
    <row r="1109">
      <c r="A1109" s="21" t="n">
        <v>45449</v>
      </c>
      <c r="B1109" t="n">
        <v>3.78125e-06</v>
      </c>
    </row>
    <row r="1110">
      <c r="A1110" s="21" t="n">
        <v>45450</v>
      </c>
      <c r="B1110" t="n">
        <v>3.95462e-06</v>
      </c>
    </row>
    <row r="1111">
      <c r="A1111" s="21" t="n">
        <v>45453</v>
      </c>
      <c r="B1111" t="n">
        <v>4.16481e-06</v>
      </c>
    </row>
    <row r="1112">
      <c r="A1112" s="21" t="n">
        <v>45454</v>
      </c>
      <c r="B1112" t="n">
        <v>4.10449e-06</v>
      </c>
    </row>
    <row r="1113">
      <c r="A1113" s="21" t="n">
        <v>45455</v>
      </c>
      <c r="B1113" t="n">
        <v>4.47574e-06</v>
      </c>
    </row>
    <row r="1114">
      <c r="A1114" s="21" t="n">
        <v>45456</v>
      </c>
      <c r="B1114" t="n">
        <v>4.29864e-06</v>
      </c>
    </row>
    <row r="1115">
      <c r="A1115" s="21" t="n">
        <v>45457</v>
      </c>
      <c r="B1115" t="n">
        <v>3.86885e-06</v>
      </c>
    </row>
    <row r="1116">
      <c r="A1116" s="21" t="n">
        <v>45460</v>
      </c>
      <c r="B1116" t="n">
        <v>3.33429e-06</v>
      </c>
    </row>
    <row r="1117">
      <c r="A1117" s="21" t="n">
        <v>45461</v>
      </c>
      <c r="B1117" t="n">
        <v>3.75542e-06</v>
      </c>
    </row>
    <row r="1118">
      <c r="A1118" s="21" t="n">
        <v>45463</v>
      </c>
      <c r="B1118" t="n">
        <v>3.88841e-06</v>
      </c>
    </row>
    <row r="1119">
      <c r="A1119" s="21" t="n">
        <v>45464</v>
      </c>
      <c r="B1119" t="n">
        <v>4.2104e-06</v>
      </c>
    </row>
    <row r="1120">
      <c r="A1120" s="21" t="n">
        <v>45467</v>
      </c>
      <c r="B1120" t="n">
        <v>4.35916e-06</v>
      </c>
    </row>
    <row r="1121">
      <c r="A1121" s="21" t="n">
        <v>45468</v>
      </c>
      <c r="B1121" t="n">
        <v>4.6631e-06</v>
      </c>
    </row>
    <row r="1122">
      <c r="A1122" s="21" t="n">
        <v>45469</v>
      </c>
      <c r="B1122" t="n">
        <v>4.90156e-06</v>
      </c>
    </row>
    <row r="1123">
      <c r="A1123" s="21" t="n">
        <v>45470</v>
      </c>
      <c r="B1123" t="n">
        <v>5.31692e-06</v>
      </c>
    </row>
    <row r="1124">
      <c r="A1124" s="21" t="n">
        <v>45471</v>
      </c>
      <c r="B1124" t="n">
        <v>6.645700000000001e-06</v>
      </c>
    </row>
    <row r="1125">
      <c r="A1125" s="21" t="n">
        <v>45474</v>
      </c>
      <c r="B1125" t="n">
        <v>4.51783e-06</v>
      </c>
    </row>
    <row r="1126">
      <c r="A1126" s="21" t="n">
        <v>45475</v>
      </c>
      <c r="B1126" t="n">
        <v>4.433690000000001e-06</v>
      </c>
    </row>
    <row r="1127">
      <c r="A1127" s="21" t="n">
        <v>45476</v>
      </c>
      <c r="B1127" t="n">
        <v>4.258980000000001e-06</v>
      </c>
    </row>
    <row r="1128">
      <c r="A1128" s="21" t="n">
        <v>45478</v>
      </c>
      <c r="B1128" t="n">
        <v>3.90632e-06</v>
      </c>
    </row>
    <row r="1129">
      <c r="A1129" s="21" t="n">
        <v>45481</v>
      </c>
      <c r="B1129" t="n">
        <v>4.15257e-06</v>
      </c>
    </row>
    <row r="1130">
      <c r="A1130" s="21" t="n">
        <v>45482</v>
      </c>
      <c r="B1130" t="n">
        <v>4.23152e-06</v>
      </c>
    </row>
    <row r="1131">
      <c r="A1131" s="21" t="n">
        <v>45483</v>
      </c>
      <c r="B1131" t="n">
        <v>4.22147e-06</v>
      </c>
    </row>
    <row r="1132">
      <c r="A1132" s="21" t="n">
        <v>45484</v>
      </c>
      <c r="B1132" t="n">
        <v>4.03708e-06</v>
      </c>
    </row>
    <row r="1133">
      <c r="A1133" s="21" t="n">
        <v>45485</v>
      </c>
      <c r="B1133" t="n">
        <v>4.065899999999999e-06</v>
      </c>
    </row>
    <row r="1134">
      <c r="A1134" s="21" t="n">
        <v>45488</v>
      </c>
      <c r="B1134" t="n">
        <v>4.1328e-06</v>
      </c>
    </row>
    <row r="1135">
      <c r="A1135" s="21" t="n">
        <v>45489</v>
      </c>
      <c r="B1135" t="n">
        <v>4.09594e-06</v>
      </c>
    </row>
    <row r="1136">
      <c r="A1136" s="21" t="n">
        <v>45490</v>
      </c>
      <c r="B1136" t="n">
        <v>3.99401e-06</v>
      </c>
    </row>
    <row r="1137">
      <c r="A1137" s="21" t="n">
        <v>45491</v>
      </c>
      <c r="B1137" t="n">
        <v>3.91652e-06</v>
      </c>
    </row>
    <row r="1138">
      <c r="A1138" s="21" t="n">
        <v>45492</v>
      </c>
      <c r="B1138" t="n">
        <v>3.79801e-06</v>
      </c>
    </row>
    <row r="1139">
      <c r="A1139" s="21" t="n">
        <v>45495</v>
      </c>
      <c r="B1139" t="n">
        <v>3.95901e-06</v>
      </c>
    </row>
    <row r="1140">
      <c r="A1140" s="21" t="n">
        <v>45496</v>
      </c>
      <c r="B1140" t="n">
        <v>3.89837e-06</v>
      </c>
    </row>
    <row r="1141">
      <c r="A1141" s="21" t="n">
        <v>45497</v>
      </c>
      <c r="B1141" t="n">
        <v>3.99121e-06</v>
      </c>
    </row>
    <row r="1142">
      <c r="A1142" s="21" t="n">
        <v>45498</v>
      </c>
      <c r="B1142" t="n">
        <v>3.77433e-06</v>
      </c>
    </row>
    <row r="1143">
      <c r="A1143" s="21" t="n">
        <v>45499</v>
      </c>
      <c r="B1143" t="n">
        <v>3.81257e-06</v>
      </c>
    </row>
    <row r="1144">
      <c r="A1144" s="21" t="n">
        <v>45502</v>
      </c>
      <c r="B1144" t="n">
        <v>3.85281e-06</v>
      </c>
    </row>
    <row r="1145">
      <c r="A1145" s="21" t="n">
        <v>45503</v>
      </c>
      <c r="B1145" t="n">
        <v>3.67054e-06</v>
      </c>
    </row>
    <row r="1146">
      <c r="A1146" s="21" t="n">
        <v>45504</v>
      </c>
      <c r="B1146" t="n">
        <v>4.132e-06</v>
      </c>
    </row>
    <row r="1147">
      <c r="A1147" s="21" t="n">
        <v>45505</v>
      </c>
      <c r="B1147" t="n">
        <v>3.48885e-06</v>
      </c>
    </row>
    <row r="1148">
      <c r="A1148" s="21" t="n">
        <v>45506</v>
      </c>
      <c r="B1148" t="n">
        <v>3.38473e-06</v>
      </c>
    </row>
    <row r="1149">
      <c r="A1149" s="21" t="n">
        <v>45509</v>
      </c>
      <c r="B1149" t="n">
        <v>3.16246e-06</v>
      </c>
    </row>
    <row r="1150">
      <c r="A1150" s="21" t="n">
        <v>45510</v>
      </c>
      <c r="B1150" t="n">
        <v>2.91958e-06</v>
      </c>
    </row>
    <row r="1151">
      <c r="A1151" s="21" t="n">
        <v>45511</v>
      </c>
      <c r="B1151" t="n">
        <v>2.8666e-06</v>
      </c>
    </row>
    <row r="1152">
      <c r="A1152" s="21" t="n">
        <v>45512</v>
      </c>
      <c r="B1152" t="n">
        <v>3.03159e-06</v>
      </c>
    </row>
    <row r="1153">
      <c r="A1153" s="21" t="n">
        <v>45513</v>
      </c>
      <c r="B1153" t="n">
        <v>3.12198e-06</v>
      </c>
    </row>
    <row r="1154">
      <c r="A1154" s="21" t="n">
        <v>45516</v>
      </c>
      <c r="B1154" t="n">
        <v>3.28641e-06</v>
      </c>
    </row>
    <row r="1155">
      <c r="A1155" s="21" t="n">
        <v>45517</v>
      </c>
      <c r="B1155" t="n">
        <v>3.24494e-06</v>
      </c>
    </row>
    <row r="1156">
      <c r="A1156" s="21" t="n">
        <v>45518</v>
      </c>
      <c r="B1156" t="n">
        <v>3.28472e-06</v>
      </c>
    </row>
    <row r="1157">
      <c r="A1157" s="21" t="n">
        <v>45519</v>
      </c>
      <c r="B1157" t="n">
        <v>3.07141e-06</v>
      </c>
    </row>
    <row r="1158">
      <c r="A1158" s="21" t="n">
        <v>45520</v>
      </c>
      <c r="B1158" t="n">
        <v>3.30317e-06</v>
      </c>
    </row>
    <row r="1159">
      <c r="A1159" s="21" t="n">
        <v>45523</v>
      </c>
      <c r="B1159" t="n">
        <v>3.33583e-06</v>
      </c>
    </row>
    <row r="1160">
      <c r="A1160" s="21" t="n">
        <v>45524</v>
      </c>
      <c r="B1160" t="n">
        <v>3.10819e-06</v>
      </c>
    </row>
    <row r="1161">
      <c r="A1161" s="21" t="n">
        <v>45525</v>
      </c>
      <c r="B1161" t="n">
        <v>3.21329e-06</v>
      </c>
    </row>
    <row r="1162">
      <c r="A1162" s="21" t="n">
        <v>45526</v>
      </c>
      <c r="B1162" t="n">
        <v>3.16777e-06</v>
      </c>
    </row>
    <row r="1163">
      <c r="A1163" s="21" t="n">
        <v>45527</v>
      </c>
      <c r="B1163" t="n">
        <v>3.12896e-06</v>
      </c>
    </row>
    <row r="1164">
      <c r="A1164" s="21" t="n">
        <v>45530</v>
      </c>
      <c r="B1164" t="n">
        <v>3.53557e-06</v>
      </c>
    </row>
    <row r="1165">
      <c r="A1165" s="21" t="n">
        <v>45531</v>
      </c>
      <c r="B1165" t="n">
        <v>3.44045e-06</v>
      </c>
    </row>
    <row r="1166">
      <c r="A1166" s="21" t="n">
        <v>45532</v>
      </c>
      <c r="B1166" t="n">
        <v>3.8889e-06</v>
      </c>
    </row>
    <row r="1167">
      <c r="A1167" s="21" t="n">
        <v>45533</v>
      </c>
      <c r="B1167" t="n">
        <v>3.83434e-06</v>
      </c>
    </row>
    <row r="1168">
      <c r="A1168" s="21" t="n">
        <v>45534</v>
      </c>
      <c r="B1168" t="n">
        <v>4.3313e-06</v>
      </c>
    </row>
    <row r="1169">
      <c r="A1169" s="21" t="n">
        <v>45538</v>
      </c>
      <c r="B1169" t="n">
        <v>3.49808e-06</v>
      </c>
    </row>
    <row r="1170">
      <c r="A1170" s="21" t="n">
        <v>45539</v>
      </c>
      <c r="B1170" t="n">
        <v>3.37312e-06</v>
      </c>
    </row>
    <row r="1171">
      <c r="A1171" s="21" t="n">
        <v>45540</v>
      </c>
      <c r="B1171" t="n">
        <v>2.91091e-06</v>
      </c>
    </row>
    <row r="1172">
      <c r="A1172" s="21" t="n">
        <v>45541</v>
      </c>
      <c r="B1172" t="n">
        <v>2.99271e-06</v>
      </c>
    </row>
    <row r="1173">
      <c r="A1173" s="21" t="n">
        <v>45544</v>
      </c>
      <c r="B1173" t="n">
        <v>2.92158e-06</v>
      </c>
    </row>
    <row r="1174">
      <c r="A1174" s="21" t="n">
        <v>45545</v>
      </c>
      <c r="B1174" t="n">
        <v>2.81392e-06</v>
      </c>
    </row>
    <row r="1175">
      <c r="A1175" s="21" t="n">
        <v>45546</v>
      </c>
      <c r="B1175" t="n">
        <v>2.79215e-06</v>
      </c>
    </row>
    <row r="1176">
      <c r="A1176" s="21" t="n">
        <v>45547</v>
      </c>
      <c r="B1176" t="n">
        <v>2.94464e-06</v>
      </c>
    </row>
    <row r="1177">
      <c r="A1177" s="21" t="n">
        <v>45548</v>
      </c>
      <c r="B1177" t="n">
        <v>2.84951e-06</v>
      </c>
    </row>
    <row r="1178">
      <c r="A1178" s="21" t="n">
        <v>45551</v>
      </c>
      <c r="B1178" t="n">
        <v>2.39386e-06</v>
      </c>
    </row>
    <row r="1179">
      <c r="A1179" s="21" t="n">
        <v>45552</v>
      </c>
      <c r="B1179" t="n">
        <v>2.56337e-06</v>
      </c>
    </row>
    <row r="1180">
      <c r="A1180" s="21" t="n">
        <v>45553</v>
      </c>
      <c r="B1180" t="n">
        <v>3.05831e-06</v>
      </c>
    </row>
    <row r="1181">
      <c r="A1181" s="21" t="n">
        <v>45554</v>
      </c>
      <c r="B1181" t="n">
        <v>3.11777e-06</v>
      </c>
    </row>
    <row r="1182">
      <c r="A1182" s="21" t="n">
        <v>45555</v>
      </c>
      <c r="B1182" t="n">
        <v>3.39316e-06</v>
      </c>
    </row>
    <row r="1183">
      <c r="A1183" s="21" t="n">
        <v>45558</v>
      </c>
      <c r="B1183" t="n">
        <v>3.80372e-06</v>
      </c>
    </row>
    <row r="1184">
      <c r="A1184" s="21" t="n">
        <v>45559</v>
      </c>
      <c r="B1184" t="n">
        <v>3.88977e-06</v>
      </c>
    </row>
    <row r="1185">
      <c r="A1185" s="21" t="n">
        <v>45560</v>
      </c>
      <c r="B1185" t="n">
        <v>4.161929999999999e-06</v>
      </c>
    </row>
    <row r="1186">
      <c r="A1186" s="21" t="n">
        <v>45561</v>
      </c>
      <c r="B1186" t="n">
        <v>4.24916e-06</v>
      </c>
    </row>
    <row r="1187">
      <c r="A1187" s="21" t="n">
        <v>45562</v>
      </c>
      <c r="B1187" t="n">
        <v>4.36518e-06</v>
      </c>
    </row>
    <row r="1188">
      <c r="A1188" s="21" t="n">
        <v>45565</v>
      </c>
      <c r="B1188" t="n">
        <v>4.656379999999999e-06</v>
      </c>
    </row>
    <row r="1189">
      <c r="A1189" s="21" t="n">
        <v>45566</v>
      </c>
      <c r="B1189" t="n">
        <v>3.75221e-06</v>
      </c>
    </row>
    <row r="1190">
      <c r="A1190" s="21" t="n">
        <v>45567</v>
      </c>
      <c r="B1190" t="n">
        <v>3.83398e-06</v>
      </c>
    </row>
    <row r="1191">
      <c r="A1191" s="21" t="n">
        <v>45568</v>
      </c>
      <c r="B1191" t="n">
        <v>3.41248e-06</v>
      </c>
    </row>
    <row r="1192">
      <c r="A1192" s="21" t="n">
        <v>45569</v>
      </c>
      <c r="B1192" t="n">
        <v>3.30012e-06</v>
      </c>
    </row>
    <row r="1193">
      <c r="A1193" s="21" t="n">
        <v>45572</v>
      </c>
      <c r="B1193" t="n">
        <v>3.22948e-06</v>
      </c>
    </row>
    <row r="1194">
      <c r="A1194" s="21" t="n">
        <v>45573</v>
      </c>
      <c r="B1194" t="n">
        <v>3.25355e-06</v>
      </c>
    </row>
    <row r="1195">
      <c r="A1195" s="21" t="n">
        <v>45574</v>
      </c>
      <c r="B1195" t="n">
        <v>3.43448e-06</v>
      </c>
    </row>
    <row r="1196">
      <c r="A1196" s="21" t="n">
        <v>45575</v>
      </c>
      <c r="B1196" t="n">
        <v>3.22587e-06</v>
      </c>
    </row>
    <row r="1197">
      <c r="A1197" s="21" t="n">
        <v>45576</v>
      </c>
      <c r="B1197" t="n">
        <v>3.31735e-06</v>
      </c>
    </row>
    <row r="1198">
      <c r="A1198" s="21" t="n">
        <v>45580</v>
      </c>
      <c r="B1198" t="n">
        <v>2.86398e-06</v>
      </c>
    </row>
    <row r="1199">
      <c r="A1199" s="21" t="n">
        <v>45581</v>
      </c>
      <c r="B1199" t="n">
        <v>2.72028e-06</v>
      </c>
    </row>
    <row r="1200">
      <c r="A1200" s="21" t="n">
        <v>45582</v>
      </c>
      <c r="B1200" t="n">
        <v>2.6221e-06</v>
      </c>
    </row>
    <row r="1201">
      <c r="A1201" s="21" t="n">
        <v>45583</v>
      </c>
      <c r="B1201" t="n">
        <v>2.59892e-06</v>
      </c>
    </row>
    <row r="1202">
      <c r="A1202" s="21" t="n">
        <v>45586</v>
      </c>
      <c r="B1202" t="n">
        <v>2.61044e-06</v>
      </c>
    </row>
    <row r="1203">
      <c r="A1203" s="21" t="n">
        <v>45587</v>
      </c>
      <c r="B1203" t="n">
        <v>2.3776e-06</v>
      </c>
    </row>
    <row r="1204">
      <c r="A1204" s="21" t="n">
        <v>45588</v>
      </c>
      <c r="B1204" t="n">
        <v>2.70839e-06</v>
      </c>
    </row>
    <row r="1205">
      <c r="A1205" s="21" t="n">
        <v>45589</v>
      </c>
      <c r="B1205" t="n">
        <v>2.02798e-06</v>
      </c>
    </row>
    <row r="1206">
      <c r="A1206" s="21" t="n">
        <v>45590</v>
      </c>
      <c r="B1206" t="n">
        <v>2.27e-06</v>
      </c>
    </row>
    <row r="1207">
      <c r="A1207" s="21" t="n">
        <v>45593</v>
      </c>
      <c r="B1207" t="n">
        <v>2.51032e-06</v>
      </c>
    </row>
    <row r="1208">
      <c r="A1208" s="21" t="n">
        <v>45594</v>
      </c>
      <c r="B1208" t="n">
        <v>2.44841e-06</v>
      </c>
    </row>
    <row r="1209">
      <c r="A1209" s="21" t="n">
        <v>45595</v>
      </c>
      <c r="B1209" t="n">
        <v>2.28946e-06</v>
      </c>
    </row>
    <row r="1210">
      <c r="A1210" s="21" t="n">
        <v>45596</v>
      </c>
      <c r="B1210" t="n">
        <v>2.01278e-06</v>
      </c>
    </row>
    <row r="1211">
      <c r="A1211" s="21" t="n">
        <v>45597</v>
      </c>
      <c r="B1211" t="n">
        <v>1.55476e-06</v>
      </c>
    </row>
    <row r="1212">
      <c r="A1212" s="21" t="n">
        <v>45600</v>
      </c>
      <c r="B1212" t="n">
        <v>1.71885e-06</v>
      </c>
    </row>
    <row r="1213">
      <c r="A1213" s="21" t="n">
        <v>45601</v>
      </c>
      <c r="B1213" t="n">
        <v>1.44243e-06</v>
      </c>
    </row>
    <row r="1214">
      <c r="A1214" s="21" t="n">
        <v>45602</v>
      </c>
      <c r="B1214" t="n">
        <v>1.77871e-06</v>
      </c>
    </row>
    <row r="1215">
      <c r="A1215" s="21" t="n">
        <v>45603</v>
      </c>
      <c r="B1215" t="n">
        <v>1.59002e-06</v>
      </c>
    </row>
    <row r="1216">
      <c r="A1216" s="21" t="n">
        <v>45604</v>
      </c>
      <c r="B1216" t="n">
        <v>1.63621e-06</v>
      </c>
    </row>
    <row r="1217">
      <c r="A1217" s="21" t="n">
        <v>45608</v>
      </c>
      <c r="B1217" t="n">
        <v>1.78814e-06</v>
      </c>
    </row>
    <row r="1218">
      <c r="A1218" s="21" t="n">
        <v>45609</v>
      </c>
      <c r="B1218" t="n">
        <v>2.38106e-06</v>
      </c>
    </row>
    <row r="1219">
      <c r="A1219" s="21" t="n">
        <v>45610</v>
      </c>
      <c r="B1219" t="n">
        <v>2.14509e-06</v>
      </c>
    </row>
    <row r="1220">
      <c r="A1220" s="21" t="n">
        <v>45611</v>
      </c>
      <c r="B1220" t="n">
        <v>1.724e-06</v>
      </c>
    </row>
    <row r="1221">
      <c r="A1221" s="21" t="n">
        <v>45614</v>
      </c>
      <c r="B1221" t="n">
        <v>2.0003e-06</v>
      </c>
    </row>
    <row r="1222">
      <c r="A1222" s="21" t="n">
        <v>45615</v>
      </c>
      <c r="B1222" t="n">
        <v>2.00664e-06</v>
      </c>
    </row>
    <row r="1223">
      <c r="A1223" s="21" t="n">
        <v>45616</v>
      </c>
      <c r="B1223" t="n">
        <v>2.17793e-06</v>
      </c>
    </row>
    <row r="1224">
      <c r="A1224" s="21" t="n">
        <v>45617</v>
      </c>
      <c r="B1224" t="n">
        <v>1.88567e-06</v>
      </c>
    </row>
    <row r="1225">
      <c r="A1225" s="21" t="n">
        <v>45618</v>
      </c>
      <c r="B1225" t="n">
        <v>2.04254e-06</v>
      </c>
    </row>
    <row r="1226">
      <c r="A1226" s="21" t="n">
        <v>45621</v>
      </c>
      <c r="B1226" t="n">
        <v>1.86749e-06</v>
      </c>
    </row>
    <row r="1227">
      <c r="A1227" s="21" t="n">
        <v>45622</v>
      </c>
      <c r="B1227" t="n">
        <v>1.48823e-06</v>
      </c>
    </row>
    <row r="1228">
      <c r="A1228" s="21" t="n">
        <v>45623</v>
      </c>
      <c r="B1228" t="n">
        <v>1.69815e-06</v>
      </c>
    </row>
    <row r="1229">
      <c r="A1229" s="21" t="n">
        <v>45625</v>
      </c>
      <c r="B1229" t="n">
        <v>1.97627e-06</v>
      </c>
    </row>
    <row r="1230">
      <c r="A1230" s="21" t="n">
        <v>45628</v>
      </c>
      <c r="B1230" t="n">
        <v>1.35858e-06</v>
      </c>
    </row>
    <row r="1231">
      <c r="A1231" s="21" t="n">
        <v>45629</v>
      </c>
      <c r="B1231" t="n">
        <v>1.61572e-06</v>
      </c>
    </row>
    <row r="1232">
      <c r="A1232" s="21" t="n">
        <v>45630</v>
      </c>
      <c r="B1232" t="n">
        <v>1.62866e-06</v>
      </c>
    </row>
    <row r="1233">
      <c r="A1233" s="21" t="n">
        <v>45631</v>
      </c>
      <c r="B1233" t="n">
        <v>1.31964e-06</v>
      </c>
    </row>
    <row r="1234">
      <c r="A1234" s="21" t="n">
        <v>45632</v>
      </c>
      <c r="B1234" t="n">
        <v>1.30014e-06</v>
      </c>
    </row>
    <row r="1235">
      <c r="A1235" s="21" t="n">
        <v>45635</v>
      </c>
      <c r="B1235" t="n">
        <v>1.53029e-06</v>
      </c>
    </row>
    <row r="1236">
      <c r="A1236" s="21" t="n">
        <v>45636</v>
      </c>
      <c r="B1236" t="n">
        <v>1.74842e-06</v>
      </c>
    </row>
    <row r="1237">
      <c r="A1237" s="21" t="n">
        <v>45637</v>
      </c>
      <c r="B1237" t="n">
        <v>1.8012e-06</v>
      </c>
    </row>
    <row r="1238">
      <c r="A1238" s="21" t="n">
        <v>45638</v>
      </c>
      <c r="B1238" t="n">
        <v>1.65025e-06</v>
      </c>
    </row>
    <row r="1239">
      <c r="A1239" s="21" t="n">
        <v>45639</v>
      </c>
      <c r="B1239" t="n">
        <v>1.35777e-06</v>
      </c>
    </row>
    <row r="1240">
      <c r="A1240" s="21" t="n">
        <v>45642</v>
      </c>
      <c r="B1240" t="n">
        <v>1.10753e-06</v>
      </c>
    </row>
    <row r="1241">
      <c r="A1241" s="21" t="n">
        <v>45643</v>
      </c>
      <c r="B1241" t="n">
        <v>1.18093e-06</v>
      </c>
    </row>
    <row r="1242">
      <c r="A1242" s="21" t="n">
        <v>45644</v>
      </c>
      <c r="B1242" t="n">
        <v>1.31651e-06</v>
      </c>
    </row>
    <row r="1243">
      <c r="A1243" s="21" t="n">
        <v>45645</v>
      </c>
      <c r="B1243" t="n">
        <v>1.12417e-06</v>
      </c>
    </row>
    <row r="1244">
      <c r="A1244" s="21" t="n">
        <v>45646</v>
      </c>
      <c r="B1244" t="n">
        <v>9.835599999999999e-07</v>
      </c>
    </row>
    <row r="1245">
      <c r="A1245" s="21" t="n">
        <v>45649</v>
      </c>
      <c r="B1245" t="n">
        <v>1.16004e-06</v>
      </c>
    </row>
    <row r="1246">
      <c r="A1246" s="21" t="n">
        <v>45650</v>
      </c>
      <c r="B1246" t="n">
        <v>1.80989e-06</v>
      </c>
    </row>
    <row r="1247">
      <c r="A1247" s="21" t="n">
        <v>45652</v>
      </c>
      <c r="B1247" t="n">
        <v>1.96818e-06</v>
      </c>
    </row>
    <row r="1248">
      <c r="A1248" s="21" t="n">
        <v>45653</v>
      </c>
      <c r="B1248" t="n">
        <v>2.68739e-06</v>
      </c>
    </row>
    <row r="1249">
      <c r="A1249" s="21" t="n">
        <v>45656</v>
      </c>
      <c r="B1249" t="n">
        <v>2.60743e-06</v>
      </c>
    </row>
    <row r="1250">
      <c r="A1250" s="21" t="n">
        <v>45657</v>
      </c>
      <c r="B1250" t="n">
        <v>4.7346e-06</v>
      </c>
    </row>
    <row r="1251">
      <c r="A1251" s="21" t="n">
        <v>45659</v>
      </c>
      <c r="B1251" t="n">
        <v>2.39858e-06</v>
      </c>
    </row>
    <row r="1252">
      <c r="A1252" s="21" t="n">
        <v>45660</v>
      </c>
      <c r="B1252" t="n">
        <v>2.37377e-06</v>
      </c>
    </row>
    <row r="1253">
      <c r="A1253" s="21" t="n">
        <v>45663</v>
      </c>
      <c r="B1253" t="n">
        <v>2.31926e-06</v>
      </c>
    </row>
    <row r="1254">
      <c r="A1254" s="21" t="n">
        <v>45664</v>
      </c>
      <c r="B1254" t="n">
        <v>2.08296e-06</v>
      </c>
    </row>
    <row r="1255">
      <c r="A1255" s="21" t="n">
        <v>45665</v>
      </c>
      <c r="B1255" t="n">
        <v>1.85144e-06</v>
      </c>
    </row>
    <row r="1256">
      <c r="A1256" s="21" t="n">
        <v>45666</v>
      </c>
      <c r="B1256" t="n">
        <v>1.68225e-06</v>
      </c>
    </row>
    <row r="1257">
      <c r="A1257" s="21" t="n">
        <v>45667</v>
      </c>
      <c r="B1257" t="n">
        <v>1.788e-06</v>
      </c>
    </row>
    <row r="1258">
      <c r="A1258" s="21" t="n">
        <v>45670</v>
      </c>
      <c r="B1258" t="n">
        <v>1.83669e-06</v>
      </c>
    </row>
    <row r="1259">
      <c r="A1259" s="21" t="n">
        <v>45671</v>
      </c>
      <c r="B1259" t="n">
        <v>1.60219e-06</v>
      </c>
    </row>
    <row r="1260">
      <c r="A1260" s="21" t="n">
        <v>45672</v>
      </c>
      <c r="B1260" t="n">
        <v>1.19977e-06</v>
      </c>
    </row>
    <row r="1261">
      <c r="A1261" s="21" t="n">
        <v>45673</v>
      </c>
      <c r="B1261" t="n">
        <v>9.448900000000001e-07</v>
      </c>
    </row>
    <row r="1262">
      <c r="A1262" s="21" t="n">
        <v>45674</v>
      </c>
      <c r="B1262" t="n">
        <v>1.18327e-06</v>
      </c>
    </row>
    <row r="1263">
      <c r="A1263" s="21" t="n">
        <v>45678</v>
      </c>
      <c r="B1263" t="n">
        <v>9.6015e-07</v>
      </c>
    </row>
    <row r="1264">
      <c r="A1264" s="21" t="n">
        <v>45679</v>
      </c>
      <c r="B1264" t="n">
        <v>1.23981e-06</v>
      </c>
    </row>
    <row r="1265">
      <c r="A1265" s="21" t="n">
        <v>45680</v>
      </c>
      <c r="B1265" t="n">
        <v>1.32031e-06</v>
      </c>
    </row>
    <row r="1266">
      <c r="A1266" s="21" t="n">
        <v>45681</v>
      </c>
      <c r="B1266" t="n">
        <v>1.04972e-06</v>
      </c>
    </row>
    <row r="1267">
      <c r="A1267" s="21" t="n">
        <v>45684</v>
      </c>
      <c r="B1267" t="n">
        <v>9.2863e-07</v>
      </c>
    </row>
    <row r="1268">
      <c r="A1268" s="21" t="n">
        <v>45685</v>
      </c>
      <c r="B1268" t="n">
        <v>1.1276e-06</v>
      </c>
    </row>
    <row r="1269">
      <c r="A1269" s="21" t="n">
        <v>45686</v>
      </c>
      <c r="B1269" t="n">
        <v>1.21842e-06</v>
      </c>
    </row>
    <row r="1270">
      <c r="A1270" s="21" t="n">
        <v>45687</v>
      </c>
      <c r="B1270" t="n">
        <v>1.25965e-06</v>
      </c>
    </row>
    <row r="1271">
      <c r="A1271" s="21" t="n">
        <v>45688</v>
      </c>
      <c r="B1271" t="n">
        <v>1.87913e-06</v>
      </c>
    </row>
    <row r="1272">
      <c r="A1272" s="21" t="n">
        <v>45691</v>
      </c>
      <c r="B1272" t="n">
        <v>9.7781e-07</v>
      </c>
    </row>
    <row r="1273">
      <c r="A1273" s="21" t="n">
        <v>45692</v>
      </c>
      <c r="B1273" t="n">
        <v>8.565399999999999e-07</v>
      </c>
    </row>
    <row r="1274">
      <c r="A1274" s="21" t="n">
        <v>45693</v>
      </c>
      <c r="B1274" t="n">
        <v>7.8788e-07</v>
      </c>
    </row>
    <row r="1275">
      <c r="A1275" s="21" t="n">
        <v>45694</v>
      </c>
      <c r="B1275" t="n">
        <v>7.9983e-07</v>
      </c>
    </row>
    <row r="1276">
      <c r="A1276" s="21" t="n">
        <v>45695</v>
      </c>
      <c r="B1276" t="n">
        <v>9.524800000000001e-07</v>
      </c>
    </row>
    <row r="1277">
      <c r="A1277" s="21" t="n">
        <v>45698</v>
      </c>
      <c r="B1277" t="n">
        <v>9.965300000000001e-07</v>
      </c>
    </row>
    <row r="1278">
      <c r="A1278" s="21" t="n">
        <v>45699</v>
      </c>
      <c r="B1278" t="n">
        <v>7.6446e-07</v>
      </c>
    </row>
    <row r="1279">
      <c r="A1279" s="21" t="n">
        <v>45700</v>
      </c>
      <c r="B1279" t="n">
        <v>6.767e-07</v>
      </c>
    </row>
    <row r="1280">
      <c r="A1280" s="21" t="n">
        <v>45701</v>
      </c>
      <c r="B1280" t="n">
        <v>6.781999999999999e-07</v>
      </c>
    </row>
    <row r="1281">
      <c r="A1281" s="21" t="n">
        <v>45702</v>
      </c>
      <c r="B1281" t="n">
        <v>5.877e-07</v>
      </c>
    </row>
    <row r="1282">
      <c r="A1282" s="21" t="n">
        <v>45706</v>
      </c>
      <c r="B1282" t="n">
        <v>7.781699999999999e-07</v>
      </c>
    </row>
    <row r="1283">
      <c r="A1283" s="21" t="n">
        <v>45707</v>
      </c>
      <c r="B1283" t="n">
        <v>7.3196e-07</v>
      </c>
    </row>
    <row r="1284">
      <c r="A1284" s="21" t="n">
        <v>45708</v>
      </c>
      <c r="B1284" t="n">
        <v>6.3207e-07</v>
      </c>
    </row>
    <row r="1285">
      <c r="A1285" s="21" t="n">
        <v>45709</v>
      </c>
      <c r="B1285" t="n">
        <v>6.8983e-07</v>
      </c>
    </row>
    <row r="1286">
      <c r="A1286" s="21" t="n">
        <v>45712</v>
      </c>
      <c r="B1286" t="n">
        <v>7.6818e-07</v>
      </c>
    </row>
    <row r="1287">
      <c r="A1287" s="21" t="n">
        <v>45713</v>
      </c>
      <c r="B1287" t="n">
        <v>9.599999999999999e-07</v>
      </c>
    </row>
    <row r="1288">
      <c r="A1288" s="21" t="n">
        <v>45714</v>
      </c>
      <c r="B1288" t="n">
        <v>1.26058e-06</v>
      </c>
    </row>
    <row r="1289">
      <c r="A1289" s="21" t="n">
        <v>45715</v>
      </c>
      <c r="B1289" t="n">
        <v>1.82148e-06</v>
      </c>
    </row>
    <row r="1290">
      <c r="A1290" s="21" t="n">
        <v>45716</v>
      </c>
      <c r="B1290" t="n">
        <v>2.34422e-06</v>
      </c>
    </row>
    <row r="1291">
      <c r="A1291" s="21" t="n">
        <v>45719</v>
      </c>
      <c r="B1291" t="n">
        <v>1.19987e-06</v>
      </c>
    </row>
    <row r="1292">
      <c r="A1292" s="21" t="n">
        <v>45720</v>
      </c>
      <c r="B1292" t="n">
        <v>1.35257e-06</v>
      </c>
    </row>
    <row r="1293">
      <c r="A1293" s="21" t="n">
        <v>45721</v>
      </c>
      <c r="B1293" t="n">
        <v>1.39493e-06</v>
      </c>
    </row>
    <row r="1294">
      <c r="A1294" s="21" t="n">
        <v>45722</v>
      </c>
      <c r="B1294" t="n">
        <v>1.29269e-06</v>
      </c>
    </row>
    <row r="1295">
      <c r="A1295" s="21" t="n">
        <v>45723</v>
      </c>
      <c r="B1295" t="n">
        <v>1.36305e-06</v>
      </c>
    </row>
    <row r="1296">
      <c r="A1296" s="21" t="n">
        <v>45726</v>
      </c>
      <c r="B1296" t="n">
        <v>1.29054e-06</v>
      </c>
    </row>
    <row r="1297">
      <c r="A1297" s="21" t="n">
        <v>45727</v>
      </c>
      <c r="B1297" t="n">
        <v>1.3731e-06</v>
      </c>
    </row>
    <row r="1298">
      <c r="A1298" s="21" t="n">
        <v>45728</v>
      </c>
      <c r="B1298" t="n">
        <v>1.31055e-06</v>
      </c>
    </row>
    <row r="1299">
      <c r="A1299" s="21" t="n">
        <v>45729</v>
      </c>
      <c r="B1299" t="n">
        <v>1.13435e-06</v>
      </c>
    </row>
    <row r="1300">
      <c r="A1300" s="21" t="n">
        <v>45730</v>
      </c>
      <c r="B1300" t="n">
        <v>1.26234e-06</v>
      </c>
    </row>
    <row r="1301">
      <c r="A1301" s="21" t="n">
        <v>45733</v>
      </c>
      <c r="B1301" t="n">
        <v>8.9496e-07</v>
      </c>
    </row>
    <row r="1302">
      <c r="A1302" s="21" t="n">
        <v>45734</v>
      </c>
      <c r="B1302" t="n">
        <v>1.49503e-06</v>
      </c>
    </row>
    <row r="1303">
      <c r="A1303" s="21" t="n">
        <v>45735</v>
      </c>
      <c r="B1303" t="n">
        <v>1.93378e-06</v>
      </c>
    </row>
    <row r="1304">
      <c r="A1304" s="21" t="n">
        <v>45736</v>
      </c>
      <c r="B1304" t="n">
        <v>1.9264e-06</v>
      </c>
    </row>
    <row r="1305">
      <c r="A1305" s="21" t="n">
        <v>45737</v>
      </c>
      <c r="B1305" t="n">
        <v>2.0085e-06</v>
      </c>
    </row>
    <row r="1306">
      <c r="A1306" s="21" t="n">
        <v>45740</v>
      </c>
      <c r="B1306" t="n">
        <v>1.96565e-06</v>
      </c>
    </row>
    <row r="1307">
      <c r="A1307" s="21" t="n">
        <v>45741</v>
      </c>
      <c r="B1307" t="n">
        <v>2.14786e-06</v>
      </c>
    </row>
    <row r="1308">
      <c r="A1308" s="21" t="n">
        <v>45742</v>
      </c>
      <c r="B1308" t="n">
        <v>2.41371e-06</v>
      </c>
    </row>
    <row r="1309">
      <c r="A1309" s="21" t="n">
        <v>45743</v>
      </c>
      <c r="B1309" t="n">
        <v>2.91785e-06</v>
      </c>
    </row>
    <row r="1310">
      <c r="A1310" s="21" t="n">
        <v>45744</v>
      </c>
      <c r="B1310" t="n">
        <v>2.86575e-06</v>
      </c>
    </row>
    <row r="1311">
      <c r="A1311" s="21" t="n">
        <v>45747</v>
      </c>
      <c r="B1311" t="n">
        <v>3.99167e-06</v>
      </c>
    </row>
    <row r="1312">
      <c r="A1312" s="21" t="n">
        <v>45748</v>
      </c>
      <c r="B1312" t="n">
        <v>2.30063e-06</v>
      </c>
    </row>
    <row r="1313">
      <c r="A1313" s="21" t="n">
        <v>45749</v>
      </c>
      <c r="B1313" t="n">
        <v>2.33488e-06</v>
      </c>
    </row>
    <row r="1314">
      <c r="A1314" s="21" t="n">
        <v>45750</v>
      </c>
      <c r="B1314" t="n">
        <v>1.96265e-06</v>
      </c>
    </row>
    <row r="1315">
      <c r="A1315" s="21" t="n">
        <v>45751</v>
      </c>
      <c r="B1315" t="n">
        <v>1.84499e-06</v>
      </c>
    </row>
    <row r="1316">
      <c r="A1316" s="21" t="n">
        <v>45754</v>
      </c>
      <c r="B1316" t="n">
        <v>1.48146e-06</v>
      </c>
    </row>
    <row r="1317">
      <c r="A1317" s="21" t="n">
        <v>45755</v>
      </c>
      <c r="B1317" t="n">
        <v>1.56911e-06</v>
      </c>
    </row>
    <row r="1318">
      <c r="A1318" s="21" t="n">
        <v>45756</v>
      </c>
      <c r="B1318" t="n">
        <v>1.68115e-06</v>
      </c>
    </row>
    <row r="1319">
      <c r="A1319" s="21" t="n">
        <v>45757</v>
      </c>
      <c r="B1319" t="n">
        <v>1.2995e-06</v>
      </c>
    </row>
    <row r="1320">
      <c r="A1320" s="21" t="n">
        <v>45758</v>
      </c>
      <c r="B1320" t="n">
        <v>9.8531e-07</v>
      </c>
    </row>
    <row r="1321">
      <c r="A1321" s="21" t="n">
        <v>45761</v>
      </c>
      <c r="B1321" t="n">
        <v>1.02838e-06</v>
      </c>
    </row>
    <row r="1322">
      <c r="A1322" s="21" t="n">
        <v>45762</v>
      </c>
      <c r="B1322" t="n">
        <v>8.8878e-07</v>
      </c>
    </row>
    <row r="1323">
      <c r="A1323" s="21" t="n">
        <v>45763</v>
      </c>
      <c r="B1323" t="n">
        <v>5.4772e-07</v>
      </c>
    </row>
    <row r="1324">
      <c r="A1324" s="21" t="n">
        <v>45764</v>
      </c>
      <c r="B1324" t="n">
        <v>5.86e-07</v>
      </c>
    </row>
    <row r="1325">
      <c r="A1325" s="21" t="n">
        <v>45768</v>
      </c>
      <c r="B1325" t="n">
        <v>1.14114e-06</v>
      </c>
    </row>
    <row r="1326">
      <c r="A1326" s="21" t="n">
        <v>45769</v>
      </c>
      <c r="B1326" t="n">
        <v>1.37951e-06</v>
      </c>
    </row>
    <row r="1327">
      <c r="A1327" s="21" t="n">
        <v>45770</v>
      </c>
      <c r="B1327" t="n">
        <v>1.7178e-06</v>
      </c>
    </row>
    <row r="1328">
      <c r="A1328" s="21" t="n">
        <v>45771</v>
      </c>
      <c r="B1328" t="n">
        <v>1.30004e-06</v>
      </c>
    </row>
    <row r="1329">
      <c r="A1329" s="21" t="n">
        <v>45772</v>
      </c>
      <c r="B1329" t="n">
        <v>9.4021e-07</v>
      </c>
    </row>
    <row r="1330">
      <c r="A1330" s="21" t="n">
        <v>45775</v>
      </c>
      <c r="B1330" t="n">
        <v>1.48649e-06</v>
      </c>
    </row>
    <row r="1331">
      <c r="A1331" s="21" t="n">
        <v>45776</v>
      </c>
      <c r="B1331" t="n">
        <v>1.57537e-06</v>
      </c>
    </row>
    <row r="1332">
      <c r="A1332" s="21" t="n">
        <v>45777</v>
      </c>
      <c r="B1332" t="n">
        <v>2.50601e-06</v>
      </c>
    </row>
    <row r="1333">
      <c r="A1333" s="21" t="n">
        <v>45778</v>
      </c>
      <c r="B1333" t="n">
        <v>1.57353e-06</v>
      </c>
    </row>
    <row r="1334">
      <c r="A1334" s="21" t="n">
        <v>45779</v>
      </c>
      <c r="B1334" t="n">
        <v>1.47882e-06</v>
      </c>
    </row>
    <row r="1335">
      <c r="A1335" s="21" t="n">
        <v>45782</v>
      </c>
      <c r="B1335" t="n">
        <v>1.2469e-06</v>
      </c>
    </row>
    <row r="1336">
      <c r="A1336" s="21" t="n">
        <v>45783</v>
      </c>
      <c r="B1336" t="n">
        <v>1.29858e-06</v>
      </c>
    </row>
    <row r="1337">
      <c r="A1337" s="21" t="n">
        <v>45784</v>
      </c>
      <c r="B1337" t="n">
        <v>1.54859e-06</v>
      </c>
    </row>
    <row r="1338">
      <c r="A1338" s="21" t="n">
        <v>45785</v>
      </c>
      <c r="B1338" t="n">
        <v>1.39768e-06</v>
      </c>
    </row>
    <row r="1339">
      <c r="A1339" s="21" t="n">
        <v>45786</v>
      </c>
      <c r="B1339" t="n">
        <v>1.42272e-06</v>
      </c>
    </row>
    <row r="1340">
      <c r="A1340" s="21" t="n">
        <v>45789</v>
      </c>
      <c r="B1340" t="n">
        <v>1.47505e-06</v>
      </c>
    </row>
    <row r="1341">
      <c r="A1341" s="21" t="n">
        <v>45790</v>
      </c>
      <c r="B1341" t="n">
        <v>1.44214e-06</v>
      </c>
    </row>
    <row r="1342">
      <c r="A1342" s="21" t="n">
        <v>45791</v>
      </c>
      <c r="B1342" t="n">
        <v>1.65024e-06</v>
      </c>
    </row>
    <row r="1343">
      <c r="A1343" s="21" t="n">
        <v>45792</v>
      </c>
      <c r="B1343" t="n">
        <v>1.09436e-06</v>
      </c>
    </row>
    <row r="1344">
      <c r="A1344" s="21" t="n">
        <v>45793</v>
      </c>
      <c r="B1344" t="n">
        <v>1.36799e-06</v>
      </c>
    </row>
    <row r="1345">
      <c r="A1345" s="21" t="n">
        <v>45796</v>
      </c>
      <c r="B1345" t="n">
        <v>1.80417e-06</v>
      </c>
    </row>
    <row r="1346">
      <c r="A1346" s="21" t="n">
        <v>45797</v>
      </c>
      <c r="B1346" t="n">
        <v>1.36033e-06</v>
      </c>
    </row>
    <row r="1347">
      <c r="A1347" s="21" t="n">
        <v>45798</v>
      </c>
      <c r="B1347" t="n">
        <v>1.62802e-06</v>
      </c>
    </row>
    <row r="1348">
      <c r="A1348" s="21" t="n">
        <v>45799</v>
      </c>
      <c r="B1348" t="n">
        <v>1.73018e-06</v>
      </c>
    </row>
    <row r="1349">
      <c r="A1349" s="21" t="n">
        <v>45800</v>
      </c>
      <c r="B1349" t="n">
        <v>1.54841e-06</v>
      </c>
    </row>
    <row r="1350">
      <c r="A1350" s="21" t="n">
        <v>45804</v>
      </c>
      <c r="B1350" t="n">
        <v>1.38066e-06</v>
      </c>
    </row>
    <row r="1351">
      <c r="A1351" s="21" t="n">
        <v>45805</v>
      </c>
      <c r="B1351" t="n">
        <v>1.73641e-06</v>
      </c>
    </row>
    <row r="1352">
      <c r="A1352" s="21" t="n">
        <v>45806</v>
      </c>
      <c r="B1352" t="n">
        <v>1.6566e-06</v>
      </c>
    </row>
    <row r="1353">
      <c r="A1353" s="21" t="n">
        <v>45807</v>
      </c>
      <c r="B1353" t="n">
        <v>3.15657e-06</v>
      </c>
    </row>
    <row r="1354">
      <c r="A1354" s="21" t="n">
        <v>45810</v>
      </c>
      <c r="B1354" t="n">
        <v>1.35841e-06</v>
      </c>
    </row>
    <row r="1355">
      <c r="A1355" s="21" t="n">
        <v>45811</v>
      </c>
      <c r="B1355" t="n">
        <v>1.53177e-06</v>
      </c>
    </row>
    <row r="1356">
      <c r="A1356" s="21" t="n">
        <v>45812</v>
      </c>
      <c r="B1356" t="n">
        <v>1.68882e-06</v>
      </c>
    </row>
    <row r="1357">
      <c r="A1357" s="21" t="n">
        <v>45813</v>
      </c>
      <c r="B1357" t="n">
        <v>1.52727e-06</v>
      </c>
    </row>
    <row r="1358">
      <c r="A1358" s="21" t="n">
        <v>45814</v>
      </c>
      <c r="B1358" t="n">
        <v>1.49284e-06</v>
      </c>
    </row>
    <row r="1359">
      <c r="A1359" s="21" t="n">
        <v>45817</v>
      </c>
      <c r="B1359" t="n">
        <v>1.79315e-06</v>
      </c>
    </row>
    <row r="1360">
      <c r="A1360" s="21" t="n">
        <v>45818</v>
      </c>
      <c r="B1360" t="n">
        <v>1.82725e-06</v>
      </c>
    </row>
    <row r="1361">
      <c r="A1361" s="21" t="n">
        <v>45819</v>
      </c>
      <c r="B1361" t="n">
        <v>2.04625e-06</v>
      </c>
    </row>
    <row r="1362">
      <c r="A1362" s="21" t="n">
        <v>45820</v>
      </c>
      <c r="B1362" t="n">
        <v>1.81417e-06</v>
      </c>
    </row>
    <row r="1363">
      <c r="A1363" s="21" t="n">
        <v>45821</v>
      </c>
      <c r="B1363" t="n">
        <v>1.68645e-06</v>
      </c>
    </row>
    <row r="1364">
      <c r="A1364" s="21" t="n">
        <v>45824</v>
      </c>
      <c r="B1364" t="n">
        <v>1.40759e-06</v>
      </c>
    </row>
    <row r="1365">
      <c r="A1365" s="21" t="n">
        <v>45825</v>
      </c>
      <c r="B1365" t="n">
        <v>1.68939e-06</v>
      </c>
    </row>
    <row r="1366">
      <c r="A1366" s="21" t="n">
        <v>45826</v>
      </c>
      <c r="B1366" t="n">
        <v>2.0505e-06</v>
      </c>
    </row>
    <row r="1367">
      <c r="A1367" s="21" t="n">
        <v>45828</v>
      </c>
      <c r="B1367" t="n">
        <v>1.38283e-06</v>
      </c>
    </row>
    <row r="1368">
      <c r="A1368" s="21" t="n">
        <v>45831</v>
      </c>
      <c r="B1368" t="n">
        <v>1.65319e-06</v>
      </c>
    </row>
    <row r="1369">
      <c r="A1369" s="21" t="n">
        <v>45832</v>
      </c>
      <c r="B1369" t="n">
        <v>1.87367e-06</v>
      </c>
    </row>
    <row r="1370">
      <c r="A1370" s="21" t="n">
        <v>45833</v>
      </c>
      <c r="B1370" t="n">
        <v>2.10879e-06</v>
      </c>
    </row>
    <row r="1371">
      <c r="A1371" s="21" t="n">
        <v>45834</v>
      </c>
      <c r="B1371" t="n">
        <v>2.52432e-06</v>
      </c>
    </row>
    <row r="1372">
      <c r="A1372" s="21" t="n">
        <v>45835</v>
      </c>
      <c r="B1372" t="n">
        <v>2.85742e-06</v>
      </c>
    </row>
    <row r="1373">
      <c r="A1373" s="21" t="n">
        <v>45838</v>
      </c>
      <c r="B1373" t="n">
        <v>4.60731e-06</v>
      </c>
    </row>
    <row r="1374">
      <c r="A1374" s="21" t="n">
        <v>45839</v>
      </c>
      <c r="B1374" t="n">
        <v>2.4553e-06</v>
      </c>
    </row>
    <row r="1375">
      <c r="A1375" s="21" t="n">
        <v>45840</v>
      </c>
      <c r="B1375" t="n">
        <v>2.37307e-06</v>
      </c>
    </row>
    <row r="1376">
      <c r="A1376" s="21" t="n">
        <v>45841</v>
      </c>
      <c r="B1376" t="n">
        <v>2.14665e-06</v>
      </c>
    </row>
    <row r="1377">
      <c r="A1377" s="21" t="n">
        <v>45845</v>
      </c>
      <c r="B1377" t="n">
        <v>2.1803e-06</v>
      </c>
    </row>
    <row r="1378">
      <c r="A1378" s="21" t="n">
        <v>45846</v>
      </c>
      <c r="B1378" t="n">
        <v>2.19415e-06</v>
      </c>
    </row>
    <row r="1379">
      <c r="A1379" s="21" t="n">
        <v>45847</v>
      </c>
      <c r="B1379" t="n">
        <v>2.27273e-06</v>
      </c>
    </row>
    <row r="1380">
      <c r="A1380" s="21" t="n">
        <v>45848</v>
      </c>
      <c r="B1380" t="n">
        <v>1.83339e-06</v>
      </c>
    </row>
    <row r="1381">
      <c r="A1381" s="21" t="n">
        <v>45849</v>
      </c>
      <c r="B1381" t="n">
        <v>1.81637e-06</v>
      </c>
    </row>
    <row r="1382">
      <c r="A1382" s="21" t="n">
        <v>45852</v>
      </c>
      <c r="B1382" t="n">
        <v>2.17841e-06</v>
      </c>
    </row>
    <row r="1383">
      <c r="A1383" s="21" t="n">
        <v>45853</v>
      </c>
      <c r="B1383" t="n">
        <v>1.98277e-06</v>
      </c>
    </row>
    <row r="1384">
      <c r="A1384" s="21" t="n">
        <v>45854</v>
      </c>
      <c r="B1384" t="n">
        <v>1.97086e-06</v>
      </c>
    </row>
    <row r="1385">
      <c r="A1385" s="21" t="n">
        <v>45855</v>
      </c>
      <c r="B1385" t="n">
        <v>1.9366e-06</v>
      </c>
    </row>
    <row r="1386">
      <c r="A1386" s="21" t="n">
        <v>45856</v>
      </c>
      <c r="B1386" t="n">
        <v>1.99298e-06</v>
      </c>
    </row>
    <row r="1387">
      <c r="A1387" s="21" t="n">
        <v>45859</v>
      </c>
      <c r="B1387" t="n">
        <v>2.13666e-06</v>
      </c>
    </row>
    <row r="1388">
      <c r="A1388" s="21" t="n">
        <v>45860</v>
      </c>
      <c r="B1388" t="n">
        <v>1.96374e-06</v>
      </c>
    </row>
    <row r="1389">
      <c r="A1389" s="21" t="n">
        <v>45861</v>
      </c>
      <c r="B1389" t="n">
        <v>1.89632e-06</v>
      </c>
    </row>
    <row r="1390">
      <c r="A1390" s="21" t="n">
        <v>45862</v>
      </c>
      <c r="B1390" t="n">
        <v>1.32186e-06</v>
      </c>
    </row>
    <row r="1391">
      <c r="A1391" s="21" t="n">
        <v>45863</v>
      </c>
      <c r="B1391" t="n">
        <v>1.50509e-06</v>
      </c>
    </row>
    <row r="1392">
      <c r="A1392" s="21" t="n">
        <v>45866</v>
      </c>
      <c r="B1392" t="n">
        <v>1.70463e-06</v>
      </c>
    </row>
    <row r="1393">
      <c r="A1393" s="21" t="n">
        <v>45867</v>
      </c>
      <c r="B1393" t="n">
        <v>1.71018e-06</v>
      </c>
    </row>
    <row r="1394">
      <c r="A1394" s="21" t="n">
        <v>45868</v>
      </c>
      <c r="B1394" t="n">
        <v>1.55481e-06</v>
      </c>
    </row>
    <row r="1395">
      <c r="A1395" s="21" t="n">
        <v>45869</v>
      </c>
      <c r="B1395" t="n">
        <v>2.14445e-06</v>
      </c>
    </row>
    <row r="1396">
      <c r="A1396" s="21" t="n">
        <v>45870</v>
      </c>
      <c r="B1396" t="n">
        <v>9.742600000000001e-07</v>
      </c>
    </row>
    <row r="1397">
      <c r="A1397" s="21" t="n">
        <v>45873</v>
      </c>
      <c r="B1397" t="n">
        <v>1.2573e-06</v>
      </c>
    </row>
    <row r="1398">
      <c r="A1398" s="21" t="n">
        <v>45874</v>
      </c>
      <c r="B1398" t="n">
        <v>8.435599999999999e-07</v>
      </c>
    </row>
    <row r="1399">
      <c r="A1399" s="21" t="n">
        <v>45875</v>
      </c>
      <c r="B1399" t="n">
        <v>9.196599999999999e-07</v>
      </c>
    </row>
    <row r="1400">
      <c r="A1400" s="21" t="n">
        <v>45876</v>
      </c>
      <c r="B1400" t="n">
        <v>7.7961e-07</v>
      </c>
    </row>
    <row r="1401">
      <c r="A1401" s="21" t="n">
        <v>45877</v>
      </c>
      <c r="B1401" t="n">
        <v>8.0303e-07</v>
      </c>
    </row>
    <row r="1402">
      <c r="A1402" s="21" t="n">
        <v>45880</v>
      </c>
      <c r="B1402" t="n">
        <v>8.2214e-07</v>
      </c>
    </row>
    <row r="1403">
      <c r="A1403" s="21" t="n">
        <v>45881</v>
      </c>
      <c r="B1403" t="n">
        <v>5.7492e-07</v>
      </c>
    </row>
    <row r="1404">
      <c r="A1404" s="21" t="n">
        <v>45882</v>
      </c>
      <c r="B1404" t="n">
        <v>5.7202e-07</v>
      </c>
    </row>
    <row r="1405">
      <c r="A1405" s="21" t="n">
        <v>45883</v>
      </c>
      <c r="B1405" t="n">
        <v>2.8818e-07</v>
      </c>
    </row>
    <row r="1406">
      <c r="A1406" s="21" t="n">
        <v>45884</v>
      </c>
      <c r="B1406" t="n">
        <v>3.3757e-07</v>
      </c>
    </row>
    <row r="1407">
      <c r="A1407" s="21" t="n">
        <v>45887</v>
      </c>
      <c r="B1407" t="n">
        <v>3.824e-07</v>
      </c>
    </row>
    <row r="1408">
      <c r="A1408" s="21" t="n">
        <v>45888</v>
      </c>
      <c r="B1408" t="n">
        <v>2.2344e-07</v>
      </c>
    </row>
    <row r="1409">
      <c r="A1409" s="21" t="n">
        <v>45889</v>
      </c>
      <c r="B1409" t="n">
        <v>3.4999e-07</v>
      </c>
    </row>
    <row r="1410">
      <c r="A1410" s="21" t="n">
        <v>45890</v>
      </c>
      <c r="B1410" t="n">
        <v>2.5358e-07</v>
      </c>
    </row>
    <row r="1411">
      <c r="A1411" s="21" t="n">
        <v>45891</v>
      </c>
      <c r="B1411" t="n">
        <v>3.6275e-07</v>
      </c>
    </row>
    <row r="1412">
      <c r="A1412" s="21" t="n">
        <v>45894</v>
      </c>
      <c r="B1412" t="n">
        <v>4.7567e-07</v>
      </c>
    </row>
    <row r="1413">
      <c r="A1413" s="21" t="n">
        <v>45895</v>
      </c>
      <c r="B1413" t="n">
        <v>2.8574e-07</v>
      </c>
    </row>
    <row r="1414">
      <c r="A1414" s="21" t="n">
        <v>45896</v>
      </c>
      <c r="B1414" t="n">
        <v>3.4744e-07</v>
      </c>
    </row>
    <row r="1415">
      <c r="A1415" s="21" t="n">
        <v>45897</v>
      </c>
      <c r="B1415" t="n">
        <v>3.1966e-07</v>
      </c>
    </row>
    <row r="1416">
      <c r="A1416" s="21" t="n">
        <v>45898</v>
      </c>
      <c r="B1416" t="n">
        <v>7.7898e-07</v>
      </c>
    </row>
    <row r="1417">
      <c r="A1417" s="21" t="n">
        <v>45902</v>
      </c>
      <c r="B1417" t="n">
        <v>2.1066e-07</v>
      </c>
    </row>
    <row r="1418">
      <c r="A1418" s="21" t="n">
        <v>45903</v>
      </c>
      <c r="B1418" t="n">
        <v>1.7923e-07</v>
      </c>
    </row>
    <row r="1419">
      <c r="A1419" s="21" t="n">
        <v>45904</v>
      </c>
      <c r="B1419" t="n">
        <v>2.0128e-07</v>
      </c>
    </row>
    <row r="1420">
      <c r="A1420" s="21" t="n">
        <v>45905</v>
      </c>
      <c r="B1420" t="n">
        <v>2.0997e-07</v>
      </c>
    </row>
    <row r="1421">
      <c r="A1421" s="21" t="n">
        <v>45908</v>
      </c>
      <c r="B1421" t="n">
        <v>1.9416e-07</v>
      </c>
    </row>
    <row r="1422">
      <c r="A1422" s="21" t="n">
        <v>45909</v>
      </c>
      <c r="B1422" t="n">
        <v>2.2915e-07</v>
      </c>
    </row>
    <row r="1423">
      <c r="A1423" s="21" t="n">
        <v>45910</v>
      </c>
      <c r="B1423" t="n">
        <v>2.94e-07</v>
      </c>
    </row>
    <row r="1424">
      <c r="A1424" s="21" t="n">
        <v>45911</v>
      </c>
      <c r="B1424" t="n">
        <v>2.6897e-07</v>
      </c>
    </row>
    <row r="1425">
      <c r="A1425" s="21" t="n">
        <v>45912</v>
      </c>
      <c r="B1425" t="n">
        <v>1.7331e-07</v>
      </c>
    </row>
    <row r="1426">
      <c r="A1426" s="21" t="n">
        <v>45915</v>
      </c>
      <c r="B1426" t="n">
        <v>1.6954e-07</v>
      </c>
    </row>
    <row r="1427">
      <c r="A1427" s="21" t="n">
        <v>45916</v>
      </c>
      <c r="B1427" t="n">
        <v>1.8817e-07</v>
      </c>
    </row>
    <row r="1428">
      <c r="A1428" s="21" t="n">
        <v>45917</v>
      </c>
      <c r="B1428" t="n">
        <v>1.3963e-07</v>
      </c>
    </row>
    <row r="1429">
      <c r="A1429" s="21" t="n">
        <v>45918</v>
      </c>
      <c r="B1429" t="n">
        <v>1.3707e-07</v>
      </c>
    </row>
    <row r="1430">
      <c r="A1430" s="21" t="n">
        <v>45919</v>
      </c>
      <c r="B1430" t="n">
        <v>1.1363e-07</v>
      </c>
    </row>
    <row r="1431">
      <c r="A1431" s="21" t="n">
        <v>45922</v>
      </c>
      <c r="B1431" t="n">
        <v>1.4173e-07</v>
      </c>
    </row>
    <row r="1432">
      <c r="A1432" s="21" t="n">
        <v>45923</v>
      </c>
      <c r="B1432" t="n">
        <v>1.4402e-07</v>
      </c>
    </row>
    <row r="1433">
      <c r="A1433" s="21" t="n">
        <v>45924</v>
      </c>
      <c r="B1433" t="n">
        <v>2.9172e-07</v>
      </c>
    </row>
    <row r="1434">
      <c r="A1434" s="21" t="n">
        <v>45925</v>
      </c>
      <c r="B1434" t="n">
        <v>2.5369e-07</v>
      </c>
    </row>
    <row r="1435">
      <c r="A1435" s="21" t="n">
        <v>45926</v>
      </c>
      <c r="B1435" t="n">
        <v>4.8073e-07</v>
      </c>
    </row>
    <row r="1436">
      <c r="A1436" s="21" t="n">
        <v>45929</v>
      </c>
      <c r="B1436" t="n">
        <v>5.622e-07</v>
      </c>
    </row>
    <row r="1437">
      <c r="A1437" s="21" t="n">
        <v>45930</v>
      </c>
      <c r="B1437" t="n">
        <v>4.9071e-07</v>
      </c>
    </row>
    <row r="1438">
      <c r="A1438" s="21" t="n">
        <v>45931</v>
      </c>
      <c r="B1438" t="n">
        <v>1.0179e-07</v>
      </c>
    </row>
    <row r="1439">
      <c r="A1439" s="21" t="n">
        <v>45932</v>
      </c>
      <c r="B1439" t="n">
        <v>8.436e-08</v>
      </c>
    </row>
    <row r="1440">
      <c r="A1440" s="21" t="n">
        <v>45933</v>
      </c>
      <c r="B1440" t="n">
        <v>2.5392e-07</v>
      </c>
    </row>
    <row r="1441">
      <c r="A1441" s="21" t="n">
        <v>45936</v>
      </c>
      <c r="B1441" t="n">
        <v>2.1776e-07</v>
      </c>
    </row>
    <row r="1442">
      <c r="A1442" s="21" t="n">
        <v>45937</v>
      </c>
      <c r="B1442" t="n">
        <v>4.622e-08</v>
      </c>
    </row>
    <row r="1443">
      <c r="A1443" s="21" t="n">
        <v>45938</v>
      </c>
      <c r="B1443" t="n">
        <v>5.231e-08</v>
      </c>
    </row>
    <row r="1444">
      <c r="A1444" s="21" t="n">
        <v>45939</v>
      </c>
      <c r="B1444" t="n">
        <v>4.496000000000001e-08</v>
      </c>
    </row>
    <row r="1445">
      <c r="A1445" s="21" t="n">
        <v>45940</v>
      </c>
      <c r="B1445" t="n">
        <v>4.124e-08</v>
      </c>
    </row>
    <row r="1446">
      <c r="A1446" s="21" t="n">
        <v>45944</v>
      </c>
      <c r="B1446" t="n">
        <v>3.516e-08</v>
      </c>
    </row>
    <row r="1447">
      <c r="A1447" s="21" t="n">
        <v>45945</v>
      </c>
      <c r="B1447" t="n">
        <v>5.484e-08</v>
      </c>
    </row>
    <row r="1448">
      <c r="A1448" s="21" t="n">
        <v>45946</v>
      </c>
      <c r="B1448" t="n">
        <v>6.96e-08</v>
      </c>
    </row>
    <row r="1449">
      <c r="A1449" s="21" t="n">
        <v>45947</v>
      </c>
      <c r="B1449" t="n">
        <v>4.102000000000001e-08</v>
      </c>
    </row>
    <row r="1450">
      <c r="A1450" s="21" t="n">
        <v>45950</v>
      </c>
      <c r="B1450" t="n">
        <v>5.931e-08</v>
      </c>
    </row>
    <row r="1451">
      <c r="A1451" s="21" t="n">
        <v>45951</v>
      </c>
      <c r="B1451" t="n">
        <v>4.699e-08</v>
      </c>
    </row>
    <row r="1452">
      <c r="A1452" s="21" t="n">
        <v>45952</v>
      </c>
      <c r="B1452" t="n">
        <v>4.005e-08</v>
      </c>
    </row>
    <row r="1453">
      <c r="A1453" s="21" t="n">
        <v>45953</v>
      </c>
      <c r="B1453" t="n">
        <v>6.941e-08</v>
      </c>
    </row>
    <row r="1454">
      <c r="A1454" s="21" t="n">
        <v>45954</v>
      </c>
      <c r="B1454" t="n">
        <v>2.435e-08</v>
      </c>
    </row>
    <row r="1455">
      <c r="A1455" s="21" t="n">
        <v>45957</v>
      </c>
      <c r="B1455" t="n">
        <v>1.0642e-07</v>
      </c>
    </row>
    <row r="1456">
      <c r="A1456" s="21" t="n">
        <v>45958</v>
      </c>
      <c r="B1456" t="n">
        <v>1.4096e-07</v>
      </c>
    </row>
    <row r="1457">
      <c r="A1457" s="21" t="n">
        <v>45959</v>
      </c>
      <c r="B1457" t="n">
        <v>1.9504e-07</v>
      </c>
    </row>
    <row r="1458">
      <c r="A1458" s="21" t="n">
        <v>45960</v>
      </c>
      <c r="B1458" t="n">
        <v>1.9166e-07</v>
      </c>
    </row>
    <row r="1459">
      <c r="A1459" s="21" t="n">
        <v>45961</v>
      </c>
      <c r="B1459" t="n">
        <v>5.1802e-07</v>
      </c>
    </row>
    <row r="1460">
      <c r="A1460" s="21" t="n">
        <v>45964</v>
      </c>
      <c r="B1460" t="n">
        <v>2.3792e-07</v>
      </c>
    </row>
    <row r="1461">
      <c r="A1461" s="21" t="n">
        <v>45965</v>
      </c>
      <c r="B1461" t="n">
        <v>1.6983e-07</v>
      </c>
    </row>
    <row r="1462">
      <c r="A1462" s="21" t="n">
        <v>45966</v>
      </c>
      <c r="B1462" t="n">
        <v>1.2814e-07</v>
      </c>
    </row>
    <row r="1463">
      <c r="A1463" s="21" t="n">
        <v>45967</v>
      </c>
      <c r="B1463" t="n">
        <v>1.0754e-07</v>
      </c>
    </row>
    <row r="1464">
      <c r="A1464" s="21" t="n">
        <v>45968</v>
      </c>
      <c r="B1464" t="n">
        <v>4.903e-08</v>
      </c>
    </row>
    <row r="1465">
      <c r="A1465" s="21" t="n">
        <v>45971</v>
      </c>
      <c r="B1465" t="n">
        <v>7.152000000000001e-08</v>
      </c>
    </row>
    <row r="1466">
      <c r="A1466" s="21" t="n">
        <v>45973</v>
      </c>
      <c r="B1466" t="n">
        <v>5.886e-08</v>
      </c>
    </row>
    <row r="1467">
      <c r="A1467" s="21" t="n">
        <v>45974</v>
      </c>
      <c r="B1467" t="n">
        <v>3.761e-08</v>
      </c>
    </row>
    <row r="1468">
      <c r="A1468" s="21" t="n">
        <v>45975</v>
      </c>
      <c r="B1468" t="n">
        <v>1.559e-08</v>
      </c>
    </row>
    <row r="1469">
      <c r="A1469" s="21" t="n">
        <v>45978</v>
      </c>
      <c r="B1469" t="n">
        <v>3.172e-08</v>
      </c>
    </row>
    <row r="1470">
      <c r="A1470" s="21" t="n">
        <v>45979</v>
      </c>
      <c r="B1470" t="n">
        <v>9.05e-09</v>
      </c>
    </row>
    <row r="1471">
      <c r="A1471" s="21" t="n">
        <v>45980</v>
      </c>
      <c r="B1471" t="n">
        <v>1.129e-08</v>
      </c>
    </row>
    <row r="1472">
      <c r="A1472" s="21" t="n">
        <v>45981</v>
      </c>
      <c r="B1472" t="n">
        <v>6.52e-08</v>
      </c>
    </row>
    <row r="1473">
      <c r="A1473" s="21" t="n">
        <v>45982</v>
      </c>
      <c r="B1473" t="n">
        <v>2.503e-08</v>
      </c>
    </row>
    <row r="1474">
      <c r="A1474" s="21" t="n">
        <v>45985</v>
      </c>
      <c r="B1474" t="n">
        <v>1.077e-08</v>
      </c>
    </row>
    <row r="1475">
      <c r="A1475" s="21" t="n">
        <v>45986</v>
      </c>
      <c r="B1475" t="n">
        <v>2.314e-08</v>
      </c>
    </row>
    <row r="1476">
      <c r="A1476" s="21" t="n">
        <v>45987</v>
      </c>
      <c r="B1476" t="n">
        <v>2.217e-08</v>
      </c>
    </row>
    <row r="1477">
      <c r="A1477" s="21" t="n">
        <v>45989</v>
      </c>
      <c r="B1477" t="n">
        <v>7.561e-08</v>
      </c>
    </row>
    <row r="1478">
      <c r="A1478" s="21" t="n">
        <v>45992</v>
      </c>
      <c r="B1478" t="n">
        <v>3.24e-08</v>
      </c>
    </row>
    <row r="1479">
      <c r="A1479" s="21" t="n">
        <v>45993</v>
      </c>
      <c r="B1479" t="n">
        <v>5.62e-08</v>
      </c>
    </row>
    <row r="1480">
      <c r="A1480" s="21" t="n">
        <v>45994</v>
      </c>
      <c r="B1480" t="n">
        <v>2.514e-08</v>
      </c>
    </row>
    <row r="1481">
      <c r="A1481" s="21" t="n">
        <v>45995</v>
      </c>
      <c r="B1481" t="n">
        <v>2.233e-08</v>
      </c>
    </row>
    <row r="1482">
      <c r="A1482" s="21" t="n">
        <v>45996</v>
      </c>
      <c r="B1482" t="n">
        <v>1.485e-08</v>
      </c>
    </row>
    <row r="1483">
      <c r="A1483" s="21" t="n">
        <v>45999</v>
      </c>
      <c r="B1483" t="n">
        <v>1.703e-08</v>
      </c>
    </row>
    <row r="1484">
      <c r="A1484" s="21" t="n">
        <v>46000</v>
      </c>
      <c r="B1484" t="n">
        <v>3.211e-08</v>
      </c>
    </row>
    <row r="1485">
      <c r="A1485" s="21" t="n">
        <v>46001</v>
      </c>
      <c r="B1485" t="n">
        <v>5.045e-08</v>
      </c>
    </row>
    <row r="1486">
      <c r="A1486" s="21" t="n">
        <v>46002</v>
      </c>
      <c r="B1486" t="n">
        <v>2.874e-08</v>
      </c>
    </row>
    <row r="1487">
      <c r="A1487" s="21" t="n">
        <v>46003</v>
      </c>
      <c r="B1487" t="n">
        <v>8.38e-09</v>
      </c>
    </row>
    <row r="1488">
      <c r="A1488" s="21" t="n">
        <v>46006</v>
      </c>
      <c r="B1488" t="n">
        <v>2.601e-08</v>
      </c>
    </row>
    <row r="1489">
      <c r="A1489" s="21" t="n">
        <v>46007</v>
      </c>
      <c r="B1489" t="n">
        <v>1.554e-08</v>
      </c>
    </row>
    <row r="1490">
      <c r="A1490" s="21" t="n">
        <v>46008</v>
      </c>
      <c r="B1490" t="n">
        <v>1.0361e-07</v>
      </c>
    </row>
    <row r="1491">
      <c r="A1491" s="21" t="n">
        <v>46009</v>
      </c>
      <c r="B1491" t="n">
        <v>1.1708e-07</v>
      </c>
    </row>
    <row r="1492">
      <c r="A1492" s="21" t="n">
        <v>46010</v>
      </c>
      <c r="B1492" t="n">
        <v>3.047e-08</v>
      </c>
    </row>
    <row r="1493">
      <c r="A1493" s="21" t="n">
        <v>46013</v>
      </c>
      <c r="B1493" t="n">
        <v>1.523e-08</v>
      </c>
    </row>
    <row r="1494">
      <c r="A1494" s="21" t="n">
        <v>46014</v>
      </c>
      <c r="B1494" t="n">
        <v>5.893e-08</v>
      </c>
    </row>
    <row r="1495">
      <c r="A1495" s="21" t="n">
        <v>46015</v>
      </c>
      <c r="B1495" t="n">
        <v>4.803e-08</v>
      </c>
    </row>
    <row r="1496">
      <c r="A1496" s="21" t="n">
        <v>46017</v>
      </c>
      <c r="B1496" t="n">
        <v>2.0339e-07</v>
      </c>
    </row>
    <row r="1497">
      <c r="A1497" s="21" t="n">
        <v>46020</v>
      </c>
      <c r="B1497" t="n">
        <v>1.0551e-07</v>
      </c>
    </row>
    <row r="1498">
      <c r="A1498" s="21" t="n">
        <v>46021</v>
      </c>
      <c r="B1498" t="n">
        <v>1.2605e-07</v>
      </c>
    </row>
    <row r="1499">
      <c r="A1499" s="21" t="n">
        <v>46022</v>
      </c>
      <c r="B1499" t="n">
        <v>1.05993e-06</v>
      </c>
    </row>
    <row r="1500">
      <c r="A1500" s="21" t="n">
        <v>46024</v>
      </c>
      <c r="B1500" t="n">
        <v>5.667e-08</v>
      </c>
    </row>
    <row r="1501">
      <c r="A1501" s="21" t="n">
        <v>46027</v>
      </c>
      <c r="B1501" t="n">
        <v>6.485e-08</v>
      </c>
    </row>
    <row r="1502">
      <c r="A1502" s="21" t="n">
        <v>46028</v>
      </c>
      <c r="B1502" t="n">
        <v>2.582e-08</v>
      </c>
    </row>
    <row r="1503">
      <c r="A1503" s="21" t="n">
        <v>46029</v>
      </c>
      <c r="B1503" t="n">
        <v>4.582e-08</v>
      </c>
    </row>
    <row r="1504">
      <c r="A1504" s="21" t="n">
        <v>46030</v>
      </c>
      <c r="B1504" t="n">
        <v>3.083e-08</v>
      </c>
    </row>
    <row r="1505">
      <c r="A1505" s="21" t="n">
        <v>46031</v>
      </c>
      <c r="B1505" t="n">
        <v>3.28e-08</v>
      </c>
    </row>
    <row r="1506">
      <c r="A1506" s="21" t="n">
        <v>46034</v>
      </c>
      <c r="B1506" t="n">
        <v>3.402e-08</v>
      </c>
    </row>
    <row r="1507">
      <c r="A1507" s="21" t="n">
        <v>46035</v>
      </c>
      <c r="B1507" t="n">
        <v>3.277e-08</v>
      </c>
    </row>
    <row r="1508">
      <c r="A1508" s="21" t="n">
        <v>46036</v>
      </c>
      <c r="B1508" t="n">
        <v>3.223e-08</v>
      </c>
    </row>
    <row r="1509">
      <c r="A1509" s="21" t="n">
        <v>46037</v>
      </c>
      <c r="B1509" t="n">
        <v>2.003e-08</v>
      </c>
    </row>
    <row r="1510">
      <c r="A1510" s="21" t="n">
        <v>46038</v>
      </c>
      <c r="B1510" t="n">
        <v>1.222e-08</v>
      </c>
    </row>
    <row r="1511">
      <c r="A1511" s="21" t="n">
        <v>46042</v>
      </c>
      <c r="B1511" t="n">
        <v>3.506e-08</v>
      </c>
    </row>
    <row r="1512">
      <c r="A1512" s="21" t="n">
        <v>46043</v>
      </c>
      <c r="B1512" t="n">
        <v>3.344e-08</v>
      </c>
    </row>
    <row r="1513">
      <c r="A1513" s="21" t="n">
        <v>46044</v>
      </c>
      <c r="B1513" t="n">
        <v>2.058e-08</v>
      </c>
    </row>
    <row r="1514">
      <c r="A1514" s="21" t="n">
        <v>46045</v>
      </c>
      <c r="B1514" t="n">
        <v>9.270000000000001e-09</v>
      </c>
    </row>
    <row r="1515">
      <c r="A1515" s="21" t="n">
        <v>46048</v>
      </c>
      <c r="B1515" t="n">
        <v>1.489e-08</v>
      </c>
    </row>
    <row r="1516">
      <c r="A1516" s="21" t="n">
        <v>46049</v>
      </c>
      <c r="B1516" t="n">
        <v>1.253e-08</v>
      </c>
    </row>
    <row r="1517">
      <c r="A1517" s="21" t="n">
        <v>46050</v>
      </c>
      <c r="B1517" t="n">
        <v>1.103e-08</v>
      </c>
    </row>
    <row r="1518">
      <c r="A1518" s="21" t="n">
        <v>46051</v>
      </c>
      <c r="B1518" t="n">
        <v>2.852e-08</v>
      </c>
    </row>
    <row r="1519">
      <c r="A1519" s="21" t="n">
        <v>46052</v>
      </c>
      <c r="B1519" t="n">
        <v>9.629e-08</v>
      </c>
    </row>
    <row r="1520">
      <c r="A1520" s="21" t="n">
        <v>46055</v>
      </c>
      <c r="B1520" t="n">
        <v>1.0415e-07</v>
      </c>
    </row>
    <row r="1521">
      <c r="A1521" s="21" t="n">
        <v>46056</v>
      </c>
      <c r="B1521" t="n">
        <v>1.785e-08</v>
      </c>
    </row>
    <row r="1522">
      <c r="A1522" s="21" t="n">
        <v>46057</v>
      </c>
      <c r="B1522" t="n">
        <v>2.414e-08</v>
      </c>
    </row>
    <row r="1523">
      <c r="A1523" s="21" t="n">
        <v>46058</v>
      </c>
      <c r="B1523" t="n">
        <v>1.748e-08</v>
      </c>
    </row>
    <row r="1524">
      <c r="A1524" s="21" t="n">
        <v>46059</v>
      </c>
      <c r="B1524" t="n">
        <v>3.111000000000001e-08</v>
      </c>
    </row>
    <row r="1525">
      <c r="A1525" s="21" t="n">
        <v>46062</v>
      </c>
      <c r="B1525" t="n">
        <v>1.306e-08</v>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1"/>
  <sheetViews>
    <sheetView tabSelected="1" workbookViewId="0">
      <selection activeCell="M24" sqref="M24"/>
    </sheetView>
  </sheetViews>
  <sheetFormatPr baseColWidth="8" defaultRowHeight="14.4"/>
  <sheetData>
    <row r="1">
      <c r="A1" t="inlineStr">
        <is>
          <t>symbol</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2" customWidth="1" style="25" min="1" max="1"/>
    <col width="60" customWidth="1" style="25" min="2" max="2"/>
  </cols>
  <sheetData>
    <row r="1">
      <c r="A1" s="47" t="inlineStr">
        <is>
          <t>API Keys / 参数配置</t>
        </is>
      </c>
    </row>
    <row r="2">
      <c r="A2" s="47" t="inlineStr">
        <is>
          <t>Finnhub_API_Key</t>
        </is>
      </c>
      <c r="B2" t="inlineStr">
        <is>
          <t>d65ul8pr01qiish14p3gd65ul8pr01qiish14p40</t>
        </is>
      </c>
    </row>
    <row r="4">
      <c r="A4" s="47" t="inlineStr">
        <is>
          <t>Tickers (Mag7)</t>
        </is>
      </c>
    </row>
    <row r="5">
      <c r="A5" t="inlineStr">
        <is>
          <t>AAPL</t>
        </is>
      </c>
    </row>
    <row r="6">
      <c r="A6" t="inlineStr">
        <is>
          <t>MSFT</t>
        </is>
      </c>
    </row>
    <row r="7">
      <c r="A7" t="inlineStr">
        <is>
          <t>NVDA</t>
        </is>
      </c>
    </row>
    <row r="8">
      <c r="A8" t="inlineStr">
        <is>
          <t>GOOGL</t>
        </is>
      </c>
    </row>
    <row r="9">
      <c r="A9" t="inlineStr">
        <is>
          <t>AMZN</t>
        </is>
      </c>
    </row>
    <row r="10">
      <c r="A10" t="inlineStr">
        <is>
          <t>META</t>
        </is>
      </c>
    </row>
    <row r="11">
      <c r="A11" t="inlineStr">
        <is>
          <t>TSLA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cols>
    <col width="12" customWidth="1" style="25" min="1" max="1"/>
    <col width="12" customWidth="1" style="25" min="2" max="2"/>
    <col width="12" customWidth="1" style="25" min="3" max="3"/>
    <col width="14" customWidth="1" style="25" min="4" max="4"/>
    <col width="14" customWidth="1" style="25" min="5" max="5"/>
    <col width="12" customWidth="1" style="25" min="6" max="6"/>
    <col width="14" customWidth="1" style="25" min="7" max="7"/>
  </cols>
  <sheetData>
    <row r="1">
      <c r="A1" t="inlineStr">
        <is>
          <t>symbol</t>
        </is>
      </c>
      <c r="B1" t="inlineStr">
        <is>
          <t>period</t>
        </is>
      </c>
      <c r="C1" t="inlineStr">
        <is>
          <t>actual_eps</t>
        </is>
      </c>
      <c r="D1" t="inlineStr">
        <is>
          <t>estimate_eps</t>
        </is>
      </c>
      <c r="E1" t="inlineStr">
        <is>
          <t>surprise_pct</t>
        </is>
      </c>
      <c r="F1" t="inlineStr">
        <is>
          <t>rank</t>
        </is>
      </c>
      <c r="G1" t="inlineStr">
        <is>
          <t>key_sym_rank</t>
        </is>
      </c>
    </row>
    <row r="2">
      <c r="F2">
        <f>IF(A2="","",COUNTIF($A$2:A2,A2))</f>
        <v/>
      </c>
      <c r="G2">
        <f>IF(A2="","",A2&amp;"|"&amp;F2)</f>
        <v/>
      </c>
    </row>
    <row r="3">
      <c r="F3">
        <f>IF(A3="","",COUNTIF($A$2:A3,A3))</f>
        <v/>
      </c>
      <c r="G3">
        <f>IF(A3="","",A3&amp;"|"&amp;F3)</f>
        <v/>
      </c>
    </row>
    <row r="4">
      <c r="F4">
        <f>IF(A4="","",COUNTIF($A$2:A4,A4))</f>
        <v/>
      </c>
      <c r="G4">
        <f>IF(A4="","",A4&amp;"|"&amp;F4)</f>
        <v/>
      </c>
    </row>
    <row r="5">
      <c r="F5">
        <f>IF(A5="","",COUNTIF($A$2:A5,A5))</f>
        <v/>
      </c>
      <c r="G5">
        <f>IF(A5="","",A5&amp;"|"&amp;F5)</f>
        <v/>
      </c>
    </row>
    <row r="6">
      <c r="F6">
        <f>IF(A6="","",COUNTIF($A$2:A6,A6))</f>
        <v/>
      </c>
      <c r="G6">
        <f>IF(A6="","",A6&amp;"|"&amp;F6)</f>
        <v/>
      </c>
    </row>
    <row r="7">
      <c r="F7">
        <f>IF(A7="","",COUNTIF($A$2:A7,A7))</f>
        <v/>
      </c>
      <c r="G7">
        <f>IF(A7="","",A7&amp;"|"&amp;F7)</f>
        <v/>
      </c>
    </row>
    <row r="8">
      <c r="F8">
        <f>IF(A8="","",COUNTIF($A$2:A8,A8))</f>
        <v/>
      </c>
      <c r="G8">
        <f>IF(A8="","",A8&amp;"|"&amp;F8)</f>
        <v/>
      </c>
    </row>
    <row r="9">
      <c r="F9">
        <f>IF(A9="","",COUNTIF($A$2:A9,A9))</f>
        <v/>
      </c>
      <c r="G9">
        <f>IF(A9="","",A9&amp;"|"&amp;F9)</f>
        <v/>
      </c>
    </row>
    <row r="10">
      <c r="F10">
        <f>IF(A10="","",COUNTIF($A$2:A10,A10))</f>
        <v/>
      </c>
      <c r="G10">
        <f>IF(A10="","",A10&amp;"|"&amp;F10)</f>
        <v/>
      </c>
    </row>
    <row r="11">
      <c r="F11">
        <f>IF(A11="","",COUNTIF($A$2:A11,A11))</f>
        <v/>
      </c>
      <c r="G11">
        <f>IF(A11="","",A11&amp;"|"&amp;F11)</f>
        <v/>
      </c>
    </row>
    <row r="12">
      <c r="F12">
        <f>IF(A12="","",COUNTIF($A$2:A12,A12))</f>
        <v/>
      </c>
      <c r="G12">
        <f>IF(A12="","",A12&amp;"|"&amp;F12)</f>
        <v/>
      </c>
    </row>
    <row r="13">
      <c r="F13">
        <f>IF(A13="","",COUNTIF($A$2:A13,A13))</f>
        <v/>
      </c>
      <c r="G13">
        <f>IF(A13="","",A13&amp;"|"&amp;F13)</f>
        <v/>
      </c>
    </row>
    <row r="14">
      <c r="F14">
        <f>IF(A14="","",COUNTIF($A$2:A14,A14))</f>
        <v/>
      </c>
      <c r="G14">
        <f>IF(A14="","",A14&amp;"|"&amp;F14)</f>
        <v/>
      </c>
    </row>
    <row r="15">
      <c r="F15">
        <f>IF(A15="","",COUNTIF($A$2:A15,A15))</f>
        <v/>
      </c>
      <c r="G15">
        <f>IF(A15="","",A15&amp;"|"&amp;F15)</f>
        <v/>
      </c>
    </row>
    <row r="16">
      <c r="F16">
        <f>IF(A16="","",COUNTIF($A$2:A16,A16))</f>
        <v/>
      </c>
      <c r="G16">
        <f>IF(A16="","",A16&amp;"|"&amp;F16)</f>
        <v/>
      </c>
    </row>
    <row r="17">
      <c r="F17">
        <f>IF(A17="","",COUNTIF($A$2:A17,A17))</f>
        <v/>
      </c>
      <c r="G17">
        <f>IF(A17="","",A17&amp;"|"&amp;F17)</f>
        <v/>
      </c>
    </row>
    <row r="18">
      <c r="F18">
        <f>IF(A18="","",COUNTIF($A$2:A18,A18))</f>
        <v/>
      </c>
      <c r="G18">
        <f>IF(A18="","",A18&amp;"|"&amp;F18)</f>
        <v/>
      </c>
    </row>
    <row r="19">
      <c r="F19">
        <f>IF(A19="","",COUNTIF($A$2:A19,A19))</f>
        <v/>
      </c>
      <c r="G19">
        <f>IF(A19="","",A19&amp;"|"&amp;F19)</f>
        <v/>
      </c>
    </row>
    <row r="20">
      <c r="F20">
        <f>IF(A20="","",COUNTIF($A$2:A20,A20))</f>
        <v/>
      </c>
      <c r="G20">
        <f>IF(A20="","",A20&amp;"|"&amp;F20)</f>
        <v/>
      </c>
    </row>
    <row r="21">
      <c r="F21">
        <f>IF(A21="","",COUNTIF($A$2:A21,A21))</f>
        <v/>
      </c>
      <c r="G21">
        <f>IF(A21="","",A21&amp;"|"&amp;F21)</f>
        <v/>
      </c>
    </row>
    <row r="22">
      <c r="F22">
        <f>IF(A22="","",COUNTIF($A$2:A22,A22))</f>
        <v/>
      </c>
      <c r="G22">
        <f>IF(A22="","",A22&amp;"|"&amp;F22)</f>
        <v/>
      </c>
    </row>
    <row r="23">
      <c r="F23">
        <f>IF(A23="","",COUNTIF($A$2:A23,A23))</f>
        <v/>
      </c>
      <c r="G23">
        <f>IF(A23="","",A23&amp;"|"&amp;F23)</f>
        <v/>
      </c>
    </row>
    <row r="24">
      <c r="F24">
        <f>IF(A24="","",COUNTIF($A$2:A24,A24))</f>
        <v/>
      </c>
      <c r="G24">
        <f>IF(A24="","",A24&amp;"|"&amp;F24)</f>
        <v/>
      </c>
    </row>
    <row r="25">
      <c r="F25">
        <f>IF(A25="","",COUNTIF($A$2:A25,A25))</f>
        <v/>
      </c>
      <c r="G25">
        <f>IF(A25="","",A25&amp;"|"&amp;F25)</f>
        <v/>
      </c>
    </row>
    <row r="26">
      <c r="F26">
        <f>IF(A26="","",COUNTIF($A$2:A26,A26))</f>
        <v/>
      </c>
      <c r="G26">
        <f>IF(A26="","",A26&amp;"|"&amp;F26)</f>
        <v/>
      </c>
    </row>
    <row r="27">
      <c r="F27">
        <f>IF(A27="","",COUNTIF($A$2:A27,A27))</f>
        <v/>
      </c>
      <c r="G27">
        <f>IF(A27="","",A27&amp;"|"&amp;F27)</f>
        <v/>
      </c>
    </row>
    <row r="28">
      <c r="F28">
        <f>IF(A28="","",COUNTIF($A$2:A28,A28))</f>
        <v/>
      </c>
      <c r="G28">
        <f>IF(A28="","",A28&amp;"|"&amp;F28)</f>
        <v/>
      </c>
    </row>
    <row r="29">
      <c r="F29">
        <f>IF(A29="","",COUNTIF($A$2:A29,A29))</f>
        <v/>
      </c>
      <c r="G29">
        <f>IF(A29="","",A29&amp;"|"&amp;F29)</f>
        <v/>
      </c>
    </row>
    <row r="30">
      <c r="F30">
        <f>IF(A30="","",COUNTIF($A$2:A30,A30))</f>
        <v/>
      </c>
      <c r="G30">
        <f>IF(A30="","",A30&amp;"|"&amp;F30)</f>
        <v/>
      </c>
    </row>
    <row r="31">
      <c r="F31">
        <f>IF(A31="","",COUNTIF($A$2:A31,A31))</f>
        <v/>
      </c>
      <c r="G31">
        <f>IF(A31="","",A31&amp;"|"&amp;F31)</f>
        <v/>
      </c>
    </row>
    <row r="32">
      <c r="F32">
        <f>IF(A32="","",COUNTIF($A$2:A32,A32))</f>
        <v/>
      </c>
      <c r="G32">
        <f>IF(A32="","",A32&amp;"|"&amp;F32)</f>
        <v/>
      </c>
    </row>
    <row r="33">
      <c r="F33">
        <f>IF(A33="","",COUNTIF($A$2:A33,A33))</f>
        <v/>
      </c>
      <c r="G33">
        <f>IF(A33="","",A33&amp;"|"&amp;F33)</f>
        <v/>
      </c>
    </row>
    <row r="34">
      <c r="F34">
        <f>IF(A34="","",COUNTIF($A$2:A34,A34))</f>
        <v/>
      </c>
      <c r="G34">
        <f>IF(A34="","",A34&amp;"|"&amp;F34)</f>
        <v/>
      </c>
    </row>
    <row r="35">
      <c r="F35">
        <f>IF(A35="","",COUNTIF($A$2:A35,A35))</f>
        <v/>
      </c>
      <c r="G35">
        <f>IF(A35="","",A35&amp;"|"&amp;F35)</f>
        <v/>
      </c>
    </row>
    <row r="36">
      <c r="F36">
        <f>IF(A36="","",COUNTIF($A$2:A36,A36))</f>
        <v/>
      </c>
      <c r="G36">
        <f>IF(A36="","",A36&amp;"|"&amp;F36)</f>
        <v/>
      </c>
    </row>
    <row r="37">
      <c r="F37">
        <f>IF(A37="","",COUNTIF($A$2:A37,A37))</f>
        <v/>
      </c>
      <c r="G37">
        <f>IF(A37="","",A37&amp;"|"&amp;F37)</f>
        <v/>
      </c>
    </row>
    <row r="38">
      <c r="F38">
        <f>IF(A38="","",COUNTIF($A$2:A38,A38))</f>
        <v/>
      </c>
      <c r="G38">
        <f>IF(A38="","",A38&amp;"|"&amp;F38)</f>
        <v/>
      </c>
    </row>
    <row r="39">
      <c r="F39">
        <f>IF(A39="","",COUNTIF($A$2:A39,A39))</f>
        <v/>
      </c>
      <c r="G39">
        <f>IF(A39="","",A39&amp;"|"&amp;F39)</f>
        <v/>
      </c>
    </row>
    <row r="40">
      <c r="F40">
        <f>IF(A40="","",COUNTIF($A$2:A40,A40))</f>
        <v/>
      </c>
      <c r="G40">
        <f>IF(A40="","",A40&amp;"|"&amp;F40)</f>
        <v/>
      </c>
    </row>
    <row r="41">
      <c r="F41">
        <f>IF(A41="","",COUNTIF($A$2:A41,A41))</f>
        <v/>
      </c>
      <c r="G41">
        <f>IF(A41="","",A41&amp;"|"&amp;F41)</f>
        <v/>
      </c>
    </row>
    <row r="42">
      <c r="F42">
        <f>IF(A42="","",COUNTIF($A$2:A42,A42))</f>
        <v/>
      </c>
      <c r="G42">
        <f>IF(A42="","",A42&amp;"|"&amp;F42)</f>
        <v/>
      </c>
    </row>
    <row r="43">
      <c r="F43">
        <f>IF(A43="","",COUNTIF($A$2:A43,A43))</f>
        <v/>
      </c>
      <c r="G43">
        <f>IF(A43="","",A43&amp;"|"&amp;F43)</f>
        <v/>
      </c>
    </row>
    <row r="44">
      <c r="F44">
        <f>IF(A44="","",COUNTIF($A$2:A44,A44))</f>
        <v/>
      </c>
      <c r="G44">
        <f>IF(A44="","",A44&amp;"|"&amp;F44)</f>
        <v/>
      </c>
    </row>
    <row r="45">
      <c r="F45">
        <f>IF(A45="","",COUNTIF($A$2:A45,A45))</f>
        <v/>
      </c>
      <c r="G45">
        <f>IF(A45="","",A45&amp;"|"&amp;F45)</f>
        <v/>
      </c>
    </row>
    <row r="46">
      <c r="F46">
        <f>IF(A46="","",COUNTIF($A$2:A46,A46))</f>
        <v/>
      </c>
      <c r="G46">
        <f>IF(A46="","",A46&amp;"|"&amp;F46)</f>
        <v/>
      </c>
    </row>
    <row r="47">
      <c r="F47">
        <f>IF(A47="","",COUNTIF($A$2:A47,A47))</f>
        <v/>
      </c>
      <c r="G47">
        <f>IF(A47="","",A47&amp;"|"&amp;F47)</f>
        <v/>
      </c>
    </row>
    <row r="48">
      <c r="F48">
        <f>IF(A48="","",COUNTIF($A$2:A48,A48))</f>
        <v/>
      </c>
      <c r="G48">
        <f>IF(A48="","",A48&amp;"|"&amp;F48)</f>
        <v/>
      </c>
    </row>
    <row r="49">
      <c r="F49">
        <f>IF(A49="","",COUNTIF($A$2:A49,A49))</f>
        <v/>
      </c>
      <c r="G49">
        <f>IF(A49="","",A49&amp;"|"&amp;F49)</f>
        <v/>
      </c>
    </row>
    <row r="50">
      <c r="F50">
        <f>IF(A50="","",COUNTIF($A$2:A50,A50))</f>
        <v/>
      </c>
      <c r="G50">
        <f>IF(A50="","",A50&amp;"|"&amp;F50)</f>
        <v/>
      </c>
    </row>
    <row r="51">
      <c r="F51">
        <f>IF(A51="","",COUNTIF($A$2:A51,A51))</f>
        <v/>
      </c>
      <c r="G51">
        <f>IF(A51="","",A51&amp;"|"&amp;F51)</f>
        <v/>
      </c>
    </row>
    <row r="52">
      <c r="F52">
        <f>IF(A52="","",COUNTIF($A$2:A52,A52))</f>
        <v/>
      </c>
      <c r="G52">
        <f>IF(A52="","",A52&amp;"|"&amp;F52)</f>
        <v/>
      </c>
    </row>
    <row r="53">
      <c r="F53">
        <f>IF(A53="","",COUNTIF($A$2:A53,A53))</f>
        <v/>
      </c>
      <c r="G53">
        <f>IF(A53="","",A53&amp;"|"&amp;F53)</f>
        <v/>
      </c>
    </row>
    <row r="54">
      <c r="F54">
        <f>IF(A54="","",COUNTIF($A$2:A54,A54))</f>
        <v/>
      </c>
      <c r="G54">
        <f>IF(A54="","",A54&amp;"|"&amp;F54)</f>
        <v/>
      </c>
    </row>
    <row r="55">
      <c r="F55">
        <f>IF(A55="","",COUNTIF($A$2:A55,A55))</f>
        <v/>
      </c>
      <c r="G55">
        <f>IF(A55="","",A55&amp;"|"&amp;F55)</f>
        <v/>
      </c>
    </row>
    <row r="56">
      <c r="F56">
        <f>IF(A56="","",COUNTIF($A$2:A56,A56))</f>
        <v/>
      </c>
      <c r="G56">
        <f>IF(A56="","",A56&amp;"|"&amp;F56)</f>
        <v/>
      </c>
    </row>
    <row r="57">
      <c r="F57">
        <f>IF(A57="","",COUNTIF($A$2:A57,A57))</f>
        <v/>
      </c>
      <c r="G57">
        <f>IF(A57="","",A57&amp;"|"&amp;F57)</f>
        <v/>
      </c>
    </row>
    <row r="58">
      <c r="F58">
        <f>IF(A58="","",COUNTIF($A$2:A58,A58))</f>
        <v/>
      </c>
      <c r="G58">
        <f>IF(A58="","",A58&amp;"|"&amp;F58)</f>
        <v/>
      </c>
    </row>
    <row r="59">
      <c r="F59">
        <f>IF(A59="","",COUNTIF($A$2:A59,A59))</f>
        <v/>
      </c>
      <c r="G59">
        <f>IF(A59="","",A59&amp;"|"&amp;F59)</f>
        <v/>
      </c>
    </row>
    <row r="60">
      <c r="F60">
        <f>IF(A60="","",COUNTIF($A$2:A60,A60))</f>
        <v/>
      </c>
      <c r="G60">
        <f>IF(A60="","",A60&amp;"|"&amp;F60)</f>
        <v/>
      </c>
    </row>
    <row r="61">
      <c r="F61">
        <f>IF(A61="","",COUNTIF($A$2:A61,A61))</f>
        <v/>
      </c>
      <c r="G61">
        <f>IF(A61="","",A61&amp;"|"&amp;F61)</f>
        <v/>
      </c>
    </row>
    <row r="62">
      <c r="F62">
        <f>IF(A62="","",COUNTIF($A$2:A62,A62))</f>
        <v/>
      </c>
      <c r="G62">
        <f>IF(A62="","",A62&amp;"|"&amp;F62)</f>
        <v/>
      </c>
    </row>
    <row r="63">
      <c r="F63">
        <f>IF(A63="","",COUNTIF($A$2:A63,A63))</f>
        <v/>
      </c>
      <c r="G63">
        <f>IF(A63="","",A63&amp;"|"&amp;F63)</f>
        <v/>
      </c>
    </row>
    <row r="64">
      <c r="F64">
        <f>IF(A64="","",COUNTIF($A$2:A64,A64))</f>
        <v/>
      </c>
      <c r="G64">
        <f>IF(A64="","",A64&amp;"|"&amp;F64)</f>
        <v/>
      </c>
    </row>
    <row r="65">
      <c r="F65">
        <f>IF(A65="","",COUNTIF($A$2:A65,A65))</f>
        <v/>
      </c>
      <c r="G65">
        <f>IF(A65="","",A65&amp;"|"&amp;F65)</f>
        <v/>
      </c>
    </row>
    <row r="66">
      <c r="F66">
        <f>IF(A66="","",COUNTIF($A$2:A66,A66))</f>
        <v/>
      </c>
      <c r="G66">
        <f>IF(A66="","",A66&amp;"|"&amp;F66)</f>
        <v/>
      </c>
    </row>
    <row r="67">
      <c r="F67">
        <f>IF(A67="","",COUNTIF($A$2:A67,A67))</f>
        <v/>
      </c>
      <c r="G67">
        <f>IF(A67="","",A67&amp;"|"&amp;F67)</f>
        <v/>
      </c>
    </row>
    <row r="68">
      <c r="F68">
        <f>IF(A68="","",COUNTIF($A$2:A68,A68))</f>
        <v/>
      </c>
      <c r="G68">
        <f>IF(A68="","",A68&amp;"|"&amp;F68)</f>
        <v/>
      </c>
    </row>
    <row r="69">
      <c r="F69">
        <f>IF(A69="","",COUNTIF($A$2:A69,A69))</f>
        <v/>
      </c>
      <c r="G69">
        <f>IF(A69="","",A69&amp;"|"&amp;F69)</f>
        <v/>
      </c>
    </row>
    <row r="70">
      <c r="F70">
        <f>IF(A70="","",COUNTIF($A$2:A70,A70))</f>
        <v/>
      </c>
      <c r="G70">
        <f>IF(A70="","",A70&amp;"|"&amp;F70)</f>
        <v/>
      </c>
    </row>
    <row r="71">
      <c r="F71">
        <f>IF(A71="","",COUNTIF($A$2:A71,A71))</f>
        <v/>
      </c>
      <c r="G71">
        <f>IF(A71="","",A71&amp;"|"&amp;F71)</f>
        <v/>
      </c>
    </row>
    <row r="72">
      <c r="F72">
        <f>IF(A72="","",COUNTIF($A$2:A72,A72))</f>
        <v/>
      </c>
      <c r="G72">
        <f>IF(A72="","",A72&amp;"|"&amp;F72)</f>
        <v/>
      </c>
    </row>
    <row r="73">
      <c r="F73">
        <f>IF(A73="","",COUNTIF($A$2:A73,A73))</f>
        <v/>
      </c>
      <c r="G73">
        <f>IF(A73="","",A73&amp;"|"&amp;F73)</f>
        <v/>
      </c>
    </row>
    <row r="74">
      <c r="F74">
        <f>IF(A74="","",COUNTIF($A$2:A74,A74))</f>
        <v/>
      </c>
      <c r="G74">
        <f>IF(A74="","",A74&amp;"|"&amp;F74)</f>
        <v/>
      </c>
    </row>
    <row r="75">
      <c r="F75">
        <f>IF(A75="","",COUNTIF($A$2:A75,A75))</f>
        <v/>
      </c>
      <c r="G75">
        <f>IF(A75="","",A75&amp;"|"&amp;F75)</f>
        <v/>
      </c>
    </row>
    <row r="76">
      <c r="F76">
        <f>IF(A76="","",COUNTIF($A$2:A76,A76))</f>
        <v/>
      </c>
      <c r="G76">
        <f>IF(A76="","",A76&amp;"|"&amp;F76)</f>
        <v/>
      </c>
    </row>
    <row r="77">
      <c r="F77">
        <f>IF(A77="","",COUNTIF($A$2:A77,A77))</f>
        <v/>
      </c>
      <c r="G77">
        <f>IF(A77="","",A77&amp;"|"&amp;F77)</f>
        <v/>
      </c>
    </row>
    <row r="78">
      <c r="F78">
        <f>IF(A78="","",COUNTIF($A$2:A78,A78))</f>
        <v/>
      </c>
      <c r="G78">
        <f>IF(A78="","",A78&amp;"|"&amp;F78)</f>
        <v/>
      </c>
    </row>
    <row r="79">
      <c r="F79">
        <f>IF(A79="","",COUNTIF($A$2:A79,A79))</f>
        <v/>
      </c>
      <c r="G79">
        <f>IF(A79="","",A79&amp;"|"&amp;F79)</f>
        <v/>
      </c>
    </row>
    <row r="80">
      <c r="F80">
        <f>IF(A80="","",COUNTIF($A$2:A80,A80))</f>
        <v/>
      </c>
      <c r="G80">
        <f>IF(A80="","",A80&amp;"|"&amp;F80)</f>
        <v/>
      </c>
    </row>
    <row r="81">
      <c r="F81">
        <f>IF(A81="","",COUNTIF($A$2:A81,A81))</f>
        <v/>
      </c>
      <c r="G81">
        <f>IF(A81="","",A81&amp;"|"&amp;F81)</f>
        <v/>
      </c>
    </row>
    <row r="82">
      <c r="F82">
        <f>IF(A82="","",COUNTIF($A$2:A82,A82))</f>
        <v/>
      </c>
      <c r="G82">
        <f>IF(A82="","",A82&amp;"|"&amp;F82)</f>
        <v/>
      </c>
    </row>
    <row r="83">
      <c r="F83">
        <f>IF(A83="","",COUNTIF($A$2:A83,A83))</f>
        <v/>
      </c>
      <c r="G83">
        <f>IF(A83="","",A83&amp;"|"&amp;F83)</f>
        <v/>
      </c>
    </row>
    <row r="84">
      <c r="F84">
        <f>IF(A84="","",COUNTIF($A$2:A84,A84))</f>
        <v/>
      </c>
      <c r="G84">
        <f>IF(A84="","",A84&amp;"|"&amp;F84)</f>
        <v/>
      </c>
    </row>
    <row r="85">
      <c r="F85">
        <f>IF(A85="","",COUNTIF($A$2:A85,A85))</f>
        <v/>
      </c>
      <c r="G85">
        <f>IF(A85="","",A85&amp;"|"&amp;F85)</f>
        <v/>
      </c>
    </row>
    <row r="86">
      <c r="F86">
        <f>IF(A86="","",COUNTIF($A$2:A86,A86))</f>
        <v/>
      </c>
      <c r="G86">
        <f>IF(A86="","",A86&amp;"|"&amp;F86)</f>
        <v/>
      </c>
    </row>
    <row r="87">
      <c r="F87">
        <f>IF(A87="","",COUNTIF($A$2:A87,A87))</f>
        <v/>
      </c>
      <c r="G87">
        <f>IF(A87="","",A87&amp;"|"&amp;F87)</f>
        <v/>
      </c>
    </row>
    <row r="88">
      <c r="F88">
        <f>IF(A88="","",COUNTIF($A$2:A88,A88))</f>
        <v/>
      </c>
      <c r="G88">
        <f>IF(A88="","",A88&amp;"|"&amp;F88)</f>
        <v/>
      </c>
    </row>
    <row r="89">
      <c r="F89">
        <f>IF(A89="","",COUNTIF($A$2:A89,A89))</f>
        <v/>
      </c>
      <c r="G89">
        <f>IF(A89="","",A89&amp;"|"&amp;F89)</f>
        <v/>
      </c>
    </row>
    <row r="90">
      <c r="F90">
        <f>IF(A90="","",COUNTIF($A$2:A90,A90))</f>
        <v/>
      </c>
      <c r="G90">
        <f>IF(A90="","",A90&amp;"|"&amp;F90)</f>
        <v/>
      </c>
    </row>
    <row r="91">
      <c r="F91">
        <f>IF(A91="","",COUNTIF($A$2:A91,A91))</f>
        <v/>
      </c>
      <c r="G91">
        <f>IF(A91="","",A91&amp;"|"&amp;F91)</f>
        <v/>
      </c>
    </row>
    <row r="92">
      <c r="F92">
        <f>IF(A92="","",COUNTIF($A$2:A92,A92))</f>
        <v/>
      </c>
      <c r="G92">
        <f>IF(A92="","",A92&amp;"|"&amp;F92)</f>
        <v/>
      </c>
    </row>
    <row r="93">
      <c r="F93">
        <f>IF(A93="","",COUNTIF($A$2:A93,A93))</f>
        <v/>
      </c>
      <c r="G93">
        <f>IF(A93="","",A93&amp;"|"&amp;F93)</f>
        <v/>
      </c>
    </row>
    <row r="94">
      <c r="F94">
        <f>IF(A94="","",COUNTIF($A$2:A94,A94))</f>
        <v/>
      </c>
      <c r="G94">
        <f>IF(A94="","",A94&amp;"|"&amp;F94)</f>
        <v/>
      </c>
    </row>
    <row r="95">
      <c r="F95">
        <f>IF(A95="","",COUNTIF($A$2:A95,A95))</f>
        <v/>
      </c>
      <c r="G95">
        <f>IF(A95="","",A95&amp;"|"&amp;F95)</f>
        <v/>
      </c>
    </row>
    <row r="96">
      <c r="F96">
        <f>IF(A96="","",COUNTIF($A$2:A96,A96))</f>
        <v/>
      </c>
      <c r="G96">
        <f>IF(A96="","",A96&amp;"|"&amp;F96)</f>
        <v/>
      </c>
    </row>
    <row r="97">
      <c r="F97">
        <f>IF(A97="","",COUNTIF($A$2:A97,A97))</f>
        <v/>
      </c>
      <c r="G97">
        <f>IF(A97="","",A97&amp;"|"&amp;F97)</f>
        <v/>
      </c>
    </row>
    <row r="98">
      <c r="F98">
        <f>IF(A98="","",COUNTIF($A$2:A98,A98))</f>
        <v/>
      </c>
      <c r="G98">
        <f>IF(A98="","",A98&amp;"|"&amp;F98)</f>
        <v/>
      </c>
    </row>
    <row r="99">
      <c r="F99">
        <f>IF(A99="","",COUNTIF($A$2:A99,A99))</f>
        <v/>
      </c>
      <c r="G99">
        <f>IF(A99="","",A99&amp;"|"&amp;F99)</f>
        <v/>
      </c>
    </row>
    <row r="100">
      <c r="F100">
        <f>IF(A100="","",COUNTIF($A$2:A100,A100))</f>
        <v/>
      </c>
      <c r="G100">
        <f>IF(A100="","",A100&amp;"|"&amp;F100)</f>
        <v/>
      </c>
    </row>
    <row r="101">
      <c r="F101">
        <f>IF(A101="","",COUNTIF($A$2:A101,A101))</f>
        <v/>
      </c>
      <c r="G101">
        <f>IF(A101="","",A101&amp;"|"&amp;F101)</f>
        <v/>
      </c>
    </row>
    <row r="102">
      <c r="F102">
        <f>IF(A102="","",COUNTIF($A$2:A102,A102))</f>
        <v/>
      </c>
      <c r="G102">
        <f>IF(A102="","",A102&amp;"|"&amp;F102)</f>
        <v/>
      </c>
    </row>
    <row r="103">
      <c r="F103">
        <f>IF(A103="","",COUNTIF($A$2:A103,A103))</f>
        <v/>
      </c>
      <c r="G103">
        <f>IF(A103="","",A103&amp;"|"&amp;F103)</f>
        <v/>
      </c>
    </row>
    <row r="104">
      <c r="F104">
        <f>IF(A104="","",COUNTIF($A$2:A104,A104))</f>
        <v/>
      </c>
      <c r="G104">
        <f>IF(A104="","",A104&amp;"|"&amp;F104)</f>
        <v/>
      </c>
    </row>
    <row r="105">
      <c r="F105">
        <f>IF(A105="","",COUNTIF($A$2:A105,A105))</f>
        <v/>
      </c>
      <c r="G105">
        <f>IF(A105="","",A105&amp;"|"&amp;F105)</f>
        <v/>
      </c>
    </row>
    <row r="106">
      <c r="F106">
        <f>IF(A106="","",COUNTIF($A$2:A106,A106))</f>
        <v/>
      </c>
      <c r="G106">
        <f>IF(A106="","",A106&amp;"|"&amp;F106)</f>
        <v/>
      </c>
    </row>
    <row r="107">
      <c r="F107">
        <f>IF(A107="","",COUNTIF($A$2:A107,A107))</f>
        <v/>
      </c>
      <c r="G107">
        <f>IF(A107="","",A107&amp;"|"&amp;F107)</f>
        <v/>
      </c>
    </row>
    <row r="108">
      <c r="F108">
        <f>IF(A108="","",COUNTIF($A$2:A108,A108))</f>
        <v/>
      </c>
      <c r="G108">
        <f>IF(A108="","",A108&amp;"|"&amp;F108)</f>
        <v/>
      </c>
    </row>
    <row r="109">
      <c r="F109">
        <f>IF(A109="","",COUNTIF($A$2:A109,A109))</f>
        <v/>
      </c>
      <c r="G109">
        <f>IF(A109="","",A109&amp;"|"&amp;F109)</f>
        <v/>
      </c>
    </row>
    <row r="110">
      <c r="F110">
        <f>IF(A110="","",COUNTIF($A$2:A110,A110))</f>
        <v/>
      </c>
      <c r="G110">
        <f>IF(A110="","",A110&amp;"|"&amp;F110)</f>
        <v/>
      </c>
    </row>
    <row r="111">
      <c r="F111">
        <f>IF(A111="","",COUNTIF($A$2:A111,A111))</f>
        <v/>
      </c>
      <c r="G111">
        <f>IF(A111="","",A111&amp;"|"&amp;F111)</f>
        <v/>
      </c>
    </row>
    <row r="112">
      <c r="F112">
        <f>IF(A112="","",COUNTIF($A$2:A112,A112))</f>
        <v/>
      </c>
      <c r="G112">
        <f>IF(A112="","",A112&amp;"|"&amp;F112)</f>
        <v/>
      </c>
    </row>
    <row r="113">
      <c r="F113">
        <f>IF(A113="","",COUNTIF($A$2:A113,A113))</f>
        <v/>
      </c>
      <c r="G113">
        <f>IF(A113="","",A113&amp;"|"&amp;F113)</f>
        <v/>
      </c>
    </row>
    <row r="114">
      <c r="F114">
        <f>IF(A114="","",COUNTIF($A$2:A114,A114))</f>
        <v/>
      </c>
      <c r="G114">
        <f>IF(A114="","",A114&amp;"|"&amp;F114)</f>
        <v/>
      </c>
    </row>
    <row r="115">
      <c r="F115">
        <f>IF(A115="","",COUNTIF($A$2:A115,A115))</f>
        <v/>
      </c>
      <c r="G115">
        <f>IF(A115="","",A115&amp;"|"&amp;F115)</f>
        <v/>
      </c>
    </row>
    <row r="116">
      <c r="F116">
        <f>IF(A116="","",COUNTIF($A$2:A116,A116))</f>
        <v/>
      </c>
      <c r="G116">
        <f>IF(A116="","",A116&amp;"|"&amp;F116)</f>
        <v/>
      </c>
    </row>
    <row r="117">
      <c r="F117">
        <f>IF(A117="","",COUNTIF($A$2:A117,A117))</f>
        <v/>
      </c>
      <c r="G117">
        <f>IF(A117="","",A117&amp;"|"&amp;F117)</f>
        <v/>
      </c>
    </row>
    <row r="118">
      <c r="F118">
        <f>IF(A118="","",COUNTIF($A$2:A118,A118))</f>
        <v/>
      </c>
      <c r="G118">
        <f>IF(A118="","",A118&amp;"|"&amp;F118)</f>
        <v/>
      </c>
    </row>
    <row r="119">
      <c r="F119">
        <f>IF(A119="","",COUNTIF($A$2:A119,A119))</f>
        <v/>
      </c>
      <c r="G119">
        <f>IF(A119="","",A119&amp;"|"&amp;F119)</f>
        <v/>
      </c>
    </row>
    <row r="120">
      <c r="F120">
        <f>IF(A120="","",COUNTIF($A$2:A120,A120))</f>
        <v/>
      </c>
      <c r="G120">
        <f>IF(A120="","",A120&amp;"|"&amp;F120)</f>
        <v/>
      </c>
    </row>
    <row r="121">
      <c r="F121">
        <f>IF(A121="","",COUNTIF($A$2:A121,A121))</f>
        <v/>
      </c>
      <c r="G121">
        <f>IF(A121="","",A121&amp;"|"&amp;F121)</f>
        <v/>
      </c>
    </row>
    <row r="122">
      <c r="F122">
        <f>IF(A122="","",COUNTIF($A$2:A122,A122))</f>
        <v/>
      </c>
      <c r="G122">
        <f>IF(A122="","",A122&amp;"|"&amp;F122)</f>
        <v/>
      </c>
    </row>
    <row r="123">
      <c r="F123">
        <f>IF(A123="","",COUNTIF($A$2:A123,A123))</f>
        <v/>
      </c>
      <c r="G123">
        <f>IF(A123="","",A123&amp;"|"&amp;F123)</f>
        <v/>
      </c>
    </row>
    <row r="124">
      <c r="F124">
        <f>IF(A124="","",COUNTIF($A$2:A124,A124))</f>
        <v/>
      </c>
      <c r="G124">
        <f>IF(A124="","",A124&amp;"|"&amp;F124)</f>
        <v/>
      </c>
    </row>
    <row r="125">
      <c r="F125">
        <f>IF(A125="","",COUNTIF($A$2:A125,A125))</f>
        <v/>
      </c>
      <c r="G125">
        <f>IF(A125="","",A125&amp;"|"&amp;F125)</f>
        <v/>
      </c>
    </row>
    <row r="126">
      <c r="F126">
        <f>IF(A126="","",COUNTIF($A$2:A126,A126))</f>
        <v/>
      </c>
      <c r="G126">
        <f>IF(A126="","",A126&amp;"|"&amp;F126)</f>
        <v/>
      </c>
    </row>
    <row r="127">
      <c r="F127">
        <f>IF(A127="","",COUNTIF($A$2:A127,A127))</f>
        <v/>
      </c>
      <c r="G127">
        <f>IF(A127="","",A127&amp;"|"&amp;F127)</f>
        <v/>
      </c>
    </row>
    <row r="128">
      <c r="F128">
        <f>IF(A128="","",COUNTIF($A$2:A128,A128))</f>
        <v/>
      </c>
      <c r="G128">
        <f>IF(A128="","",A128&amp;"|"&amp;F128)</f>
        <v/>
      </c>
    </row>
    <row r="129">
      <c r="F129">
        <f>IF(A129="","",COUNTIF($A$2:A129,A129))</f>
        <v/>
      </c>
      <c r="G129">
        <f>IF(A129="","",A129&amp;"|"&amp;F129)</f>
        <v/>
      </c>
    </row>
    <row r="130">
      <c r="F130">
        <f>IF(A130="","",COUNTIF($A$2:A130,A130))</f>
        <v/>
      </c>
      <c r="G130">
        <f>IF(A130="","",A130&amp;"|"&amp;F130)</f>
        <v/>
      </c>
    </row>
    <row r="131">
      <c r="F131">
        <f>IF(A131="","",COUNTIF($A$2:A131,A131))</f>
        <v/>
      </c>
      <c r="G131">
        <f>IF(A131="","",A131&amp;"|"&amp;F131)</f>
        <v/>
      </c>
    </row>
    <row r="132">
      <c r="F132">
        <f>IF(A132="","",COUNTIF($A$2:A132,A132))</f>
        <v/>
      </c>
      <c r="G132">
        <f>IF(A132="","",A132&amp;"|"&amp;F132)</f>
        <v/>
      </c>
    </row>
    <row r="133">
      <c r="F133">
        <f>IF(A133="","",COUNTIF($A$2:A133,A133))</f>
        <v/>
      </c>
      <c r="G133">
        <f>IF(A133="","",A133&amp;"|"&amp;F133)</f>
        <v/>
      </c>
    </row>
    <row r="134">
      <c r="F134">
        <f>IF(A134="","",COUNTIF($A$2:A134,A134))</f>
        <v/>
      </c>
      <c r="G134">
        <f>IF(A134="","",A134&amp;"|"&amp;F134)</f>
        <v/>
      </c>
    </row>
    <row r="135">
      <c r="F135">
        <f>IF(A135="","",COUNTIF($A$2:A135,A135))</f>
        <v/>
      </c>
      <c r="G135">
        <f>IF(A135="","",A135&amp;"|"&amp;F135)</f>
        <v/>
      </c>
    </row>
    <row r="136">
      <c r="F136">
        <f>IF(A136="","",COUNTIF($A$2:A136,A136))</f>
        <v/>
      </c>
      <c r="G136">
        <f>IF(A136="","",A136&amp;"|"&amp;F136)</f>
        <v/>
      </c>
    </row>
    <row r="137">
      <c r="F137">
        <f>IF(A137="","",COUNTIF($A$2:A137,A137))</f>
        <v/>
      </c>
      <c r="G137">
        <f>IF(A137="","",A137&amp;"|"&amp;F137)</f>
        <v/>
      </c>
    </row>
    <row r="138">
      <c r="F138">
        <f>IF(A138="","",COUNTIF($A$2:A138,A138))</f>
        <v/>
      </c>
      <c r="G138">
        <f>IF(A138="","",A138&amp;"|"&amp;F138)</f>
        <v/>
      </c>
    </row>
    <row r="139">
      <c r="F139">
        <f>IF(A139="","",COUNTIF($A$2:A139,A139))</f>
        <v/>
      </c>
      <c r="G139">
        <f>IF(A139="","",A139&amp;"|"&amp;F139)</f>
        <v/>
      </c>
    </row>
    <row r="140">
      <c r="F140">
        <f>IF(A140="","",COUNTIF($A$2:A140,A140))</f>
        <v/>
      </c>
      <c r="G140">
        <f>IF(A140="","",A140&amp;"|"&amp;F140)</f>
        <v/>
      </c>
    </row>
    <row r="141">
      <c r="F141">
        <f>IF(A141="","",COUNTIF($A$2:A141,A141))</f>
        <v/>
      </c>
      <c r="G141">
        <f>IF(A141="","",A141&amp;"|"&amp;F141)</f>
        <v/>
      </c>
    </row>
    <row r="142">
      <c r="F142">
        <f>IF(A142="","",COUNTIF($A$2:A142,A142))</f>
        <v/>
      </c>
      <c r="G142">
        <f>IF(A142="","",A142&amp;"|"&amp;F142)</f>
        <v/>
      </c>
    </row>
    <row r="143">
      <c r="F143">
        <f>IF(A143="","",COUNTIF($A$2:A143,A143))</f>
        <v/>
      </c>
      <c r="G143">
        <f>IF(A143="","",A143&amp;"|"&amp;F143)</f>
        <v/>
      </c>
    </row>
    <row r="144">
      <c r="F144">
        <f>IF(A144="","",COUNTIF($A$2:A144,A144))</f>
        <v/>
      </c>
      <c r="G144">
        <f>IF(A144="","",A144&amp;"|"&amp;F144)</f>
        <v/>
      </c>
    </row>
    <row r="145">
      <c r="F145">
        <f>IF(A145="","",COUNTIF($A$2:A145,A145))</f>
        <v/>
      </c>
      <c r="G145">
        <f>IF(A145="","",A145&amp;"|"&amp;F145)</f>
        <v/>
      </c>
    </row>
    <row r="146">
      <c r="F146">
        <f>IF(A146="","",COUNTIF($A$2:A146,A146))</f>
        <v/>
      </c>
      <c r="G146">
        <f>IF(A146="","",A146&amp;"|"&amp;F146)</f>
        <v/>
      </c>
    </row>
    <row r="147">
      <c r="F147">
        <f>IF(A147="","",COUNTIF($A$2:A147,A147))</f>
        <v/>
      </c>
      <c r="G147">
        <f>IF(A147="","",A147&amp;"|"&amp;F147)</f>
        <v/>
      </c>
    </row>
    <row r="148">
      <c r="F148">
        <f>IF(A148="","",COUNTIF($A$2:A148,A148))</f>
        <v/>
      </c>
      <c r="G148">
        <f>IF(A148="","",A148&amp;"|"&amp;F148)</f>
        <v/>
      </c>
    </row>
    <row r="149">
      <c r="F149">
        <f>IF(A149="","",COUNTIF($A$2:A149,A149))</f>
        <v/>
      </c>
      <c r="G149">
        <f>IF(A149="","",A149&amp;"|"&amp;F149)</f>
        <v/>
      </c>
    </row>
    <row r="150">
      <c r="F150">
        <f>IF(A150="","",COUNTIF($A$2:A150,A150))</f>
        <v/>
      </c>
      <c r="G150">
        <f>IF(A150="","",A150&amp;"|"&amp;F150)</f>
        <v/>
      </c>
    </row>
    <row r="151">
      <c r="F151">
        <f>IF(A151="","",COUNTIF($A$2:A151,A151))</f>
        <v/>
      </c>
      <c r="G151">
        <f>IF(A151="","",A151&amp;"|"&amp;F151)</f>
        <v/>
      </c>
    </row>
    <row r="152">
      <c r="F152">
        <f>IF(A152="","",COUNTIF($A$2:A152,A152))</f>
        <v/>
      </c>
      <c r="G152">
        <f>IF(A152="","",A152&amp;"|"&amp;F152)</f>
        <v/>
      </c>
    </row>
    <row r="153">
      <c r="F153">
        <f>IF(A153="","",COUNTIF($A$2:A153,A153))</f>
        <v/>
      </c>
      <c r="G153">
        <f>IF(A153="","",A153&amp;"|"&amp;F153)</f>
        <v/>
      </c>
    </row>
    <row r="154">
      <c r="F154">
        <f>IF(A154="","",COUNTIF($A$2:A154,A154))</f>
        <v/>
      </c>
      <c r="G154">
        <f>IF(A154="","",A154&amp;"|"&amp;F154)</f>
        <v/>
      </c>
    </row>
    <row r="155">
      <c r="F155">
        <f>IF(A155="","",COUNTIF($A$2:A155,A155))</f>
        <v/>
      </c>
      <c r="G155">
        <f>IF(A155="","",A155&amp;"|"&amp;F155)</f>
        <v/>
      </c>
    </row>
    <row r="156">
      <c r="F156">
        <f>IF(A156="","",COUNTIF($A$2:A156,A156))</f>
        <v/>
      </c>
      <c r="G156">
        <f>IF(A156="","",A156&amp;"|"&amp;F156)</f>
        <v/>
      </c>
    </row>
    <row r="157">
      <c r="F157">
        <f>IF(A157="","",COUNTIF($A$2:A157,A157))</f>
        <v/>
      </c>
      <c r="G157">
        <f>IF(A157="","",A157&amp;"|"&amp;F157)</f>
        <v/>
      </c>
    </row>
    <row r="158">
      <c r="F158">
        <f>IF(A158="","",COUNTIF($A$2:A158,A158))</f>
        <v/>
      </c>
      <c r="G158">
        <f>IF(A158="","",A158&amp;"|"&amp;F158)</f>
        <v/>
      </c>
    </row>
    <row r="159">
      <c r="F159">
        <f>IF(A159="","",COUNTIF($A$2:A159,A159))</f>
        <v/>
      </c>
      <c r="G159">
        <f>IF(A159="","",A159&amp;"|"&amp;F159)</f>
        <v/>
      </c>
    </row>
    <row r="160">
      <c r="F160">
        <f>IF(A160="","",COUNTIF($A$2:A160,A160))</f>
        <v/>
      </c>
      <c r="G160">
        <f>IF(A160="","",A160&amp;"|"&amp;F160)</f>
        <v/>
      </c>
    </row>
    <row r="161">
      <c r="F161">
        <f>IF(A161="","",COUNTIF($A$2:A161,A161))</f>
        <v/>
      </c>
      <c r="G161">
        <f>IF(A161="","",A161&amp;"|"&amp;F161)</f>
        <v/>
      </c>
    </row>
    <row r="162">
      <c r="F162">
        <f>IF(A162="","",COUNTIF($A$2:A162,A162))</f>
        <v/>
      </c>
      <c r="G162">
        <f>IF(A162="","",A162&amp;"|"&amp;F162)</f>
        <v/>
      </c>
    </row>
    <row r="163">
      <c r="F163">
        <f>IF(A163="","",COUNTIF($A$2:A163,A163))</f>
        <v/>
      </c>
      <c r="G163">
        <f>IF(A163="","",A163&amp;"|"&amp;F163)</f>
        <v/>
      </c>
    </row>
    <row r="164">
      <c r="F164">
        <f>IF(A164="","",COUNTIF($A$2:A164,A164))</f>
        <v/>
      </c>
      <c r="G164">
        <f>IF(A164="","",A164&amp;"|"&amp;F164)</f>
        <v/>
      </c>
    </row>
    <row r="165">
      <c r="F165">
        <f>IF(A165="","",COUNTIF($A$2:A165,A165))</f>
        <v/>
      </c>
      <c r="G165">
        <f>IF(A165="","",A165&amp;"|"&amp;F165)</f>
        <v/>
      </c>
    </row>
    <row r="166">
      <c r="F166">
        <f>IF(A166="","",COUNTIF($A$2:A166,A166))</f>
        <v/>
      </c>
      <c r="G166">
        <f>IF(A166="","",A166&amp;"|"&amp;F166)</f>
        <v/>
      </c>
    </row>
    <row r="167">
      <c r="F167">
        <f>IF(A167="","",COUNTIF($A$2:A167,A167))</f>
        <v/>
      </c>
      <c r="G167">
        <f>IF(A167="","",A167&amp;"|"&amp;F167)</f>
        <v/>
      </c>
    </row>
    <row r="168">
      <c r="F168">
        <f>IF(A168="","",COUNTIF($A$2:A168,A168))</f>
        <v/>
      </c>
      <c r="G168">
        <f>IF(A168="","",A168&amp;"|"&amp;F168)</f>
        <v/>
      </c>
    </row>
    <row r="169">
      <c r="F169">
        <f>IF(A169="","",COUNTIF($A$2:A169,A169))</f>
        <v/>
      </c>
      <c r="G169">
        <f>IF(A169="","",A169&amp;"|"&amp;F169)</f>
        <v/>
      </c>
    </row>
    <row r="170">
      <c r="F170">
        <f>IF(A170="","",COUNTIF($A$2:A170,A170))</f>
        <v/>
      </c>
      <c r="G170">
        <f>IF(A170="","",A170&amp;"|"&amp;F170)</f>
        <v/>
      </c>
    </row>
    <row r="171">
      <c r="F171">
        <f>IF(A171="","",COUNTIF($A$2:A171,A171))</f>
        <v/>
      </c>
      <c r="G171">
        <f>IF(A171="","",A171&amp;"|"&amp;F171)</f>
        <v/>
      </c>
    </row>
    <row r="172">
      <c r="F172">
        <f>IF(A172="","",COUNTIF($A$2:A172,A172))</f>
        <v/>
      </c>
      <c r="G172">
        <f>IF(A172="","",A172&amp;"|"&amp;F172)</f>
        <v/>
      </c>
    </row>
    <row r="173">
      <c r="F173">
        <f>IF(A173="","",COUNTIF($A$2:A173,A173))</f>
        <v/>
      </c>
      <c r="G173">
        <f>IF(A173="","",A173&amp;"|"&amp;F173)</f>
        <v/>
      </c>
    </row>
    <row r="174">
      <c r="F174">
        <f>IF(A174="","",COUNTIF($A$2:A174,A174))</f>
        <v/>
      </c>
      <c r="G174">
        <f>IF(A174="","",A174&amp;"|"&amp;F174)</f>
        <v/>
      </c>
    </row>
    <row r="175">
      <c r="F175">
        <f>IF(A175="","",COUNTIF($A$2:A175,A175))</f>
        <v/>
      </c>
      <c r="G175">
        <f>IF(A175="","",A175&amp;"|"&amp;F175)</f>
        <v/>
      </c>
    </row>
    <row r="176">
      <c r="F176">
        <f>IF(A176="","",COUNTIF($A$2:A176,A176))</f>
        <v/>
      </c>
      <c r="G176">
        <f>IF(A176="","",A176&amp;"|"&amp;F176)</f>
        <v/>
      </c>
    </row>
    <row r="177">
      <c r="F177">
        <f>IF(A177="","",COUNTIF($A$2:A177,A177))</f>
        <v/>
      </c>
      <c r="G177">
        <f>IF(A177="","",A177&amp;"|"&amp;F177)</f>
        <v/>
      </c>
    </row>
    <row r="178">
      <c r="F178">
        <f>IF(A178="","",COUNTIF($A$2:A178,A178))</f>
        <v/>
      </c>
      <c r="G178">
        <f>IF(A178="","",A178&amp;"|"&amp;F178)</f>
        <v/>
      </c>
    </row>
    <row r="179">
      <c r="F179">
        <f>IF(A179="","",COUNTIF($A$2:A179,A179))</f>
        <v/>
      </c>
      <c r="G179">
        <f>IF(A179="","",A179&amp;"|"&amp;F179)</f>
        <v/>
      </c>
    </row>
    <row r="180">
      <c r="F180">
        <f>IF(A180="","",COUNTIF($A$2:A180,A180))</f>
        <v/>
      </c>
      <c r="G180">
        <f>IF(A180="","",A180&amp;"|"&amp;F180)</f>
        <v/>
      </c>
    </row>
    <row r="181">
      <c r="F181">
        <f>IF(A181="","",COUNTIF($A$2:A181,A181))</f>
        <v/>
      </c>
      <c r="G181">
        <f>IF(A181="","",A181&amp;"|"&amp;F181)</f>
        <v/>
      </c>
    </row>
    <row r="182">
      <c r="F182">
        <f>IF(A182="","",COUNTIF($A$2:A182,A182))</f>
        <v/>
      </c>
      <c r="G182">
        <f>IF(A182="","",A182&amp;"|"&amp;F182)</f>
        <v/>
      </c>
    </row>
    <row r="183">
      <c r="F183">
        <f>IF(A183="","",COUNTIF($A$2:A183,A183))</f>
        <v/>
      </c>
      <c r="G183">
        <f>IF(A183="","",A183&amp;"|"&amp;F183)</f>
        <v/>
      </c>
    </row>
    <row r="184">
      <c r="F184">
        <f>IF(A184="","",COUNTIF($A$2:A184,A184))</f>
        <v/>
      </c>
      <c r="G184">
        <f>IF(A184="","",A184&amp;"|"&amp;F184)</f>
        <v/>
      </c>
    </row>
    <row r="185">
      <c r="F185">
        <f>IF(A185="","",COUNTIF($A$2:A185,A185))</f>
        <v/>
      </c>
      <c r="G185">
        <f>IF(A185="","",A185&amp;"|"&amp;F185)</f>
        <v/>
      </c>
    </row>
    <row r="186">
      <c r="F186">
        <f>IF(A186="","",COUNTIF($A$2:A186,A186))</f>
        <v/>
      </c>
      <c r="G186">
        <f>IF(A186="","",A186&amp;"|"&amp;F186)</f>
        <v/>
      </c>
    </row>
    <row r="187">
      <c r="F187">
        <f>IF(A187="","",COUNTIF($A$2:A187,A187))</f>
        <v/>
      </c>
      <c r="G187">
        <f>IF(A187="","",A187&amp;"|"&amp;F187)</f>
        <v/>
      </c>
    </row>
    <row r="188">
      <c r="F188">
        <f>IF(A188="","",COUNTIF($A$2:A188,A188))</f>
        <v/>
      </c>
      <c r="G188">
        <f>IF(A188="","",A188&amp;"|"&amp;F188)</f>
        <v/>
      </c>
    </row>
    <row r="189">
      <c r="F189">
        <f>IF(A189="","",COUNTIF($A$2:A189,A189))</f>
        <v/>
      </c>
      <c r="G189">
        <f>IF(A189="","",A189&amp;"|"&amp;F189)</f>
        <v/>
      </c>
    </row>
    <row r="190">
      <c r="F190">
        <f>IF(A190="","",COUNTIF($A$2:A190,A190))</f>
        <v/>
      </c>
      <c r="G190">
        <f>IF(A190="","",A190&amp;"|"&amp;F190)</f>
        <v/>
      </c>
    </row>
    <row r="191">
      <c r="F191">
        <f>IF(A191="","",COUNTIF($A$2:A191,A191))</f>
        <v/>
      </c>
      <c r="G191">
        <f>IF(A191="","",A191&amp;"|"&amp;F191)</f>
        <v/>
      </c>
    </row>
    <row r="192">
      <c r="F192">
        <f>IF(A192="","",COUNTIF($A$2:A192,A192))</f>
        <v/>
      </c>
      <c r="G192">
        <f>IF(A192="","",A192&amp;"|"&amp;F192)</f>
        <v/>
      </c>
    </row>
    <row r="193">
      <c r="F193">
        <f>IF(A193="","",COUNTIF($A$2:A193,A193))</f>
        <v/>
      </c>
      <c r="G193">
        <f>IF(A193="","",A193&amp;"|"&amp;F193)</f>
        <v/>
      </c>
    </row>
    <row r="194">
      <c r="F194">
        <f>IF(A194="","",COUNTIF($A$2:A194,A194))</f>
        <v/>
      </c>
      <c r="G194">
        <f>IF(A194="","",A194&amp;"|"&amp;F194)</f>
        <v/>
      </c>
    </row>
    <row r="195">
      <c r="F195">
        <f>IF(A195="","",COUNTIF($A$2:A195,A195))</f>
        <v/>
      </c>
      <c r="G195">
        <f>IF(A195="","",A195&amp;"|"&amp;F195)</f>
        <v/>
      </c>
    </row>
    <row r="196">
      <c r="F196">
        <f>IF(A196="","",COUNTIF($A$2:A196,A196))</f>
        <v/>
      </c>
      <c r="G196">
        <f>IF(A196="","",A196&amp;"|"&amp;F196)</f>
        <v/>
      </c>
    </row>
    <row r="197">
      <c r="F197">
        <f>IF(A197="","",COUNTIF($A$2:A197,A197))</f>
        <v/>
      </c>
      <c r="G197">
        <f>IF(A197="","",A197&amp;"|"&amp;F197)</f>
        <v/>
      </c>
    </row>
    <row r="198">
      <c r="F198">
        <f>IF(A198="","",COUNTIF($A$2:A198,A198))</f>
        <v/>
      </c>
      <c r="G198">
        <f>IF(A198="","",A198&amp;"|"&amp;F198)</f>
        <v/>
      </c>
    </row>
    <row r="199">
      <c r="F199">
        <f>IF(A199="","",COUNTIF($A$2:A199,A199))</f>
        <v/>
      </c>
      <c r="G199">
        <f>IF(A199="","",A199&amp;"|"&amp;F199)</f>
        <v/>
      </c>
    </row>
    <row r="200">
      <c r="F200">
        <f>IF(A200="","",COUNTIF($A$2:A200,A200))</f>
        <v/>
      </c>
      <c r="G200">
        <f>IF(A200="","",A200&amp;"|"&amp;F200)</f>
        <v/>
      </c>
    </row>
    <row r="201">
      <c r="F201">
        <f>IF(A201="","",COUNTIF($A$2:A201,A201))</f>
        <v/>
      </c>
      <c r="G201">
        <f>IF(A201="","",A201&amp;"|"&amp;F201)</f>
        <v/>
      </c>
    </row>
    <row r="202">
      <c r="F202">
        <f>IF(A202="","",COUNTIF($A$2:A202,A202))</f>
        <v/>
      </c>
      <c r="G202">
        <f>IF(A202="","",A202&amp;"|"&amp;F202)</f>
        <v/>
      </c>
    </row>
    <row r="203">
      <c r="F203">
        <f>IF(A203="","",COUNTIF($A$2:A203,A203))</f>
        <v/>
      </c>
      <c r="G203">
        <f>IF(A203="","",A203&amp;"|"&amp;F203)</f>
        <v/>
      </c>
    </row>
    <row r="204">
      <c r="F204">
        <f>IF(A204="","",COUNTIF($A$2:A204,A204))</f>
        <v/>
      </c>
      <c r="G204">
        <f>IF(A204="","",A204&amp;"|"&amp;F204)</f>
        <v/>
      </c>
    </row>
    <row r="205">
      <c r="F205">
        <f>IF(A205="","",COUNTIF($A$2:A205,A205))</f>
        <v/>
      </c>
      <c r="G205">
        <f>IF(A205="","",A205&amp;"|"&amp;F205)</f>
        <v/>
      </c>
    </row>
    <row r="206">
      <c r="F206">
        <f>IF(A206="","",COUNTIF($A$2:A206,A206))</f>
        <v/>
      </c>
      <c r="G206">
        <f>IF(A206="","",A206&amp;"|"&amp;F206)</f>
        <v/>
      </c>
    </row>
    <row r="207">
      <c r="F207">
        <f>IF(A207="","",COUNTIF($A$2:A207,A207))</f>
        <v/>
      </c>
      <c r="G207">
        <f>IF(A207="","",A207&amp;"|"&amp;F207)</f>
        <v/>
      </c>
    </row>
    <row r="208">
      <c r="F208">
        <f>IF(A208="","",COUNTIF($A$2:A208,A208))</f>
        <v/>
      </c>
      <c r="G208">
        <f>IF(A208="","",A208&amp;"|"&amp;F208)</f>
        <v/>
      </c>
    </row>
    <row r="209">
      <c r="F209">
        <f>IF(A209="","",COUNTIF($A$2:A209,A209))</f>
        <v/>
      </c>
      <c r="G209">
        <f>IF(A209="","",A209&amp;"|"&amp;F209)</f>
        <v/>
      </c>
    </row>
    <row r="210">
      <c r="F210">
        <f>IF(A210="","",COUNTIF($A$2:A210,A210))</f>
        <v/>
      </c>
      <c r="G210">
        <f>IF(A210="","",A210&amp;"|"&amp;F210)</f>
        <v/>
      </c>
    </row>
    <row r="211">
      <c r="F211">
        <f>IF(A211="","",COUNTIF($A$2:A211,A211))</f>
        <v/>
      </c>
      <c r="G211">
        <f>IF(A211="","",A211&amp;"|"&amp;F211)</f>
        <v/>
      </c>
    </row>
    <row r="212">
      <c r="F212">
        <f>IF(A212="","",COUNTIF($A$2:A212,A212))</f>
        <v/>
      </c>
      <c r="G212">
        <f>IF(A212="","",A212&amp;"|"&amp;F212)</f>
        <v/>
      </c>
    </row>
    <row r="213">
      <c r="F213">
        <f>IF(A213="","",COUNTIF($A$2:A213,A213))</f>
        <v/>
      </c>
      <c r="G213">
        <f>IF(A213="","",A213&amp;"|"&amp;F213)</f>
        <v/>
      </c>
    </row>
    <row r="214">
      <c r="F214">
        <f>IF(A214="","",COUNTIF($A$2:A214,A214))</f>
        <v/>
      </c>
      <c r="G214">
        <f>IF(A214="","",A214&amp;"|"&amp;F214)</f>
        <v/>
      </c>
    </row>
    <row r="215">
      <c r="F215">
        <f>IF(A215="","",COUNTIF($A$2:A215,A215))</f>
        <v/>
      </c>
      <c r="G215">
        <f>IF(A215="","",A215&amp;"|"&amp;F215)</f>
        <v/>
      </c>
    </row>
    <row r="216">
      <c r="F216">
        <f>IF(A216="","",COUNTIF($A$2:A216,A216))</f>
        <v/>
      </c>
      <c r="G216">
        <f>IF(A216="","",A216&amp;"|"&amp;F216)</f>
        <v/>
      </c>
    </row>
    <row r="217">
      <c r="F217">
        <f>IF(A217="","",COUNTIF($A$2:A217,A217))</f>
        <v/>
      </c>
      <c r="G217">
        <f>IF(A217="","",A217&amp;"|"&amp;F217)</f>
        <v/>
      </c>
    </row>
    <row r="218">
      <c r="F218">
        <f>IF(A218="","",COUNTIF($A$2:A218,A218))</f>
        <v/>
      </c>
      <c r="G218">
        <f>IF(A218="","",A218&amp;"|"&amp;F218)</f>
        <v/>
      </c>
    </row>
    <row r="219">
      <c r="F219">
        <f>IF(A219="","",COUNTIF($A$2:A219,A219))</f>
        <v/>
      </c>
      <c r="G219">
        <f>IF(A219="","",A219&amp;"|"&amp;F219)</f>
        <v/>
      </c>
    </row>
    <row r="220">
      <c r="F220">
        <f>IF(A220="","",COUNTIF($A$2:A220,A220))</f>
        <v/>
      </c>
      <c r="G220">
        <f>IF(A220="","",A220&amp;"|"&amp;F220)</f>
        <v/>
      </c>
    </row>
    <row r="221">
      <c r="F221">
        <f>IF(A221="","",COUNTIF($A$2:A221,A221))</f>
        <v/>
      </c>
      <c r="G221">
        <f>IF(A221="","",A221&amp;"|"&amp;F221)</f>
        <v/>
      </c>
    </row>
    <row r="222">
      <c r="F222">
        <f>IF(A222="","",COUNTIF($A$2:A222,A222))</f>
        <v/>
      </c>
      <c r="G222">
        <f>IF(A222="","",A222&amp;"|"&amp;F222)</f>
        <v/>
      </c>
    </row>
    <row r="223">
      <c r="F223">
        <f>IF(A223="","",COUNTIF($A$2:A223,A223))</f>
        <v/>
      </c>
      <c r="G223">
        <f>IF(A223="","",A223&amp;"|"&amp;F223)</f>
        <v/>
      </c>
    </row>
    <row r="224">
      <c r="F224">
        <f>IF(A224="","",COUNTIF($A$2:A224,A224))</f>
        <v/>
      </c>
      <c r="G224">
        <f>IF(A224="","",A224&amp;"|"&amp;F224)</f>
        <v/>
      </c>
    </row>
    <row r="225">
      <c r="F225">
        <f>IF(A225="","",COUNTIF($A$2:A225,A225))</f>
        <v/>
      </c>
      <c r="G225">
        <f>IF(A225="","",A225&amp;"|"&amp;F225)</f>
        <v/>
      </c>
    </row>
    <row r="226">
      <c r="F226">
        <f>IF(A226="","",COUNTIF($A$2:A226,A226))</f>
        <v/>
      </c>
      <c r="G226">
        <f>IF(A226="","",A226&amp;"|"&amp;F226)</f>
        <v/>
      </c>
    </row>
    <row r="227">
      <c r="F227">
        <f>IF(A227="","",COUNTIF($A$2:A227,A227))</f>
        <v/>
      </c>
      <c r="G227">
        <f>IF(A227="","",A227&amp;"|"&amp;F227)</f>
        <v/>
      </c>
    </row>
    <row r="228">
      <c r="F228">
        <f>IF(A228="","",COUNTIF($A$2:A228,A228))</f>
        <v/>
      </c>
      <c r="G228">
        <f>IF(A228="","",A228&amp;"|"&amp;F228)</f>
        <v/>
      </c>
    </row>
    <row r="229">
      <c r="F229">
        <f>IF(A229="","",COUNTIF($A$2:A229,A229))</f>
        <v/>
      </c>
      <c r="G229">
        <f>IF(A229="","",A229&amp;"|"&amp;F229)</f>
        <v/>
      </c>
    </row>
    <row r="230">
      <c r="F230">
        <f>IF(A230="","",COUNTIF($A$2:A230,A230))</f>
        <v/>
      </c>
      <c r="G230">
        <f>IF(A230="","",A230&amp;"|"&amp;F230)</f>
        <v/>
      </c>
    </row>
    <row r="231">
      <c r="F231">
        <f>IF(A231="","",COUNTIF($A$2:A231,A231))</f>
        <v/>
      </c>
      <c r="G231">
        <f>IF(A231="","",A231&amp;"|"&amp;F231)</f>
        <v/>
      </c>
    </row>
    <row r="232">
      <c r="F232">
        <f>IF(A232="","",COUNTIF($A$2:A232,A232))</f>
        <v/>
      </c>
      <c r="G232">
        <f>IF(A232="","",A232&amp;"|"&amp;F232)</f>
        <v/>
      </c>
    </row>
    <row r="233">
      <c r="F233">
        <f>IF(A233="","",COUNTIF($A$2:A233,A233))</f>
        <v/>
      </c>
      <c r="G233">
        <f>IF(A233="","",A233&amp;"|"&amp;F233)</f>
        <v/>
      </c>
    </row>
    <row r="234">
      <c r="F234">
        <f>IF(A234="","",COUNTIF($A$2:A234,A234))</f>
        <v/>
      </c>
      <c r="G234">
        <f>IF(A234="","",A234&amp;"|"&amp;F234)</f>
        <v/>
      </c>
    </row>
    <row r="235">
      <c r="F235">
        <f>IF(A235="","",COUNTIF($A$2:A235,A235))</f>
        <v/>
      </c>
      <c r="G235">
        <f>IF(A235="","",A235&amp;"|"&amp;F235)</f>
        <v/>
      </c>
    </row>
    <row r="236">
      <c r="F236">
        <f>IF(A236="","",COUNTIF($A$2:A236,A236))</f>
        <v/>
      </c>
      <c r="G236">
        <f>IF(A236="","",A236&amp;"|"&amp;F236)</f>
        <v/>
      </c>
    </row>
    <row r="237">
      <c r="F237">
        <f>IF(A237="","",COUNTIF($A$2:A237,A237))</f>
        <v/>
      </c>
      <c r="G237">
        <f>IF(A237="","",A237&amp;"|"&amp;F237)</f>
        <v/>
      </c>
    </row>
    <row r="238">
      <c r="F238">
        <f>IF(A238="","",COUNTIF($A$2:A238,A238))</f>
        <v/>
      </c>
      <c r="G238">
        <f>IF(A238="","",A238&amp;"|"&amp;F238)</f>
        <v/>
      </c>
    </row>
    <row r="239">
      <c r="F239">
        <f>IF(A239="","",COUNTIF($A$2:A239,A239))</f>
        <v/>
      </c>
      <c r="G239">
        <f>IF(A239="","",A239&amp;"|"&amp;F239)</f>
        <v/>
      </c>
    </row>
    <row r="240">
      <c r="F240">
        <f>IF(A240="","",COUNTIF($A$2:A240,A240))</f>
        <v/>
      </c>
      <c r="G240">
        <f>IF(A240="","",A240&amp;"|"&amp;F240)</f>
        <v/>
      </c>
    </row>
    <row r="241">
      <c r="F241">
        <f>IF(A241="","",COUNTIF($A$2:A241,A241))</f>
        <v/>
      </c>
      <c r="G241">
        <f>IF(A241="","",A241&amp;"|"&amp;F241)</f>
        <v/>
      </c>
    </row>
    <row r="242">
      <c r="F242">
        <f>IF(A242="","",COUNTIF($A$2:A242,A242))</f>
        <v/>
      </c>
      <c r="G242">
        <f>IF(A242="","",A242&amp;"|"&amp;F242)</f>
        <v/>
      </c>
    </row>
    <row r="243">
      <c r="F243">
        <f>IF(A243="","",COUNTIF($A$2:A243,A243))</f>
        <v/>
      </c>
      <c r="G243">
        <f>IF(A243="","",A243&amp;"|"&amp;F243)</f>
        <v/>
      </c>
    </row>
    <row r="244">
      <c r="F244">
        <f>IF(A244="","",COUNTIF($A$2:A244,A244))</f>
        <v/>
      </c>
      <c r="G244">
        <f>IF(A244="","",A244&amp;"|"&amp;F244)</f>
        <v/>
      </c>
    </row>
    <row r="245">
      <c r="F245">
        <f>IF(A245="","",COUNTIF($A$2:A245,A245))</f>
        <v/>
      </c>
      <c r="G245">
        <f>IF(A245="","",A245&amp;"|"&amp;F245)</f>
        <v/>
      </c>
    </row>
    <row r="246">
      <c r="F246">
        <f>IF(A246="","",COUNTIF($A$2:A246,A246))</f>
        <v/>
      </c>
      <c r="G246">
        <f>IF(A246="","",A246&amp;"|"&amp;F246)</f>
        <v/>
      </c>
    </row>
    <row r="247">
      <c r="F247">
        <f>IF(A247="","",COUNTIF($A$2:A247,A247))</f>
        <v/>
      </c>
      <c r="G247">
        <f>IF(A247="","",A247&amp;"|"&amp;F247)</f>
        <v/>
      </c>
    </row>
    <row r="248">
      <c r="F248">
        <f>IF(A248="","",COUNTIF($A$2:A248,A248))</f>
        <v/>
      </c>
      <c r="G248">
        <f>IF(A248="","",A248&amp;"|"&amp;F248)</f>
        <v/>
      </c>
    </row>
    <row r="249">
      <c r="F249">
        <f>IF(A249="","",COUNTIF($A$2:A249,A249))</f>
        <v/>
      </c>
      <c r="G249">
        <f>IF(A249="","",A249&amp;"|"&amp;F249)</f>
        <v/>
      </c>
    </row>
    <row r="250">
      <c r="F250">
        <f>IF(A250="","",COUNTIF($A$2:A250,A250))</f>
        <v/>
      </c>
      <c r="G250">
        <f>IF(A250="","",A250&amp;"|"&amp;F250)</f>
        <v/>
      </c>
    </row>
    <row r="251">
      <c r="F251">
        <f>IF(A251="","",COUNTIF($A$2:A251,A251))</f>
        <v/>
      </c>
      <c r="G251">
        <f>IF(A251="","",A251&amp;"|"&amp;F251)</f>
        <v/>
      </c>
    </row>
    <row r="252">
      <c r="F252">
        <f>IF(A252="","",COUNTIF($A$2:A252,A252))</f>
        <v/>
      </c>
      <c r="G252">
        <f>IF(A252="","",A252&amp;"|"&amp;F252)</f>
        <v/>
      </c>
    </row>
    <row r="253">
      <c r="F253">
        <f>IF(A253="","",COUNTIF($A$2:A253,A253))</f>
        <v/>
      </c>
      <c r="G253">
        <f>IF(A253="","",A253&amp;"|"&amp;F253)</f>
        <v/>
      </c>
    </row>
    <row r="254">
      <c r="F254">
        <f>IF(A254="","",COUNTIF($A$2:A254,A254))</f>
        <v/>
      </c>
      <c r="G254">
        <f>IF(A254="","",A254&amp;"|"&amp;F254)</f>
        <v/>
      </c>
    </row>
    <row r="255">
      <c r="F255">
        <f>IF(A255="","",COUNTIF($A$2:A255,A255))</f>
        <v/>
      </c>
      <c r="G255">
        <f>IF(A255="","",A255&amp;"|"&amp;F255)</f>
        <v/>
      </c>
    </row>
    <row r="256">
      <c r="F256">
        <f>IF(A256="","",COUNTIF($A$2:A256,A256))</f>
        <v/>
      </c>
      <c r="G256">
        <f>IF(A256="","",A256&amp;"|"&amp;F256)</f>
        <v/>
      </c>
    </row>
    <row r="257">
      <c r="F257">
        <f>IF(A257="","",COUNTIF($A$2:A257,A257))</f>
        <v/>
      </c>
      <c r="G257">
        <f>IF(A257="","",A257&amp;"|"&amp;F257)</f>
        <v/>
      </c>
    </row>
    <row r="258">
      <c r="F258">
        <f>IF(A258="","",COUNTIF($A$2:A258,A258))</f>
        <v/>
      </c>
      <c r="G258">
        <f>IF(A258="","",A258&amp;"|"&amp;F258)</f>
        <v/>
      </c>
    </row>
    <row r="259">
      <c r="F259">
        <f>IF(A259="","",COUNTIF($A$2:A259,A259))</f>
        <v/>
      </c>
      <c r="G259">
        <f>IF(A259="","",A259&amp;"|"&amp;F259)</f>
        <v/>
      </c>
    </row>
    <row r="260">
      <c r="F260">
        <f>IF(A260="","",COUNTIF($A$2:A260,A260))</f>
        <v/>
      </c>
      <c r="G260">
        <f>IF(A260="","",A260&amp;"|"&amp;F260)</f>
        <v/>
      </c>
    </row>
    <row r="261">
      <c r="F261">
        <f>IF(A261="","",COUNTIF($A$2:A261,A261))</f>
        <v/>
      </c>
      <c r="G261">
        <f>IF(A261="","",A261&amp;"|"&amp;F261)</f>
        <v/>
      </c>
    </row>
    <row r="262">
      <c r="F262">
        <f>IF(A262="","",COUNTIF($A$2:A262,A262))</f>
        <v/>
      </c>
      <c r="G262">
        <f>IF(A262="","",A262&amp;"|"&amp;F262)</f>
        <v/>
      </c>
    </row>
    <row r="263">
      <c r="F263">
        <f>IF(A263="","",COUNTIF($A$2:A263,A263))</f>
        <v/>
      </c>
      <c r="G263">
        <f>IF(A263="","",A263&amp;"|"&amp;F263)</f>
        <v/>
      </c>
    </row>
    <row r="264">
      <c r="F264">
        <f>IF(A264="","",COUNTIF($A$2:A264,A264))</f>
        <v/>
      </c>
      <c r="G264">
        <f>IF(A264="","",A264&amp;"|"&amp;F264)</f>
        <v/>
      </c>
    </row>
    <row r="265">
      <c r="F265">
        <f>IF(A265="","",COUNTIF($A$2:A265,A265))</f>
        <v/>
      </c>
      <c r="G265">
        <f>IF(A265="","",A265&amp;"|"&amp;F265)</f>
        <v/>
      </c>
    </row>
    <row r="266">
      <c r="F266">
        <f>IF(A266="","",COUNTIF($A$2:A266,A266))</f>
        <v/>
      </c>
      <c r="G266">
        <f>IF(A266="","",A266&amp;"|"&amp;F266)</f>
        <v/>
      </c>
    </row>
    <row r="267">
      <c r="F267">
        <f>IF(A267="","",COUNTIF($A$2:A267,A267))</f>
        <v/>
      </c>
      <c r="G267">
        <f>IF(A267="","",A267&amp;"|"&amp;F267)</f>
        <v/>
      </c>
    </row>
    <row r="268">
      <c r="F268">
        <f>IF(A268="","",COUNTIF($A$2:A268,A268))</f>
        <v/>
      </c>
      <c r="G268">
        <f>IF(A268="","",A268&amp;"|"&amp;F268)</f>
        <v/>
      </c>
    </row>
    <row r="269">
      <c r="F269">
        <f>IF(A269="","",COUNTIF($A$2:A269,A269))</f>
        <v/>
      </c>
      <c r="G269">
        <f>IF(A269="","",A269&amp;"|"&amp;F269)</f>
        <v/>
      </c>
    </row>
    <row r="270">
      <c r="F270">
        <f>IF(A270="","",COUNTIF($A$2:A270,A270))</f>
        <v/>
      </c>
      <c r="G270">
        <f>IF(A270="","",A270&amp;"|"&amp;F270)</f>
        <v/>
      </c>
    </row>
    <row r="271">
      <c r="F271">
        <f>IF(A271="","",COUNTIF($A$2:A271,A271))</f>
        <v/>
      </c>
      <c r="G271">
        <f>IF(A271="","",A271&amp;"|"&amp;F271)</f>
        <v/>
      </c>
    </row>
    <row r="272">
      <c r="F272">
        <f>IF(A272="","",COUNTIF($A$2:A272,A272))</f>
        <v/>
      </c>
      <c r="G272">
        <f>IF(A272="","",A272&amp;"|"&amp;F272)</f>
        <v/>
      </c>
    </row>
    <row r="273">
      <c r="F273">
        <f>IF(A273="","",COUNTIF($A$2:A273,A273))</f>
        <v/>
      </c>
      <c r="G273">
        <f>IF(A273="","",A273&amp;"|"&amp;F273)</f>
        <v/>
      </c>
    </row>
    <row r="274">
      <c r="F274">
        <f>IF(A274="","",COUNTIF($A$2:A274,A274))</f>
        <v/>
      </c>
      <c r="G274">
        <f>IF(A274="","",A274&amp;"|"&amp;F274)</f>
        <v/>
      </c>
    </row>
    <row r="275">
      <c r="F275">
        <f>IF(A275="","",COUNTIF($A$2:A275,A275))</f>
        <v/>
      </c>
      <c r="G275">
        <f>IF(A275="","",A275&amp;"|"&amp;F275)</f>
        <v/>
      </c>
    </row>
    <row r="276">
      <c r="F276">
        <f>IF(A276="","",COUNTIF($A$2:A276,A276))</f>
        <v/>
      </c>
      <c r="G276">
        <f>IF(A276="","",A276&amp;"|"&amp;F276)</f>
        <v/>
      </c>
    </row>
    <row r="277">
      <c r="F277">
        <f>IF(A277="","",COUNTIF($A$2:A277,A277))</f>
        <v/>
      </c>
      <c r="G277">
        <f>IF(A277="","",A277&amp;"|"&amp;F277)</f>
        <v/>
      </c>
    </row>
    <row r="278">
      <c r="F278">
        <f>IF(A278="","",COUNTIF($A$2:A278,A278))</f>
        <v/>
      </c>
      <c r="G278">
        <f>IF(A278="","",A278&amp;"|"&amp;F278)</f>
        <v/>
      </c>
    </row>
    <row r="279">
      <c r="F279">
        <f>IF(A279="","",COUNTIF($A$2:A279,A279))</f>
        <v/>
      </c>
      <c r="G279">
        <f>IF(A279="","",A279&amp;"|"&amp;F279)</f>
        <v/>
      </c>
    </row>
    <row r="280">
      <c r="F280">
        <f>IF(A280="","",COUNTIF($A$2:A280,A280))</f>
        <v/>
      </c>
      <c r="G280">
        <f>IF(A280="","",A280&amp;"|"&amp;F280)</f>
        <v/>
      </c>
    </row>
    <row r="281">
      <c r="F281">
        <f>IF(A281="","",COUNTIF($A$2:A281,A281))</f>
        <v/>
      </c>
      <c r="G281">
        <f>IF(A281="","",A281&amp;"|"&amp;F281)</f>
        <v/>
      </c>
    </row>
    <row r="282">
      <c r="F282">
        <f>IF(A282="","",COUNTIF($A$2:A282,A282))</f>
        <v/>
      </c>
      <c r="G282">
        <f>IF(A282="","",A282&amp;"|"&amp;F282)</f>
        <v/>
      </c>
    </row>
    <row r="283">
      <c r="F283">
        <f>IF(A283="","",COUNTIF($A$2:A283,A283))</f>
        <v/>
      </c>
      <c r="G283">
        <f>IF(A283="","",A283&amp;"|"&amp;F283)</f>
        <v/>
      </c>
    </row>
    <row r="284">
      <c r="F284">
        <f>IF(A284="","",COUNTIF($A$2:A284,A284))</f>
        <v/>
      </c>
      <c r="G284">
        <f>IF(A284="","",A284&amp;"|"&amp;F284)</f>
        <v/>
      </c>
    </row>
    <row r="285">
      <c r="F285">
        <f>IF(A285="","",COUNTIF($A$2:A285,A285))</f>
        <v/>
      </c>
      <c r="G285">
        <f>IF(A285="","",A285&amp;"|"&amp;F285)</f>
        <v/>
      </c>
    </row>
    <row r="286">
      <c r="F286">
        <f>IF(A286="","",COUNTIF($A$2:A286,A286))</f>
        <v/>
      </c>
      <c r="G286">
        <f>IF(A286="","",A286&amp;"|"&amp;F286)</f>
        <v/>
      </c>
    </row>
    <row r="287">
      <c r="F287">
        <f>IF(A287="","",COUNTIF($A$2:A287,A287))</f>
        <v/>
      </c>
      <c r="G287">
        <f>IF(A287="","",A287&amp;"|"&amp;F287)</f>
        <v/>
      </c>
    </row>
    <row r="288">
      <c r="F288">
        <f>IF(A288="","",COUNTIF($A$2:A288,A288))</f>
        <v/>
      </c>
      <c r="G288">
        <f>IF(A288="","",A288&amp;"|"&amp;F288)</f>
        <v/>
      </c>
    </row>
    <row r="289">
      <c r="F289">
        <f>IF(A289="","",COUNTIF($A$2:A289,A289))</f>
        <v/>
      </c>
      <c r="G289">
        <f>IF(A289="","",A289&amp;"|"&amp;F289)</f>
        <v/>
      </c>
    </row>
    <row r="290">
      <c r="F290">
        <f>IF(A290="","",COUNTIF($A$2:A290,A290))</f>
        <v/>
      </c>
      <c r="G290">
        <f>IF(A290="","",A290&amp;"|"&amp;F290)</f>
        <v/>
      </c>
    </row>
    <row r="291">
      <c r="F291">
        <f>IF(A291="","",COUNTIF($A$2:A291,A291))</f>
        <v/>
      </c>
      <c r="G291">
        <f>IF(A291="","",A291&amp;"|"&amp;F291)</f>
        <v/>
      </c>
    </row>
    <row r="292">
      <c r="F292">
        <f>IF(A292="","",COUNTIF($A$2:A292,A292))</f>
        <v/>
      </c>
      <c r="G292">
        <f>IF(A292="","",A292&amp;"|"&amp;F292)</f>
        <v/>
      </c>
    </row>
    <row r="293">
      <c r="F293">
        <f>IF(A293="","",COUNTIF($A$2:A293,A293))</f>
        <v/>
      </c>
      <c r="G293">
        <f>IF(A293="","",A293&amp;"|"&amp;F293)</f>
        <v/>
      </c>
    </row>
    <row r="294">
      <c r="F294">
        <f>IF(A294="","",COUNTIF($A$2:A294,A294))</f>
        <v/>
      </c>
      <c r="G294">
        <f>IF(A294="","",A294&amp;"|"&amp;F294)</f>
        <v/>
      </c>
    </row>
    <row r="295">
      <c r="F295">
        <f>IF(A295="","",COUNTIF($A$2:A295,A295))</f>
        <v/>
      </c>
      <c r="G295">
        <f>IF(A295="","",A295&amp;"|"&amp;F295)</f>
        <v/>
      </c>
    </row>
    <row r="296">
      <c r="F296">
        <f>IF(A296="","",COUNTIF($A$2:A296,A296))</f>
        <v/>
      </c>
      <c r="G296">
        <f>IF(A296="","",A296&amp;"|"&amp;F296)</f>
        <v/>
      </c>
    </row>
    <row r="297">
      <c r="F297">
        <f>IF(A297="","",COUNTIF($A$2:A297,A297))</f>
        <v/>
      </c>
      <c r="G297">
        <f>IF(A297="","",A297&amp;"|"&amp;F297)</f>
        <v/>
      </c>
    </row>
    <row r="298">
      <c r="F298">
        <f>IF(A298="","",COUNTIF($A$2:A298,A298))</f>
        <v/>
      </c>
      <c r="G298">
        <f>IF(A298="","",A298&amp;"|"&amp;F298)</f>
        <v/>
      </c>
    </row>
    <row r="299">
      <c r="F299">
        <f>IF(A299="","",COUNTIF($A$2:A299,A299))</f>
        <v/>
      </c>
      <c r="G299">
        <f>IF(A299="","",A299&amp;"|"&amp;F299)</f>
        <v/>
      </c>
    </row>
    <row r="300">
      <c r="F300">
        <f>IF(A300="","",COUNTIF($A$2:A300,A300))</f>
        <v/>
      </c>
      <c r="G300">
        <f>IF(A300="","",A300&amp;"|"&amp;F300)</f>
        <v/>
      </c>
    </row>
    <row r="301">
      <c r="F301">
        <f>IF(A301="","",COUNTIF($A$2:A301,A301))</f>
        <v/>
      </c>
      <c r="G301">
        <f>IF(A301="","",A301&amp;"|"&amp;F301)</f>
        <v/>
      </c>
    </row>
    <row r="302">
      <c r="F302">
        <f>IF(A302="","",COUNTIF($A$2:A302,A302))</f>
        <v/>
      </c>
      <c r="G302">
        <f>IF(A302="","",A302&amp;"|"&amp;F302)</f>
        <v/>
      </c>
    </row>
    <row r="303">
      <c r="F303">
        <f>IF(A303="","",COUNTIF($A$2:A303,A303))</f>
        <v/>
      </c>
      <c r="G303">
        <f>IF(A303="","",A303&amp;"|"&amp;F303)</f>
        <v/>
      </c>
    </row>
    <row r="304">
      <c r="F304">
        <f>IF(A304="","",COUNTIF($A$2:A304,A304))</f>
        <v/>
      </c>
      <c r="G304">
        <f>IF(A304="","",A304&amp;"|"&amp;F304)</f>
        <v/>
      </c>
    </row>
    <row r="305">
      <c r="F305">
        <f>IF(A305="","",COUNTIF($A$2:A305,A305))</f>
        <v/>
      </c>
      <c r="G305">
        <f>IF(A305="","",A305&amp;"|"&amp;F305)</f>
        <v/>
      </c>
    </row>
    <row r="306">
      <c r="F306">
        <f>IF(A306="","",COUNTIF($A$2:A306,A306))</f>
        <v/>
      </c>
      <c r="G306">
        <f>IF(A306="","",A306&amp;"|"&amp;F306)</f>
        <v/>
      </c>
    </row>
    <row r="307">
      <c r="F307">
        <f>IF(A307="","",COUNTIF($A$2:A307,A307))</f>
        <v/>
      </c>
      <c r="G307">
        <f>IF(A307="","",A307&amp;"|"&amp;F307)</f>
        <v/>
      </c>
    </row>
    <row r="308">
      <c r="F308">
        <f>IF(A308="","",COUNTIF($A$2:A308,A308))</f>
        <v/>
      </c>
      <c r="G308">
        <f>IF(A308="","",A308&amp;"|"&amp;F308)</f>
        <v/>
      </c>
    </row>
    <row r="309">
      <c r="F309">
        <f>IF(A309="","",COUNTIF($A$2:A309,A309))</f>
        <v/>
      </c>
      <c r="G309">
        <f>IF(A309="","",A309&amp;"|"&amp;F309)</f>
        <v/>
      </c>
    </row>
    <row r="310">
      <c r="F310">
        <f>IF(A310="","",COUNTIF($A$2:A310,A310))</f>
        <v/>
      </c>
      <c r="G310">
        <f>IF(A310="","",A310&amp;"|"&amp;F310)</f>
        <v/>
      </c>
    </row>
    <row r="311">
      <c r="F311">
        <f>IF(A311="","",COUNTIF($A$2:A311,A311))</f>
        <v/>
      </c>
      <c r="G311">
        <f>IF(A311="","",A311&amp;"|"&amp;F311)</f>
        <v/>
      </c>
    </row>
    <row r="312">
      <c r="F312">
        <f>IF(A312="","",COUNTIF($A$2:A312,A312))</f>
        <v/>
      </c>
      <c r="G312">
        <f>IF(A312="","",A312&amp;"|"&amp;F312)</f>
        <v/>
      </c>
    </row>
    <row r="313">
      <c r="F313">
        <f>IF(A313="","",COUNTIF($A$2:A313,A313))</f>
        <v/>
      </c>
      <c r="G313">
        <f>IF(A313="","",A313&amp;"|"&amp;F313)</f>
        <v/>
      </c>
    </row>
    <row r="314">
      <c r="F314">
        <f>IF(A314="","",COUNTIF($A$2:A314,A314))</f>
        <v/>
      </c>
      <c r="G314">
        <f>IF(A314="","",A314&amp;"|"&amp;F314)</f>
        <v/>
      </c>
    </row>
    <row r="315">
      <c r="F315">
        <f>IF(A315="","",COUNTIF($A$2:A315,A315))</f>
        <v/>
      </c>
      <c r="G315">
        <f>IF(A315="","",A315&amp;"|"&amp;F315)</f>
        <v/>
      </c>
    </row>
    <row r="316">
      <c r="F316">
        <f>IF(A316="","",COUNTIF($A$2:A316,A316))</f>
        <v/>
      </c>
      <c r="G316">
        <f>IF(A316="","",A316&amp;"|"&amp;F316)</f>
        <v/>
      </c>
    </row>
    <row r="317">
      <c r="F317">
        <f>IF(A317="","",COUNTIF($A$2:A317,A317))</f>
        <v/>
      </c>
      <c r="G317">
        <f>IF(A317="","",A317&amp;"|"&amp;F317)</f>
        <v/>
      </c>
    </row>
    <row r="318">
      <c r="F318">
        <f>IF(A318="","",COUNTIF($A$2:A318,A318))</f>
        <v/>
      </c>
      <c r="G318">
        <f>IF(A318="","",A318&amp;"|"&amp;F318)</f>
        <v/>
      </c>
    </row>
    <row r="319">
      <c r="F319">
        <f>IF(A319="","",COUNTIF($A$2:A319,A319))</f>
        <v/>
      </c>
      <c r="G319">
        <f>IF(A319="","",A319&amp;"|"&amp;F319)</f>
        <v/>
      </c>
    </row>
    <row r="320">
      <c r="F320">
        <f>IF(A320="","",COUNTIF($A$2:A320,A320))</f>
        <v/>
      </c>
      <c r="G320">
        <f>IF(A320="","",A320&amp;"|"&amp;F320)</f>
        <v/>
      </c>
    </row>
    <row r="321">
      <c r="F321">
        <f>IF(A321="","",COUNTIF($A$2:A321,A321))</f>
        <v/>
      </c>
      <c r="G321">
        <f>IF(A321="","",A321&amp;"|"&amp;F321)</f>
        <v/>
      </c>
    </row>
    <row r="322">
      <c r="F322">
        <f>IF(A322="","",COUNTIF($A$2:A322,A322))</f>
        <v/>
      </c>
      <c r="G322">
        <f>IF(A322="","",A322&amp;"|"&amp;F322)</f>
        <v/>
      </c>
    </row>
    <row r="323">
      <c r="F323">
        <f>IF(A323="","",COUNTIF($A$2:A323,A323))</f>
        <v/>
      </c>
      <c r="G323">
        <f>IF(A323="","",A323&amp;"|"&amp;F323)</f>
        <v/>
      </c>
    </row>
    <row r="324">
      <c r="F324">
        <f>IF(A324="","",COUNTIF($A$2:A324,A324))</f>
        <v/>
      </c>
      <c r="G324">
        <f>IF(A324="","",A324&amp;"|"&amp;F324)</f>
        <v/>
      </c>
    </row>
    <row r="325">
      <c r="F325">
        <f>IF(A325="","",COUNTIF($A$2:A325,A325))</f>
        <v/>
      </c>
      <c r="G325">
        <f>IF(A325="","",A325&amp;"|"&amp;F325)</f>
        <v/>
      </c>
    </row>
    <row r="326">
      <c r="F326">
        <f>IF(A326="","",COUNTIF($A$2:A326,A326))</f>
        <v/>
      </c>
      <c r="G326">
        <f>IF(A326="","",A326&amp;"|"&amp;F326)</f>
        <v/>
      </c>
    </row>
    <row r="327">
      <c r="F327">
        <f>IF(A327="","",COUNTIF($A$2:A327,A327))</f>
        <v/>
      </c>
      <c r="G327">
        <f>IF(A327="","",A327&amp;"|"&amp;F327)</f>
        <v/>
      </c>
    </row>
    <row r="328">
      <c r="F328">
        <f>IF(A328="","",COUNTIF($A$2:A328,A328))</f>
        <v/>
      </c>
      <c r="G328">
        <f>IF(A328="","",A328&amp;"|"&amp;F328)</f>
        <v/>
      </c>
    </row>
    <row r="329">
      <c r="F329">
        <f>IF(A329="","",COUNTIF($A$2:A329,A329))</f>
        <v/>
      </c>
      <c r="G329">
        <f>IF(A329="","",A329&amp;"|"&amp;F329)</f>
        <v/>
      </c>
    </row>
    <row r="330">
      <c r="F330">
        <f>IF(A330="","",COUNTIF($A$2:A330,A330))</f>
        <v/>
      </c>
      <c r="G330">
        <f>IF(A330="","",A330&amp;"|"&amp;F330)</f>
        <v/>
      </c>
    </row>
    <row r="331">
      <c r="F331">
        <f>IF(A331="","",COUNTIF($A$2:A331,A331))</f>
        <v/>
      </c>
      <c r="G331">
        <f>IF(A331="","",A331&amp;"|"&amp;F331)</f>
        <v/>
      </c>
    </row>
    <row r="332">
      <c r="F332">
        <f>IF(A332="","",COUNTIF($A$2:A332,A332))</f>
        <v/>
      </c>
      <c r="G332">
        <f>IF(A332="","",A332&amp;"|"&amp;F332)</f>
        <v/>
      </c>
    </row>
    <row r="333">
      <c r="F333">
        <f>IF(A333="","",COUNTIF($A$2:A333,A333))</f>
        <v/>
      </c>
      <c r="G333">
        <f>IF(A333="","",A333&amp;"|"&amp;F333)</f>
        <v/>
      </c>
    </row>
    <row r="334">
      <c r="F334">
        <f>IF(A334="","",COUNTIF($A$2:A334,A334))</f>
        <v/>
      </c>
      <c r="G334">
        <f>IF(A334="","",A334&amp;"|"&amp;F334)</f>
        <v/>
      </c>
    </row>
    <row r="335">
      <c r="F335">
        <f>IF(A335="","",COUNTIF($A$2:A335,A335))</f>
        <v/>
      </c>
      <c r="G335">
        <f>IF(A335="","",A335&amp;"|"&amp;F335)</f>
        <v/>
      </c>
    </row>
    <row r="336">
      <c r="F336">
        <f>IF(A336="","",COUNTIF($A$2:A336,A336))</f>
        <v/>
      </c>
      <c r="G336">
        <f>IF(A336="","",A336&amp;"|"&amp;F336)</f>
        <v/>
      </c>
    </row>
    <row r="337">
      <c r="F337">
        <f>IF(A337="","",COUNTIF($A$2:A337,A337))</f>
        <v/>
      </c>
      <c r="G337">
        <f>IF(A337="","",A337&amp;"|"&amp;F337)</f>
        <v/>
      </c>
    </row>
    <row r="338">
      <c r="F338">
        <f>IF(A338="","",COUNTIF($A$2:A338,A338))</f>
        <v/>
      </c>
      <c r="G338">
        <f>IF(A338="","",A338&amp;"|"&amp;F338)</f>
        <v/>
      </c>
    </row>
    <row r="339">
      <c r="F339">
        <f>IF(A339="","",COUNTIF($A$2:A339,A339))</f>
        <v/>
      </c>
      <c r="G339">
        <f>IF(A339="","",A339&amp;"|"&amp;F339)</f>
        <v/>
      </c>
    </row>
    <row r="340">
      <c r="F340">
        <f>IF(A340="","",COUNTIF($A$2:A340,A340))</f>
        <v/>
      </c>
      <c r="G340">
        <f>IF(A340="","",A340&amp;"|"&amp;F340)</f>
        <v/>
      </c>
    </row>
    <row r="341">
      <c r="F341">
        <f>IF(A341="","",COUNTIF($A$2:A341,A341))</f>
        <v/>
      </c>
      <c r="G341">
        <f>IF(A341="","",A341&amp;"|"&amp;F341)</f>
        <v/>
      </c>
    </row>
    <row r="342">
      <c r="F342">
        <f>IF(A342="","",COUNTIF($A$2:A342,A342))</f>
        <v/>
      </c>
      <c r="G342">
        <f>IF(A342="","",A342&amp;"|"&amp;F342)</f>
        <v/>
      </c>
    </row>
    <row r="343">
      <c r="F343">
        <f>IF(A343="","",COUNTIF($A$2:A343,A343))</f>
        <v/>
      </c>
      <c r="G343">
        <f>IF(A343="","",A343&amp;"|"&amp;F343)</f>
        <v/>
      </c>
    </row>
    <row r="344">
      <c r="F344">
        <f>IF(A344="","",COUNTIF($A$2:A344,A344))</f>
        <v/>
      </c>
      <c r="G344">
        <f>IF(A344="","",A344&amp;"|"&amp;F344)</f>
        <v/>
      </c>
    </row>
    <row r="345">
      <c r="F345">
        <f>IF(A345="","",COUNTIF($A$2:A345,A345))</f>
        <v/>
      </c>
      <c r="G345">
        <f>IF(A345="","",A345&amp;"|"&amp;F345)</f>
        <v/>
      </c>
    </row>
    <row r="346">
      <c r="F346">
        <f>IF(A346="","",COUNTIF($A$2:A346,A346))</f>
        <v/>
      </c>
      <c r="G346">
        <f>IF(A346="","",A346&amp;"|"&amp;F346)</f>
        <v/>
      </c>
    </row>
    <row r="347">
      <c r="F347">
        <f>IF(A347="","",COUNTIF($A$2:A347,A347))</f>
        <v/>
      </c>
      <c r="G347">
        <f>IF(A347="","",A347&amp;"|"&amp;F347)</f>
        <v/>
      </c>
    </row>
    <row r="348">
      <c r="F348">
        <f>IF(A348="","",COUNTIF($A$2:A348,A348))</f>
        <v/>
      </c>
      <c r="G348">
        <f>IF(A348="","",A348&amp;"|"&amp;F348)</f>
        <v/>
      </c>
    </row>
    <row r="349">
      <c r="F349">
        <f>IF(A349="","",COUNTIF($A$2:A349,A349))</f>
        <v/>
      </c>
      <c r="G349">
        <f>IF(A349="","",A349&amp;"|"&amp;F349)</f>
        <v/>
      </c>
    </row>
    <row r="350">
      <c r="F350">
        <f>IF(A350="","",COUNTIF($A$2:A350,A350))</f>
        <v/>
      </c>
      <c r="G350">
        <f>IF(A350="","",A350&amp;"|"&amp;F350)</f>
        <v/>
      </c>
    </row>
    <row r="351">
      <c r="F351">
        <f>IF(A351="","",COUNTIF($A$2:A351,A351))</f>
        <v/>
      </c>
      <c r="G351">
        <f>IF(A351="","",A351&amp;"|"&amp;F351)</f>
        <v/>
      </c>
    </row>
    <row r="352">
      <c r="F352">
        <f>IF(A352="","",COUNTIF($A$2:A352,A352))</f>
        <v/>
      </c>
      <c r="G352">
        <f>IF(A352="","",A352&amp;"|"&amp;F352)</f>
        <v/>
      </c>
    </row>
    <row r="353">
      <c r="F353">
        <f>IF(A353="","",COUNTIF($A$2:A353,A353))</f>
        <v/>
      </c>
      <c r="G353">
        <f>IF(A353="","",A353&amp;"|"&amp;F353)</f>
        <v/>
      </c>
    </row>
    <row r="354">
      <c r="F354">
        <f>IF(A354="","",COUNTIF($A$2:A354,A354))</f>
        <v/>
      </c>
      <c r="G354">
        <f>IF(A354="","",A354&amp;"|"&amp;F354)</f>
        <v/>
      </c>
    </row>
    <row r="355">
      <c r="F355">
        <f>IF(A355="","",COUNTIF($A$2:A355,A355))</f>
        <v/>
      </c>
      <c r="G355">
        <f>IF(A355="","",A355&amp;"|"&amp;F355)</f>
        <v/>
      </c>
    </row>
    <row r="356">
      <c r="F356">
        <f>IF(A356="","",COUNTIF($A$2:A356,A356))</f>
        <v/>
      </c>
      <c r="G356">
        <f>IF(A356="","",A356&amp;"|"&amp;F356)</f>
        <v/>
      </c>
    </row>
    <row r="357">
      <c r="F357">
        <f>IF(A357="","",COUNTIF($A$2:A357,A357))</f>
        <v/>
      </c>
      <c r="G357">
        <f>IF(A357="","",A357&amp;"|"&amp;F357)</f>
        <v/>
      </c>
    </row>
    <row r="358">
      <c r="F358">
        <f>IF(A358="","",COUNTIF($A$2:A358,A358))</f>
        <v/>
      </c>
      <c r="G358">
        <f>IF(A358="","",A358&amp;"|"&amp;F358)</f>
        <v/>
      </c>
    </row>
    <row r="359">
      <c r="F359">
        <f>IF(A359="","",COUNTIF($A$2:A359,A359))</f>
        <v/>
      </c>
      <c r="G359">
        <f>IF(A359="","",A359&amp;"|"&amp;F359)</f>
        <v/>
      </c>
    </row>
    <row r="360">
      <c r="F360">
        <f>IF(A360="","",COUNTIF($A$2:A360,A360))</f>
        <v/>
      </c>
      <c r="G360">
        <f>IF(A360="","",A360&amp;"|"&amp;F360)</f>
        <v/>
      </c>
    </row>
    <row r="361">
      <c r="F361">
        <f>IF(A361="","",COUNTIF($A$2:A361,A361))</f>
        <v/>
      </c>
      <c r="G361">
        <f>IF(A361="","",A361&amp;"|"&amp;F361)</f>
        <v/>
      </c>
    </row>
    <row r="362">
      <c r="F362">
        <f>IF(A362="","",COUNTIF($A$2:A362,A362))</f>
        <v/>
      </c>
      <c r="G362">
        <f>IF(A362="","",A362&amp;"|"&amp;F362)</f>
        <v/>
      </c>
    </row>
    <row r="363">
      <c r="F363">
        <f>IF(A363="","",COUNTIF($A$2:A363,A363))</f>
        <v/>
      </c>
      <c r="G363">
        <f>IF(A363="","",A363&amp;"|"&amp;F363)</f>
        <v/>
      </c>
    </row>
    <row r="364">
      <c r="F364">
        <f>IF(A364="","",COUNTIF($A$2:A364,A364))</f>
        <v/>
      </c>
      <c r="G364">
        <f>IF(A364="","",A364&amp;"|"&amp;F364)</f>
        <v/>
      </c>
    </row>
    <row r="365">
      <c r="F365">
        <f>IF(A365="","",COUNTIF($A$2:A365,A365))</f>
        <v/>
      </c>
      <c r="G365">
        <f>IF(A365="","",A365&amp;"|"&amp;F365)</f>
        <v/>
      </c>
    </row>
    <row r="366">
      <c r="F366">
        <f>IF(A366="","",COUNTIF($A$2:A366,A366))</f>
        <v/>
      </c>
      <c r="G366">
        <f>IF(A366="","",A366&amp;"|"&amp;F366)</f>
        <v/>
      </c>
    </row>
    <row r="367">
      <c r="F367">
        <f>IF(A367="","",COUNTIF($A$2:A367,A367))</f>
        <v/>
      </c>
      <c r="G367">
        <f>IF(A367="","",A367&amp;"|"&amp;F367)</f>
        <v/>
      </c>
    </row>
    <row r="368">
      <c r="F368">
        <f>IF(A368="","",COUNTIF($A$2:A368,A368))</f>
        <v/>
      </c>
      <c r="G368">
        <f>IF(A368="","",A368&amp;"|"&amp;F368)</f>
        <v/>
      </c>
    </row>
    <row r="369">
      <c r="F369">
        <f>IF(A369="","",COUNTIF($A$2:A369,A369))</f>
        <v/>
      </c>
      <c r="G369">
        <f>IF(A369="","",A369&amp;"|"&amp;F369)</f>
        <v/>
      </c>
    </row>
    <row r="370">
      <c r="F370">
        <f>IF(A370="","",COUNTIF($A$2:A370,A370))</f>
        <v/>
      </c>
      <c r="G370">
        <f>IF(A370="","",A370&amp;"|"&amp;F370)</f>
        <v/>
      </c>
    </row>
    <row r="371">
      <c r="F371">
        <f>IF(A371="","",COUNTIF($A$2:A371,A371))</f>
        <v/>
      </c>
      <c r="G371">
        <f>IF(A371="","",A371&amp;"|"&amp;F371)</f>
        <v/>
      </c>
    </row>
    <row r="372">
      <c r="F372">
        <f>IF(A372="","",COUNTIF($A$2:A372,A372))</f>
        <v/>
      </c>
      <c r="G372">
        <f>IF(A372="","",A372&amp;"|"&amp;F372)</f>
        <v/>
      </c>
    </row>
    <row r="373">
      <c r="F373">
        <f>IF(A373="","",COUNTIF($A$2:A373,A373))</f>
        <v/>
      </c>
      <c r="G373">
        <f>IF(A373="","",A373&amp;"|"&amp;F373)</f>
        <v/>
      </c>
    </row>
    <row r="374">
      <c r="F374">
        <f>IF(A374="","",COUNTIF($A$2:A374,A374))</f>
        <v/>
      </c>
      <c r="G374">
        <f>IF(A374="","",A374&amp;"|"&amp;F374)</f>
        <v/>
      </c>
    </row>
    <row r="375">
      <c r="F375">
        <f>IF(A375="","",COUNTIF($A$2:A375,A375))</f>
        <v/>
      </c>
      <c r="G375">
        <f>IF(A375="","",A375&amp;"|"&amp;F375)</f>
        <v/>
      </c>
    </row>
    <row r="376">
      <c r="F376">
        <f>IF(A376="","",COUNTIF($A$2:A376,A376))</f>
        <v/>
      </c>
      <c r="G376">
        <f>IF(A376="","",A376&amp;"|"&amp;F376)</f>
        <v/>
      </c>
    </row>
    <row r="377">
      <c r="F377">
        <f>IF(A377="","",COUNTIF($A$2:A377,A377))</f>
        <v/>
      </c>
      <c r="G377">
        <f>IF(A377="","",A377&amp;"|"&amp;F377)</f>
        <v/>
      </c>
    </row>
    <row r="378">
      <c r="F378">
        <f>IF(A378="","",COUNTIF($A$2:A378,A378))</f>
        <v/>
      </c>
      <c r="G378">
        <f>IF(A378="","",A378&amp;"|"&amp;F378)</f>
        <v/>
      </c>
    </row>
    <row r="379">
      <c r="F379">
        <f>IF(A379="","",COUNTIF($A$2:A379,A379))</f>
        <v/>
      </c>
      <c r="G379">
        <f>IF(A379="","",A379&amp;"|"&amp;F379)</f>
        <v/>
      </c>
    </row>
    <row r="380">
      <c r="F380">
        <f>IF(A380="","",COUNTIF($A$2:A380,A380))</f>
        <v/>
      </c>
      <c r="G380">
        <f>IF(A380="","",A380&amp;"|"&amp;F380)</f>
        <v/>
      </c>
    </row>
    <row r="381">
      <c r="F381">
        <f>IF(A381="","",COUNTIF($A$2:A381,A381))</f>
        <v/>
      </c>
      <c r="G381">
        <f>IF(A381="","",A381&amp;"|"&amp;F381)</f>
        <v/>
      </c>
    </row>
    <row r="382">
      <c r="F382">
        <f>IF(A382="","",COUNTIF($A$2:A382,A382))</f>
        <v/>
      </c>
      <c r="G382">
        <f>IF(A382="","",A382&amp;"|"&amp;F382)</f>
        <v/>
      </c>
    </row>
    <row r="383">
      <c r="F383">
        <f>IF(A383="","",COUNTIF($A$2:A383,A383))</f>
        <v/>
      </c>
      <c r="G383">
        <f>IF(A383="","",A383&amp;"|"&amp;F383)</f>
        <v/>
      </c>
    </row>
    <row r="384">
      <c r="F384">
        <f>IF(A384="","",COUNTIF($A$2:A384,A384))</f>
        <v/>
      </c>
      <c r="G384">
        <f>IF(A384="","",A384&amp;"|"&amp;F384)</f>
        <v/>
      </c>
    </row>
    <row r="385">
      <c r="F385">
        <f>IF(A385="","",COUNTIF($A$2:A385,A385))</f>
        <v/>
      </c>
      <c r="G385">
        <f>IF(A385="","",A385&amp;"|"&amp;F385)</f>
        <v/>
      </c>
    </row>
    <row r="386">
      <c r="F386">
        <f>IF(A386="","",COUNTIF($A$2:A386,A386))</f>
        <v/>
      </c>
      <c r="G386">
        <f>IF(A386="","",A386&amp;"|"&amp;F386)</f>
        <v/>
      </c>
    </row>
    <row r="387">
      <c r="F387">
        <f>IF(A387="","",COUNTIF($A$2:A387,A387))</f>
        <v/>
      </c>
      <c r="G387">
        <f>IF(A387="","",A387&amp;"|"&amp;F387)</f>
        <v/>
      </c>
    </row>
    <row r="388">
      <c r="F388">
        <f>IF(A388="","",COUNTIF($A$2:A388,A388))</f>
        <v/>
      </c>
      <c r="G388">
        <f>IF(A388="","",A388&amp;"|"&amp;F388)</f>
        <v/>
      </c>
    </row>
    <row r="389">
      <c r="F389">
        <f>IF(A389="","",COUNTIF($A$2:A389,A389))</f>
        <v/>
      </c>
      <c r="G389">
        <f>IF(A389="","",A389&amp;"|"&amp;F389)</f>
        <v/>
      </c>
    </row>
    <row r="390">
      <c r="F390">
        <f>IF(A390="","",COUNTIF($A$2:A390,A390))</f>
        <v/>
      </c>
      <c r="G390">
        <f>IF(A390="","",A390&amp;"|"&amp;F390)</f>
        <v/>
      </c>
    </row>
    <row r="391">
      <c r="F391">
        <f>IF(A391="","",COUNTIF($A$2:A391,A391))</f>
        <v/>
      </c>
      <c r="G391">
        <f>IF(A391="","",A391&amp;"|"&amp;F391)</f>
        <v/>
      </c>
    </row>
    <row r="392">
      <c r="F392">
        <f>IF(A392="","",COUNTIF($A$2:A392,A392))</f>
        <v/>
      </c>
      <c r="G392">
        <f>IF(A392="","",A392&amp;"|"&amp;F392)</f>
        <v/>
      </c>
    </row>
    <row r="393">
      <c r="F393">
        <f>IF(A393="","",COUNTIF($A$2:A393,A393))</f>
        <v/>
      </c>
      <c r="G393">
        <f>IF(A393="","",A393&amp;"|"&amp;F393)</f>
        <v/>
      </c>
    </row>
    <row r="394">
      <c r="F394">
        <f>IF(A394="","",COUNTIF($A$2:A394,A394))</f>
        <v/>
      </c>
      <c r="G394">
        <f>IF(A394="","",A394&amp;"|"&amp;F394)</f>
        <v/>
      </c>
    </row>
    <row r="395">
      <c r="F395">
        <f>IF(A395="","",COUNTIF($A$2:A395,A395))</f>
        <v/>
      </c>
      <c r="G395">
        <f>IF(A395="","",A395&amp;"|"&amp;F395)</f>
        <v/>
      </c>
    </row>
    <row r="396">
      <c r="F396">
        <f>IF(A396="","",COUNTIF($A$2:A396,A396))</f>
        <v/>
      </c>
      <c r="G396">
        <f>IF(A396="","",A396&amp;"|"&amp;F396)</f>
        <v/>
      </c>
    </row>
    <row r="397">
      <c r="F397">
        <f>IF(A397="","",COUNTIF($A$2:A397,A397))</f>
        <v/>
      </c>
      <c r="G397">
        <f>IF(A397="","",A397&amp;"|"&amp;F397)</f>
        <v/>
      </c>
    </row>
    <row r="398">
      <c r="F398">
        <f>IF(A398="","",COUNTIF($A$2:A398,A398))</f>
        <v/>
      </c>
      <c r="G398">
        <f>IF(A398="","",A398&amp;"|"&amp;F398)</f>
        <v/>
      </c>
    </row>
    <row r="399">
      <c r="F399">
        <f>IF(A399="","",COUNTIF($A$2:A399,A399))</f>
        <v/>
      </c>
      <c r="G399">
        <f>IF(A399="","",A399&amp;"|"&amp;F399)</f>
        <v/>
      </c>
    </row>
    <row r="400">
      <c r="F400">
        <f>IF(A400="","",COUNTIF($A$2:A400,A400))</f>
        <v/>
      </c>
      <c r="G400">
        <f>IF(A400="","",A400&amp;"|"&amp;F400)</f>
        <v/>
      </c>
    </row>
    <row r="401">
      <c r="F401">
        <f>IF(A401="","",COUNTIF($A$2:A401,A401))</f>
        <v/>
      </c>
      <c r="G401">
        <f>IF(A401="","",A401&amp;"|"&amp;F401)</f>
        <v/>
      </c>
    </row>
    <row r="402">
      <c r="F402">
        <f>IF(A402="","",COUNTIF($A$2:A402,A402))</f>
        <v/>
      </c>
      <c r="G402">
        <f>IF(A402="","",A402&amp;"|"&amp;F402)</f>
        <v/>
      </c>
    </row>
    <row r="403">
      <c r="F403">
        <f>IF(A403="","",COUNTIF($A$2:A403,A403))</f>
        <v/>
      </c>
      <c r="G403">
        <f>IF(A403="","",A403&amp;"|"&amp;F403)</f>
        <v/>
      </c>
    </row>
    <row r="404">
      <c r="F404">
        <f>IF(A404="","",COUNTIF($A$2:A404,A404))</f>
        <v/>
      </c>
      <c r="G404">
        <f>IF(A404="","",A404&amp;"|"&amp;F404)</f>
        <v/>
      </c>
    </row>
    <row r="405">
      <c r="F405">
        <f>IF(A405="","",COUNTIF($A$2:A405,A405))</f>
        <v/>
      </c>
      <c r="G405">
        <f>IF(A405="","",A405&amp;"|"&amp;F405)</f>
        <v/>
      </c>
    </row>
    <row r="406">
      <c r="F406">
        <f>IF(A406="","",COUNTIF($A$2:A406,A406))</f>
        <v/>
      </c>
      <c r="G406">
        <f>IF(A406="","",A406&amp;"|"&amp;F406)</f>
        <v/>
      </c>
    </row>
    <row r="407">
      <c r="F407">
        <f>IF(A407="","",COUNTIF($A$2:A407,A407))</f>
        <v/>
      </c>
      <c r="G407">
        <f>IF(A407="","",A407&amp;"|"&amp;F407)</f>
        <v/>
      </c>
    </row>
    <row r="408">
      <c r="F408">
        <f>IF(A408="","",COUNTIF($A$2:A408,A408))</f>
        <v/>
      </c>
      <c r="G408">
        <f>IF(A408="","",A408&amp;"|"&amp;F408)</f>
        <v/>
      </c>
    </row>
    <row r="409">
      <c r="F409">
        <f>IF(A409="","",COUNTIF($A$2:A409,A409))</f>
        <v/>
      </c>
      <c r="G409">
        <f>IF(A409="","",A409&amp;"|"&amp;F409)</f>
        <v/>
      </c>
    </row>
    <row r="410">
      <c r="F410">
        <f>IF(A410="","",COUNTIF($A$2:A410,A410))</f>
        <v/>
      </c>
      <c r="G410">
        <f>IF(A410="","",A410&amp;"|"&amp;F410)</f>
        <v/>
      </c>
    </row>
    <row r="411">
      <c r="F411">
        <f>IF(A411="","",COUNTIF($A$2:A411,A411))</f>
        <v/>
      </c>
      <c r="G411">
        <f>IF(A411="","",A411&amp;"|"&amp;F411)</f>
        <v/>
      </c>
    </row>
    <row r="412">
      <c r="F412">
        <f>IF(A412="","",COUNTIF($A$2:A412,A412))</f>
        <v/>
      </c>
      <c r="G412">
        <f>IF(A412="","",A412&amp;"|"&amp;F412)</f>
        <v/>
      </c>
    </row>
    <row r="413">
      <c r="F413">
        <f>IF(A413="","",COUNTIF($A$2:A413,A413))</f>
        <v/>
      </c>
      <c r="G413">
        <f>IF(A413="","",A413&amp;"|"&amp;F413)</f>
        <v/>
      </c>
    </row>
    <row r="414">
      <c r="F414">
        <f>IF(A414="","",COUNTIF($A$2:A414,A414))</f>
        <v/>
      </c>
      <c r="G414">
        <f>IF(A414="","",A414&amp;"|"&amp;F414)</f>
        <v/>
      </c>
    </row>
    <row r="415">
      <c r="F415">
        <f>IF(A415="","",COUNTIF($A$2:A415,A415))</f>
        <v/>
      </c>
      <c r="G415">
        <f>IF(A415="","",A415&amp;"|"&amp;F415)</f>
        <v/>
      </c>
    </row>
    <row r="416">
      <c r="F416">
        <f>IF(A416="","",COUNTIF($A$2:A416,A416))</f>
        <v/>
      </c>
      <c r="G416">
        <f>IF(A416="","",A416&amp;"|"&amp;F416)</f>
        <v/>
      </c>
    </row>
    <row r="417">
      <c r="F417">
        <f>IF(A417="","",COUNTIF($A$2:A417,A417))</f>
        <v/>
      </c>
      <c r="G417">
        <f>IF(A417="","",A417&amp;"|"&amp;F417)</f>
        <v/>
      </c>
    </row>
    <row r="418">
      <c r="F418">
        <f>IF(A418="","",COUNTIF($A$2:A418,A418))</f>
        <v/>
      </c>
      <c r="G418">
        <f>IF(A418="","",A418&amp;"|"&amp;F418)</f>
        <v/>
      </c>
    </row>
    <row r="419">
      <c r="F419">
        <f>IF(A419="","",COUNTIF($A$2:A419,A419))</f>
        <v/>
      </c>
      <c r="G419">
        <f>IF(A419="","",A419&amp;"|"&amp;F419)</f>
        <v/>
      </c>
    </row>
    <row r="420">
      <c r="F420">
        <f>IF(A420="","",COUNTIF($A$2:A420,A420))</f>
        <v/>
      </c>
      <c r="G420">
        <f>IF(A420="","",A420&amp;"|"&amp;F420)</f>
        <v/>
      </c>
    </row>
    <row r="421">
      <c r="F421">
        <f>IF(A421="","",COUNTIF($A$2:A421,A421))</f>
        <v/>
      </c>
      <c r="G421">
        <f>IF(A421="","",A421&amp;"|"&amp;F421)</f>
        <v/>
      </c>
    </row>
    <row r="422">
      <c r="F422">
        <f>IF(A422="","",COUNTIF($A$2:A422,A422))</f>
        <v/>
      </c>
      <c r="G422">
        <f>IF(A422="","",A422&amp;"|"&amp;F422)</f>
        <v/>
      </c>
    </row>
    <row r="423">
      <c r="F423">
        <f>IF(A423="","",COUNTIF($A$2:A423,A423))</f>
        <v/>
      </c>
      <c r="G423">
        <f>IF(A423="","",A423&amp;"|"&amp;F423)</f>
        <v/>
      </c>
    </row>
    <row r="424">
      <c r="F424">
        <f>IF(A424="","",COUNTIF($A$2:A424,A424))</f>
        <v/>
      </c>
      <c r="G424">
        <f>IF(A424="","",A424&amp;"|"&amp;F424)</f>
        <v/>
      </c>
    </row>
    <row r="425">
      <c r="F425">
        <f>IF(A425="","",COUNTIF($A$2:A425,A425))</f>
        <v/>
      </c>
      <c r="G425">
        <f>IF(A425="","",A425&amp;"|"&amp;F425)</f>
        <v/>
      </c>
    </row>
    <row r="426">
      <c r="F426">
        <f>IF(A426="","",COUNTIF($A$2:A426,A426))</f>
        <v/>
      </c>
      <c r="G426">
        <f>IF(A426="","",A426&amp;"|"&amp;F426)</f>
        <v/>
      </c>
    </row>
    <row r="427">
      <c r="F427">
        <f>IF(A427="","",COUNTIF($A$2:A427,A427))</f>
        <v/>
      </c>
      <c r="G427">
        <f>IF(A427="","",A427&amp;"|"&amp;F427)</f>
        <v/>
      </c>
    </row>
    <row r="428">
      <c r="F428">
        <f>IF(A428="","",COUNTIF($A$2:A428,A428))</f>
        <v/>
      </c>
      <c r="G428">
        <f>IF(A428="","",A428&amp;"|"&amp;F428)</f>
        <v/>
      </c>
    </row>
    <row r="429">
      <c r="F429">
        <f>IF(A429="","",COUNTIF($A$2:A429,A429))</f>
        <v/>
      </c>
      <c r="G429">
        <f>IF(A429="","",A429&amp;"|"&amp;F429)</f>
        <v/>
      </c>
    </row>
    <row r="430">
      <c r="F430">
        <f>IF(A430="","",COUNTIF($A$2:A430,A430))</f>
        <v/>
      </c>
      <c r="G430">
        <f>IF(A430="","",A430&amp;"|"&amp;F430)</f>
        <v/>
      </c>
    </row>
    <row r="431">
      <c r="F431">
        <f>IF(A431="","",COUNTIF($A$2:A431,A431))</f>
        <v/>
      </c>
      <c r="G431">
        <f>IF(A431="","",A431&amp;"|"&amp;F431)</f>
        <v/>
      </c>
    </row>
    <row r="432">
      <c r="F432">
        <f>IF(A432="","",COUNTIF($A$2:A432,A432))</f>
        <v/>
      </c>
      <c r="G432">
        <f>IF(A432="","",A432&amp;"|"&amp;F432)</f>
        <v/>
      </c>
    </row>
    <row r="433">
      <c r="F433">
        <f>IF(A433="","",COUNTIF($A$2:A433,A433))</f>
        <v/>
      </c>
      <c r="G433">
        <f>IF(A433="","",A433&amp;"|"&amp;F433)</f>
        <v/>
      </c>
    </row>
    <row r="434">
      <c r="F434">
        <f>IF(A434="","",COUNTIF($A$2:A434,A434))</f>
        <v/>
      </c>
      <c r="G434">
        <f>IF(A434="","",A434&amp;"|"&amp;F434)</f>
        <v/>
      </c>
    </row>
    <row r="435">
      <c r="F435">
        <f>IF(A435="","",COUNTIF($A$2:A435,A435))</f>
        <v/>
      </c>
      <c r="G435">
        <f>IF(A435="","",A435&amp;"|"&amp;F435)</f>
        <v/>
      </c>
    </row>
    <row r="436">
      <c r="F436">
        <f>IF(A436="","",COUNTIF($A$2:A436,A436))</f>
        <v/>
      </c>
      <c r="G436">
        <f>IF(A436="","",A436&amp;"|"&amp;F436)</f>
        <v/>
      </c>
    </row>
    <row r="437">
      <c r="F437">
        <f>IF(A437="","",COUNTIF($A$2:A437,A437))</f>
        <v/>
      </c>
      <c r="G437">
        <f>IF(A437="","",A437&amp;"|"&amp;F437)</f>
        <v/>
      </c>
    </row>
    <row r="438">
      <c r="F438">
        <f>IF(A438="","",COUNTIF($A$2:A438,A438))</f>
        <v/>
      </c>
      <c r="G438">
        <f>IF(A438="","",A438&amp;"|"&amp;F438)</f>
        <v/>
      </c>
    </row>
    <row r="439">
      <c r="F439">
        <f>IF(A439="","",COUNTIF($A$2:A439,A439))</f>
        <v/>
      </c>
      <c r="G439">
        <f>IF(A439="","",A439&amp;"|"&amp;F439)</f>
        <v/>
      </c>
    </row>
    <row r="440">
      <c r="F440">
        <f>IF(A440="","",COUNTIF($A$2:A440,A440))</f>
        <v/>
      </c>
      <c r="G440">
        <f>IF(A440="","",A440&amp;"|"&amp;F440)</f>
        <v/>
      </c>
    </row>
    <row r="441">
      <c r="F441">
        <f>IF(A441="","",COUNTIF($A$2:A441,A441))</f>
        <v/>
      </c>
      <c r="G441">
        <f>IF(A441="","",A441&amp;"|"&amp;F441)</f>
        <v/>
      </c>
    </row>
    <row r="442">
      <c r="F442">
        <f>IF(A442="","",COUNTIF($A$2:A442,A442))</f>
        <v/>
      </c>
      <c r="G442">
        <f>IF(A442="","",A442&amp;"|"&amp;F442)</f>
        <v/>
      </c>
    </row>
    <row r="443">
      <c r="F443">
        <f>IF(A443="","",COUNTIF($A$2:A443,A443))</f>
        <v/>
      </c>
      <c r="G443">
        <f>IF(A443="","",A443&amp;"|"&amp;F443)</f>
        <v/>
      </c>
    </row>
    <row r="444">
      <c r="F444">
        <f>IF(A444="","",COUNTIF($A$2:A444,A444))</f>
        <v/>
      </c>
      <c r="G444">
        <f>IF(A444="","",A444&amp;"|"&amp;F444)</f>
        <v/>
      </c>
    </row>
    <row r="445">
      <c r="F445">
        <f>IF(A445="","",COUNTIF($A$2:A445,A445))</f>
        <v/>
      </c>
      <c r="G445">
        <f>IF(A445="","",A445&amp;"|"&amp;F445)</f>
        <v/>
      </c>
    </row>
    <row r="446">
      <c r="F446">
        <f>IF(A446="","",COUNTIF($A$2:A446,A446))</f>
        <v/>
      </c>
      <c r="G446">
        <f>IF(A446="","",A446&amp;"|"&amp;F446)</f>
        <v/>
      </c>
    </row>
    <row r="447">
      <c r="F447">
        <f>IF(A447="","",COUNTIF($A$2:A447,A447))</f>
        <v/>
      </c>
      <c r="G447">
        <f>IF(A447="","",A447&amp;"|"&amp;F447)</f>
        <v/>
      </c>
    </row>
    <row r="448">
      <c r="F448">
        <f>IF(A448="","",COUNTIF($A$2:A448,A448))</f>
        <v/>
      </c>
      <c r="G448">
        <f>IF(A448="","",A448&amp;"|"&amp;F448)</f>
        <v/>
      </c>
    </row>
    <row r="449">
      <c r="F449">
        <f>IF(A449="","",COUNTIF($A$2:A449,A449))</f>
        <v/>
      </c>
      <c r="G449">
        <f>IF(A449="","",A449&amp;"|"&amp;F449)</f>
        <v/>
      </c>
    </row>
    <row r="450">
      <c r="F450">
        <f>IF(A450="","",COUNTIF($A$2:A450,A450))</f>
        <v/>
      </c>
      <c r="G450">
        <f>IF(A450="","",A450&amp;"|"&amp;F450)</f>
        <v/>
      </c>
    </row>
    <row r="451">
      <c r="F451">
        <f>IF(A451="","",COUNTIF($A$2:A451,A451))</f>
        <v/>
      </c>
      <c r="G451">
        <f>IF(A451="","",A451&amp;"|"&amp;F451)</f>
        <v/>
      </c>
    </row>
    <row r="452">
      <c r="F452">
        <f>IF(A452="","",COUNTIF($A$2:A452,A452))</f>
        <v/>
      </c>
      <c r="G452">
        <f>IF(A452="","",A452&amp;"|"&amp;F452)</f>
        <v/>
      </c>
    </row>
    <row r="453">
      <c r="F453">
        <f>IF(A453="","",COUNTIF($A$2:A453,A453))</f>
        <v/>
      </c>
      <c r="G453">
        <f>IF(A453="","",A453&amp;"|"&amp;F453)</f>
        <v/>
      </c>
    </row>
    <row r="454">
      <c r="F454">
        <f>IF(A454="","",COUNTIF($A$2:A454,A454))</f>
        <v/>
      </c>
      <c r="G454">
        <f>IF(A454="","",A454&amp;"|"&amp;F454)</f>
        <v/>
      </c>
    </row>
    <row r="455">
      <c r="F455">
        <f>IF(A455="","",COUNTIF($A$2:A455,A455))</f>
        <v/>
      </c>
      <c r="G455">
        <f>IF(A455="","",A455&amp;"|"&amp;F455)</f>
        <v/>
      </c>
    </row>
    <row r="456">
      <c r="F456">
        <f>IF(A456="","",COUNTIF($A$2:A456,A456))</f>
        <v/>
      </c>
      <c r="G456">
        <f>IF(A456="","",A456&amp;"|"&amp;F456)</f>
        <v/>
      </c>
    </row>
    <row r="457">
      <c r="F457">
        <f>IF(A457="","",COUNTIF($A$2:A457,A457))</f>
        <v/>
      </c>
      <c r="G457">
        <f>IF(A457="","",A457&amp;"|"&amp;F457)</f>
        <v/>
      </c>
    </row>
    <row r="458">
      <c r="F458">
        <f>IF(A458="","",COUNTIF($A$2:A458,A458))</f>
        <v/>
      </c>
      <c r="G458">
        <f>IF(A458="","",A458&amp;"|"&amp;F458)</f>
        <v/>
      </c>
    </row>
    <row r="459">
      <c r="F459">
        <f>IF(A459="","",COUNTIF($A$2:A459,A459))</f>
        <v/>
      </c>
      <c r="G459">
        <f>IF(A459="","",A459&amp;"|"&amp;F459)</f>
        <v/>
      </c>
    </row>
    <row r="460">
      <c r="F460">
        <f>IF(A460="","",COUNTIF($A$2:A460,A460))</f>
        <v/>
      </c>
      <c r="G460">
        <f>IF(A460="","",A460&amp;"|"&amp;F460)</f>
        <v/>
      </c>
    </row>
    <row r="461">
      <c r="F461">
        <f>IF(A461="","",COUNTIF($A$2:A461,A461))</f>
        <v/>
      </c>
      <c r="G461">
        <f>IF(A461="","",A461&amp;"|"&amp;F461)</f>
        <v/>
      </c>
    </row>
    <row r="462">
      <c r="F462">
        <f>IF(A462="","",COUNTIF($A$2:A462,A462))</f>
        <v/>
      </c>
      <c r="G462">
        <f>IF(A462="","",A462&amp;"|"&amp;F462)</f>
        <v/>
      </c>
    </row>
    <row r="463">
      <c r="F463">
        <f>IF(A463="","",COUNTIF($A$2:A463,A463))</f>
        <v/>
      </c>
      <c r="G463">
        <f>IF(A463="","",A463&amp;"|"&amp;F463)</f>
        <v/>
      </c>
    </row>
    <row r="464">
      <c r="F464">
        <f>IF(A464="","",COUNTIF($A$2:A464,A464))</f>
        <v/>
      </c>
      <c r="G464">
        <f>IF(A464="","",A464&amp;"|"&amp;F464)</f>
        <v/>
      </c>
    </row>
    <row r="465">
      <c r="F465">
        <f>IF(A465="","",COUNTIF($A$2:A465,A465))</f>
        <v/>
      </c>
      <c r="G465">
        <f>IF(A465="","",A465&amp;"|"&amp;F465)</f>
        <v/>
      </c>
    </row>
    <row r="466">
      <c r="F466">
        <f>IF(A466="","",COUNTIF($A$2:A466,A466))</f>
        <v/>
      </c>
      <c r="G466">
        <f>IF(A466="","",A466&amp;"|"&amp;F466)</f>
        <v/>
      </c>
    </row>
    <row r="467">
      <c r="F467">
        <f>IF(A467="","",COUNTIF($A$2:A467,A467))</f>
        <v/>
      </c>
      <c r="G467">
        <f>IF(A467="","",A467&amp;"|"&amp;F467)</f>
        <v/>
      </c>
    </row>
    <row r="468">
      <c r="F468">
        <f>IF(A468="","",COUNTIF($A$2:A468,A468))</f>
        <v/>
      </c>
      <c r="G468">
        <f>IF(A468="","",A468&amp;"|"&amp;F468)</f>
        <v/>
      </c>
    </row>
    <row r="469">
      <c r="F469">
        <f>IF(A469="","",COUNTIF($A$2:A469,A469))</f>
        <v/>
      </c>
      <c r="G469">
        <f>IF(A469="","",A469&amp;"|"&amp;F469)</f>
        <v/>
      </c>
    </row>
    <row r="470">
      <c r="F470">
        <f>IF(A470="","",COUNTIF($A$2:A470,A470))</f>
        <v/>
      </c>
      <c r="G470">
        <f>IF(A470="","",A470&amp;"|"&amp;F470)</f>
        <v/>
      </c>
    </row>
    <row r="471">
      <c r="F471">
        <f>IF(A471="","",COUNTIF($A$2:A471,A471))</f>
        <v/>
      </c>
      <c r="G471">
        <f>IF(A471="","",A471&amp;"|"&amp;F471)</f>
        <v/>
      </c>
    </row>
    <row r="472">
      <c r="F472">
        <f>IF(A472="","",COUNTIF($A$2:A472,A472))</f>
        <v/>
      </c>
      <c r="G472">
        <f>IF(A472="","",A472&amp;"|"&amp;F472)</f>
        <v/>
      </c>
    </row>
    <row r="473">
      <c r="F473">
        <f>IF(A473="","",COUNTIF($A$2:A473,A473))</f>
        <v/>
      </c>
      <c r="G473">
        <f>IF(A473="","",A473&amp;"|"&amp;F473)</f>
        <v/>
      </c>
    </row>
    <row r="474">
      <c r="F474">
        <f>IF(A474="","",COUNTIF($A$2:A474,A474))</f>
        <v/>
      </c>
      <c r="G474">
        <f>IF(A474="","",A474&amp;"|"&amp;F474)</f>
        <v/>
      </c>
    </row>
    <row r="475">
      <c r="F475">
        <f>IF(A475="","",COUNTIF($A$2:A475,A475))</f>
        <v/>
      </c>
      <c r="G475">
        <f>IF(A475="","",A475&amp;"|"&amp;F475)</f>
        <v/>
      </c>
    </row>
    <row r="476">
      <c r="F476">
        <f>IF(A476="","",COUNTIF($A$2:A476,A476))</f>
        <v/>
      </c>
      <c r="G476">
        <f>IF(A476="","",A476&amp;"|"&amp;F476)</f>
        <v/>
      </c>
    </row>
    <row r="477">
      <c r="F477">
        <f>IF(A477="","",COUNTIF($A$2:A477,A477))</f>
        <v/>
      </c>
      <c r="G477">
        <f>IF(A477="","",A477&amp;"|"&amp;F477)</f>
        <v/>
      </c>
    </row>
    <row r="478">
      <c r="F478">
        <f>IF(A478="","",COUNTIF($A$2:A478,A478))</f>
        <v/>
      </c>
      <c r="G478">
        <f>IF(A478="","",A478&amp;"|"&amp;F478)</f>
        <v/>
      </c>
    </row>
    <row r="479">
      <c r="F479">
        <f>IF(A479="","",COUNTIF($A$2:A479,A479))</f>
        <v/>
      </c>
      <c r="G479">
        <f>IF(A479="","",A479&amp;"|"&amp;F479)</f>
        <v/>
      </c>
    </row>
    <row r="480">
      <c r="F480">
        <f>IF(A480="","",COUNTIF($A$2:A480,A480))</f>
        <v/>
      </c>
      <c r="G480">
        <f>IF(A480="","",A480&amp;"|"&amp;F480)</f>
        <v/>
      </c>
    </row>
    <row r="481">
      <c r="F481">
        <f>IF(A481="","",COUNTIF($A$2:A481,A481))</f>
        <v/>
      </c>
      <c r="G481">
        <f>IF(A481="","",A481&amp;"|"&amp;F481)</f>
        <v/>
      </c>
    </row>
    <row r="482">
      <c r="F482">
        <f>IF(A482="","",COUNTIF($A$2:A482,A482))</f>
        <v/>
      </c>
      <c r="G482">
        <f>IF(A482="","",A482&amp;"|"&amp;F482)</f>
        <v/>
      </c>
    </row>
    <row r="483">
      <c r="F483">
        <f>IF(A483="","",COUNTIF($A$2:A483,A483))</f>
        <v/>
      </c>
      <c r="G483">
        <f>IF(A483="","",A483&amp;"|"&amp;F483)</f>
        <v/>
      </c>
    </row>
    <row r="484">
      <c r="F484">
        <f>IF(A484="","",COUNTIF($A$2:A484,A484))</f>
        <v/>
      </c>
      <c r="G484">
        <f>IF(A484="","",A484&amp;"|"&amp;F484)</f>
        <v/>
      </c>
    </row>
    <row r="485">
      <c r="F485">
        <f>IF(A485="","",COUNTIF($A$2:A485,A485))</f>
        <v/>
      </c>
      <c r="G485">
        <f>IF(A485="","",A485&amp;"|"&amp;F485)</f>
        <v/>
      </c>
    </row>
    <row r="486">
      <c r="F486">
        <f>IF(A486="","",COUNTIF($A$2:A486,A486))</f>
        <v/>
      </c>
      <c r="G486">
        <f>IF(A486="","",A486&amp;"|"&amp;F486)</f>
        <v/>
      </c>
    </row>
    <row r="487">
      <c r="F487">
        <f>IF(A487="","",COUNTIF($A$2:A487,A487))</f>
        <v/>
      </c>
      <c r="G487">
        <f>IF(A487="","",A487&amp;"|"&amp;F487)</f>
        <v/>
      </c>
    </row>
    <row r="488">
      <c r="F488">
        <f>IF(A488="","",COUNTIF($A$2:A488,A488))</f>
        <v/>
      </c>
      <c r="G488">
        <f>IF(A488="","",A488&amp;"|"&amp;F488)</f>
        <v/>
      </c>
    </row>
    <row r="489">
      <c r="F489">
        <f>IF(A489="","",COUNTIF($A$2:A489,A489))</f>
        <v/>
      </c>
      <c r="G489">
        <f>IF(A489="","",A489&amp;"|"&amp;F489)</f>
        <v/>
      </c>
    </row>
    <row r="490">
      <c r="F490">
        <f>IF(A490="","",COUNTIF($A$2:A490,A490))</f>
        <v/>
      </c>
      <c r="G490">
        <f>IF(A490="","",A490&amp;"|"&amp;F490)</f>
        <v/>
      </c>
    </row>
    <row r="491">
      <c r="F491">
        <f>IF(A491="","",COUNTIF($A$2:A491,A491))</f>
        <v/>
      </c>
      <c r="G491">
        <f>IF(A491="","",A491&amp;"|"&amp;F491)</f>
        <v/>
      </c>
    </row>
    <row r="492">
      <c r="F492">
        <f>IF(A492="","",COUNTIF($A$2:A492,A492))</f>
        <v/>
      </c>
      <c r="G492">
        <f>IF(A492="","",A492&amp;"|"&amp;F492)</f>
        <v/>
      </c>
    </row>
    <row r="493">
      <c r="F493">
        <f>IF(A493="","",COUNTIF($A$2:A493,A493))</f>
        <v/>
      </c>
      <c r="G493">
        <f>IF(A493="","",A493&amp;"|"&amp;F493)</f>
        <v/>
      </c>
    </row>
    <row r="494">
      <c r="F494">
        <f>IF(A494="","",COUNTIF($A$2:A494,A494))</f>
        <v/>
      </c>
      <c r="G494">
        <f>IF(A494="","",A494&amp;"|"&amp;F494)</f>
        <v/>
      </c>
    </row>
    <row r="495">
      <c r="F495">
        <f>IF(A495="","",COUNTIF($A$2:A495,A495))</f>
        <v/>
      </c>
      <c r="G495">
        <f>IF(A495="","",A495&amp;"|"&amp;F495)</f>
        <v/>
      </c>
    </row>
    <row r="496">
      <c r="F496">
        <f>IF(A496="","",COUNTIF($A$2:A496,A496))</f>
        <v/>
      </c>
      <c r="G496">
        <f>IF(A496="","",A496&amp;"|"&amp;F496)</f>
        <v/>
      </c>
    </row>
    <row r="497">
      <c r="F497">
        <f>IF(A497="","",COUNTIF($A$2:A497,A497))</f>
        <v/>
      </c>
      <c r="G497">
        <f>IF(A497="","",A497&amp;"|"&amp;F497)</f>
        <v/>
      </c>
    </row>
    <row r="498">
      <c r="F498">
        <f>IF(A498="","",COUNTIF($A$2:A498,A498))</f>
        <v/>
      </c>
      <c r="G498">
        <f>IF(A498="","",A498&amp;"|"&amp;F498)</f>
        <v/>
      </c>
    </row>
    <row r="499">
      <c r="F499">
        <f>IF(A499="","",COUNTIF($A$2:A499,A499))</f>
        <v/>
      </c>
      <c r="G499">
        <f>IF(A499="","",A499&amp;"|"&amp;F499)</f>
        <v/>
      </c>
    </row>
    <row r="500">
      <c r="F500">
        <f>IF(A500="","",COUNTIF($A$2:A500,A500))</f>
        <v/>
      </c>
      <c r="G500">
        <f>IF(A500="","",A500&amp;"|"&amp;F500)</f>
        <v/>
      </c>
    </row>
    <row r="501">
      <c r="F501">
        <f>IF(A501="","",COUNTIF($A$2:A501,A501))</f>
        <v/>
      </c>
      <c r="G501">
        <f>IF(A501="","",A501&amp;"|"&amp;F501)</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cols>
    <col width="12" customWidth="1" style="25" min="1" max="1"/>
    <col width="12" customWidth="1" style="25" min="2" max="2"/>
    <col width="12" customWidth="1" style="25" min="3" max="3"/>
    <col width="12" customWidth="1" style="25" min="4" max="4"/>
    <col width="16" customWidth="1" style="25" min="5" max="5"/>
    <col width="19" customWidth="1" style="25" min="6" max="6"/>
    <col width="12" customWidth="1" style="25" min="7" max="7"/>
    <col width="14" customWidth="1" style="25" min="8" max="8"/>
  </cols>
  <sheetData>
    <row r="1">
      <c r="A1" t="inlineStr">
        <is>
          <t>symbol</t>
        </is>
      </c>
      <c r="B1" t="inlineStr">
        <is>
          <t>period</t>
        </is>
      </c>
      <c r="C1" t="inlineStr">
        <is>
          <t>revenue</t>
        </is>
      </c>
      <c r="D1" t="inlineStr">
        <is>
          <t>capex</t>
        </is>
      </c>
      <c r="E1" t="inlineStr">
        <is>
          <t>free_cash_flow</t>
        </is>
      </c>
      <c r="F1" t="inlineStr">
        <is>
          <t>net_profit_margin</t>
        </is>
      </c>
      <c r="G1" t="inlineStr">
        <is>
          <t>rank</t>
        </is>
      </c>
      <c r="H1" t="inlineStr">
        <is>
          <t>key_sym_rank</t>
        </is>
      </c>
    </row>
    <row r="2">
      <c r="G2">
        <f>IF(A2="","",COUNTIF($A$2:A2,A2))</f>
        <v/>
      </c>
      <c r="H2">
        <f>IF(A2="","",A2&amp;"|"&amp;G2)</f>
        <v/>
      </c>
    </row>
    <row r="3">
      <c r="G3">
        <f>IF(A3="","",COUNTIF($A$2:A3,A3))</f>
        <v/>
      </c>
      <c r="H3">
        <f>IF(A3="","",A3&amp;"|"&amp;G3)</f>
        <v/>
      </c>
    </row>
    <row r="4">
      <c r="G4">
        <f>IF(A4="","",COUNTIF($A$2:A4,A4))</f>
        <v/>
      </c>
      <c r="H4">
        <f>IF(A4="","",A4&amp;"|"&amp;G4)</f>
        <v/>
      </c>
    </row>
    <row r="5">
      <c r="G5">
        <f>IF(A5="","",COUNTIF($A$2:A5,A5))</f>
        <v/>
      </c>
      <c r="H5">
        <f>IF(A5="","",A5&amp;"|"&amp;G5)</f>
        <v/>
      </c>
    </row>
    <row r="6">
      <c r="G6">
        <f>IF(A6="","",COUNTIF($A$2:A6,A6))</f>
        <v/>
      </c>
      <c r="H6">
        <f>IF(A6="","",A6&amp;"|"&amp;G6)</f>
        <v/>
      </c>
    </row>
    <row r="7">
      <c r="G7">
        <f>IF(A7="","",COUNTIF($A$2:A7,A7))</f>
        <v/>
      </c>
      <c r="H7">
        <f>IF(A7="","",A7&amp;"|"&amp;G7)</f>
        <v/>
      </c>
    </row>
    <row r="8">
      <c r="G8">
        <f>IF(A8="","",COUNTIF($A$2:A8,A8))</f>
        <v/>
      </c>
      <c r="H8">
        <f>IF(A8="","",A8&amp;"|"&amp;G8)</f>
        <v/>
      </c>
    </row>
    <row r="9">
      <c r="G9">
        <f>IF(A9="","",COUNTIF($A$2:A9,A9))</f>
        <v/>
      </c>
      <c r="H9">
        <f>IF(A9="","",A9&amp;"|"&amp;G9)</f>
        <v/>
      </c>
    </row>
    <row r="10">
      <c r="G10">
        <f>IF(A10="","",COUNTIF($A$2:A10,A10))</f>
        <v/>
      </c>
      <c r="H10">
        <f>IF(A10="","",A10&amp;"|"&amp;G10)</f>
        <v/>
      </c>
    </row>
    <row r="11">
      <c r="G11">
        <f>IF(A11="","",COUNTIF($A$2:A11,A11))</f>
        <v/>
      </c>
      <c r="H11">
        <f>IF(A11="","",A11&amp;"|"&amp;G11)</f>
        <v/>
      </c>
    </row>
    <row r="12">
      <c r="G12">
        <f>IF(A12="","",COUNTIF($A$2:A12,A12))</f>
        <v/>
      </c>
      <c r="H12">
        <f>IF(A12="","",A12&amp;"|"&amp;G12)</f>
        <v/>
      </c>
    </row>
    <row r="13">
      <c r="G13">
        <f>IF(A13="","",COUNTIF($A$2:A13,A13))</f>
        <v/>
      </c>
      <c r="H13">
        <f>IF(A13="","",A13&amp;"|"&amp;G13)</f>
        <v/>
      </c>
    </row>
    <row r="14">
      <c r="G14">
        <f>IF(A14="","",COUNTIF($A$2:A14,A14))</f>
        <v/>
      </c>
      <c r="H14">
        <f>IF(A14="","",A14&amp;"|"&amp;G14)</f>
        <v/>
      </c>
    </row>
    <row r="15">
      <c r="G15">
        <f>IF(A15="","",COUNTIF($A$2:A15,A15))</f>
        <v/>
      </c>
      <c r="H15">
        <f>IF(A15="","",A15&amp;"|"&amp;G15)</f>
        <v/>
      </c>
    </row>
    <row r="16">
      <c r="G16">
        <f>IF(A16="","",COUNTIF($A$2:A16,A16))</f>
        <v/>
      </c>
      <c r="H16">
        <f>IF(A16="","",A16&amp;"|"&amp;G16)</f>
        <v/>
      </c>
    </row>
    <row r="17">
      <c r="G17">
        <f>IF(A17="","",COUNTIF($A$2:A17,A17))</f>
        <v/>
      </c>
      <c r="H17">
        <f>IF(A17="","",A17&amp;"|"&amp;G17)</f>
        <v/>
      </c>
    </row>
    <row r="18">
      <c r="G18">
        <f>IF(A18="","",COUNTIF($A$2:A18,A18))</f>
        <v/>
      </c>
      <c r="H18">
        <f>IF(A18="","",A18&amp;"|"&amp;G18)</f>
        <v/>
      </c>
    </row>
    <row r="19">
      <c r="G19">
        <f>IF(A19="","",COUNTIF($A$2:A19,A19))</f>
        <v/>
      </c>
      <c r="H19">
        <f>IF(A19="","",A19&amp;"|"&amp;G19)</f>
        <v/>
      </c>
    </row>
    <row r="20">
      <c r="G20">
        <f>IF(A20="","",COUNTIF($A$2:A20,A20))</f>
        <v/>
      </c>
      <c r="H20">
        <f>IF(A20="","",A20&amp;"|"&amp;G20)</f>
        <v/>
      </c>
    </row>
    <row r="21">
      <c r="G21">
        <f>IF(A21="","",COUNTIF($A$2:A21,A21))</f>
        <v/>
      </c>
      <c r="H21">
        <f>IF(A21="","",A21&amp;"|"&amp;G21)</f>
        <v/>
      </c>
    </row>
    <row r="22">
      <c r="G22">
        <f>IF(A22="","",COUNTIF($A$2:A22,A22))</f>
        <v/>
      </c>
      <c r="H22">
        <f>IF(A22="","",A22&amp;"|"&amp;G22)</f>
        <v/>
      </c>
    </row>
    <row r="23">
      <c r="G23">
        <f>IF(A23="","",COUNTIF($A$2:A23,A23))</f>
        <v/>
      </c>
      <c r="H23">
        <f>IF(A23="","",A23&amp;"|"&amp;G23)</f>
        <v/>
      </c>
    </row>
    <row r="24">
      <c r="G24">
        <f>IF(A24="","",COUNTIF($A$2:A24,A24))</f>
        <v/>
      </c>
      <c r="H24">
        <f>IF(A24="","",A24&amp;"|"&amp;G24)</f>
        <v/>
      </c>
    </row>
    <row r="25">
      <c r="G25">
        <f>IF(A25="","",COUNTIF($A$2:A25,A25))</f>
        <v/>
      </c>
      <c r="H25">
        <f>IF(A25="","",A25&amp;"|"&amp;G25)</f>
        <v/>
      </c>
    </row>
    <row r="26">
      <c r="G26">
        <f>IF(A26="","",COUNTIF($A$2:A26,A26))</f>
        <v/>
      </c>
      <c r="H26">
        <f>IF(A26="","",A26&amp;"|"&amp;G26)</f>
        <v/>
      </c>
    </row>
    <row r="27">
      <c r="G27">
        <f>IF(A27="","",COUNTIF($A$2:A27,A27))</f>
        <v/>
      </c>
      <c r="H27">
        <f>IF(A27="","",A27&amp;"|"&amp;G27)</f>
        <v/>
      </c>
    </row>
    <row r="28">
      <c r="G28">
        <f>IF(A28="","",COUNTIF($A$2:A28,A28))</f>
        <v/>
      </c>
      <c r="H28">
        <f>IF(A28="","",A28&amp;"|"&amp;G28)</f>
        <v/>
      </c>
    </row>
    <row r="29">
      <c r="G29">
        <f>IF(A29="","",COUNTIF($A$2:A29,A29))</f>
        <v/>
      </c>
      <c r="H29">
        <f>IF(A29="","",A29&amp;"|"&amp;G29)</f>
        <v/>
      </c>
    </row>
    <row r="30">
      <c r="G30">
        <f>IF(A30="","",COUNTIF($A$2:A30,A30))</f>
        <v/>
      </c>
      <c r="H30">
        <f>IF(A30="","",A30&amp;"|"&amp;G30)</f>
        <v/>
      </c>
    </row>
    <row r="31">
      <c r="G31">
        <f>IF(A31="","",COUNTIF($A$2:A31,A31))</f>
        <v/>
      </c>
      <c r="H31">
        <f>IF(A31="","",A31&amp;"|"&amp;G31)</f>
        <v/>
      </c>
    </row>
    <row r="32">
      <c r="G32">
        <f>IF(A32="","",COUNTIF($A$2:A32,A32))</f>
        <v/>
      </c>
      <c r="H32">
        <f>IF(A32="","",A32&amp;"|"&amp;G32)</f>
        <v/>
      </c>
    </row>
    <row r="33">
      <c r="G33">
        <f>IF(A33="","",COUNTIF($A$2:A33,A33))</f>
        <v/>
      </c>
      <c r="H33">
        <f>IF(A33="","",A33&amp;"|"&amp;G33)</f>
        <v/>
      </c>
    </row>
    <row r="34">
      <c r="G34">
        <f>IF(A34="","",COUNTIF($A$2:A34,A34))</f>
        <v/>
      </c>
      <c r="H34">
        <f>IF(A34="","",A34&amp;"|"&amp;G34)</f>
        <v/>
      </c>
    </row>
    <row r="35">
      <c r="G35">
        <f>IF(A35="","",COUNTIF($A$2:A35,A35))</f>
        <v/>
      </c>
      <c r="H35">
        <f>IF(A35="","",A35&amp;"|"&amp;G35)</f>
        <v/>
      </c>
    </row>
    <row r="36">
      <c r="G36">
        <f>IF(A36="","",COUNTIF($A$2:A36,A36))</f>
        <v/>
      </c>
      <c r="H36">
        <f>IF(A36="","",A36&amp;"|"&amp;G36)</f>
        <v/>
      </c>
    </row>
    <row r="37">
      <c r="G37">
        <f>IF(A37="","",COUNTIF($A$2:A37,A37))</f>
        <v/>
      </c>
      <c r="H37">
        <f>IF(A37="","",A37&amp;"|"&amp;G37)</f>
        <v/>
      </c>
    </row>
    <row r="38">
      <c r="G38">
        <f>IF(A38="","",COUNTIF($A$2:A38,A38))</f>
        <v/>
      </c>
      <c r="H38">
        <f>IF(A38="","",A38&amp;"|"&amp;G38)</f>
        <v/>
      </c>
    </row>
    <row r="39">
      <c r="G39">
        <f>IF(A39="","",COUNTIF($A$2:A39,A39))</f>
        <v/>
      </c>
      <c r="H39">
        <f>IF(A39="","",A39&amp;"|"&amp;G39)</f>
        <v/>
      </c>
    </row>
    <row r="40">
      <c r="G40">
        <f>IF(A40="","",COUNTIF($A$2:A40,A40))</f>
        <v/>
      </c>
      <c r="H40">
        <f>IF(A40="","",A40&amp;"|"&amp;G40)</f>
        <v/>
      </c>
    </row>
    <row r="41">
      <c r="G41">
        <f>IF(A41="","",COUNTIF($A$2:A41,A41))</f>
        <v/>
      </c>
      <c r="H41">
        <f>IF(A41="","",A41&amp;"|"&amp;G41)</f>
        <v/>
      </c>
    </row>
    <row r="42">
      <c r="G42">
        <f>IF(A42="","",COUNTIF($A$2:A42,A42))</f>
        <v/>
      </c>
      <c r="H42">
        <f>IF(A42="","",A42&amp;"|"&amp;G42)</f>
        <v/>
      </c>
    </row>
    <row r="43">
      <c r="G43">
        <f>IF(A43="","",COUNTIF($A$2:A43,A43))</f>
        <v/>
      </c>
      <c r="H43">
        <f>IF(A43="","",A43&amp;"|"&amp;G43)</f>
        <v/>
      </c>
    </row>
    <row r="44">
      <c r="G44">
        <f>IF(A44="","",COUNTIF($A$2:A44,A44))</f>
        <v/>
      </c>
      <c r="H44">
        <f>IF(A44="","",A44&amp;"|"&amp;G44)</f>
        <v/>
      </c>
    </row>
    <row r="45">
      <c r="G45">
        <f>IF(A45="","",COUNTIF($A$2:A45,A45))</f>
        <v/>
      </c>
      <c r="H45">
        <f>IF(A45="","",A45&amp;"|"&amp;G45)</f>
        <v/>
      </c>
    </row>
    <row r="46">
      <c r="G46">
        <f>IF(A46="","",COUNTIF($A$2:A46,A46))</f>
        <v/>
      </c>
      <c r="H46">
        <f>IF(A46="","",A46&amp;"|"&amp;G46)</f>
        <v/>
      </c>
    </row>
    <row r="47">
      <c r="G47">
        <f>IF(A47="","",COUNTIF($A$2:A47,A47))</f>
        <v/>
      </c>
      <c r="H47">
        <f>IF(A47="","",A47&amp;"|"&amp;G47)</f>
        <v/>
      </c>
    </row>
    <row r="48">
      <c r="G48">
        <f>IF(A48="","",COUNTIF($A$2:A48,A48))</f>
        <v/>
      </c>
      <c r="H48">
        <f>IF(A48="","",A48&amp;"|"&amp;G48)</f>
        <v/>
      </c>
    </row>
    <row r="49">
      <c r="G49">
        <f>IF(A49="","",COUNTIF($A$2:A49,A49))</f>
        <v/>
      </c>
      <c r="H49">
        <f>IF(A49="","",A49&amp;"|"&amp;G49)</f>
        <v/>
      </c>
    </row>
    <row r="50">
      <c r="G50">
        <f>IF(A50="","",COUNTIF($A$2:A50,A50))</f>
        <v/>
      </c>
      <c r="H50">
        <f>IF(A50="","",A50&amp;"|"&amp;G50)</f>
        <v/>
      </c>
    </row>
    <row r="51">
      <c r="G51">
        <f>IF(A51="","",COUNTIF($A$2:A51,A51))</f>
        <v/>
      </c>
      <c r="H51">
        <f>IF(A51="","",A51&amp;"|"&amp;G51)</f>
        <v/>
      </c>
    </row>
    <row r="52">
      <c r="G52">
        <f>IF(A52="","",COUNTIF($A$2:A52,A52))</f>
        <v/>
      </c>
      <c r="H52">
        <f>IF(A52="","",A52&amp;"|"&amp;G52)</f>
        <v/>
      </c>
    </row>
    <row r="53">
      <c r="G53">
        <f>IF(A53="","",COUNTIF($A$2:A53,A53))</f>
        <v/>
      </c>
      <c r="H53">
        <f>IF(A53="","",A53&amp;"|"&amp;G53)</f>
        <v/>
      </c>
    </row>
    <row r="54">
      <c r="G54">
        <f>IF(A54="","",COUNTIF($A$2:A54,A54))</f>
        <v/>
      </c>
      <c r="H54">
        <f>IF(A54="","",A54&amp;"|"&amp;G54)</f>
        <v/>
      </c>
    </row>
    <row r="55">
      <c r="G55">
        <f>IF(A55="","",COUNTIF($A$2:A55,A55))</f>
        <v/>
      </c>
      <c r="H55">
        <f>IF(A55="","",A55&amp;"|"&amp;G55)</f>
        <v/>
      </c>
    </row>
    <row r="56">
      <c r="G56">
        <f>IF(A56="","",COUNTIF($A$2:A56,A56))</f>
        <v/>
      </c>
      <c r="H56">
        <f>IF(A56="","",A56&amp;"|"&amp;G56)</f>
        <v/>
      </c>
    </row>
    <row r="57">
      <c r="G57">
        <f>IF(A57="","",COUNTIF($A$2:A57,A57))</f>
        <v/>
      </c>
      <c r="H57">
        <f>IF(A57="","",A57&amp;"|"&amp;G57)</f>
        <v/>
      </c>
    </row>
    <row r="58">
      <c r="G58">
        <f>IF(A58="","",COUNTIF($A$2:A58,A58))</f>
        <v/>
      </c>
      <c r="H58">
        <f>IF(A58="","",A58&amp;"|"&amp;G58)</f>
        <v/>
      </c>
    </row>
    <row r="59">
      <c r="G59">
        <f>IF(A59="","",COUNTIF($A$2:A59,A59))</f>
        <v/>
      </c>
      <c r="H59">
        <f>IF(A59="","",A59&amp;"|"&amp;G59)</f>
        <v/>
      </c>
    </row>
    <row r="60">
      <c r="G60">
        <f>IF(A60="","",COUNTIF($A$2:A60,A60))</f>
        <v/>
      </c>
      <c r="H60">
        <f>IF(A60="","",A60&amp;"|"&amp;G60)</f>
        <v/>
      </c>
    </row>
    <row r="61">
      <c r="G61">
        <f>IF(A61="","",COUNTIF($A$2:A61,A61))</f>
        <v/>
      </c>
      <c r="H61">
        <f>IF(A61="","",A61&amp;"|"&amp;G61)</f>
        <v/>
      </c>
    </row>
    <row r="62">
      <c r="G62">
        <f>IF(A62="","",COUNTIF($A$2:A62,A62))</f>
        <v/>
      </c>
      <c r="H62">
        <f>IF(A62="","",A62&amp;"|"&amp;G62)</f>
        <v/>
      </c>
    </row>
    <row r="63">
      <c r="G63">
        <f>IF(A63="","",COUNTIF($A$2:A63,A63))</f>
        <v/>
      </c>
      <c r="H63">
        <f>IF(A63="","",A63&amp;"|"&amp;G63)</f>
        <v/>
      </c>
    </row>
    <row r="64">
      <c r="G64">
        <f>IF(A64="","",COUNTIF($A$2:A64,A64))</f>
        <v/>
      </c>
      <c r="H64">
        <f>IF(A64="","",A64&amp;"|"&amp;G64)</f>
        <v/>
      </c>
    </row>
    <row r="65">
      <c r="G65">
        <f>IF(A65="","",COUNTIF($A$2:A65,A65))</f>
        <v/>
      </c>
      <c r="H65">
        <f>IF(A65="","",A65&amp;"|"&amp;G65)</f>
        <v/>
      </c>
    </row>
    <row r="66">
      <c r="G66">
        <f>IF(A66="","",COUNTIF($A$2:A66,A66))</f>
        <v/>
      </c>
      <c r="H66">
        <f>IF(A66="","",A66&amp;"|"&amp;G66)</f>
        <v/>
      </c>
    </row>
    <row r="67">
      <c r="G67">
        <f>IF(A67="","",COUNTIF($A$2:A67,A67))</f>
        <v/>
      </c>
      <c r="H67">
        <f>IF(A67="","",A67&amp;"|"&amp;G67)</f>
        <v/>
      </c>
    </row>
    <row r="68">
      <c r="G68">
        <f>IF(A68="","",COUNTIF($A$2:A68,A68))</f>
        <v/>
      </c>
      <c r="H68">
        <f>IF(A68="","",A68&amp;"|"&amp;G68)</f>
        <v/>
      </c>
    </row>
    <row r="69">
      <c r="G69">
        <f>IF(A69="","",COUNTIF($A$2:A69,A69))</f>
        <v/>
      </c>
      <c r="H69">
        <f>IF(A69="","",A69&amp;"|"&amp;G69)</f>
        <v/>
      </c>
    </row>
    <row r="70">
      <c r="G70">
        <f>IF(A70="","",COUNTIF($A$2:A70,A70))</f>
        <v/>
      </c>
      <c r="H70">
        <f>IF(A70="","",A70&amp;"|"&amp;G70)</f>
        <v/>
      </c>
    </row>
    <row r="71">
      <c r="G71">
        <f>IF(A71="","",COUNTIF($A$2:A71,A71))</f>
        <v/>
      </c>
      <c r="H71">
        <f>IF(A71="","",A71&amp;"|"&amp;G71)</f>
        <v/>
      </c>
    </row>
    <row r="72">
      <c r="G72">
        <f>IF(A72="","",COUNTIF($A$2:A72,A72))</f>
        <v/>
      </c>
      <c r="H72">
        <f>IF(A72="","",A72&amp;"|"&amp;G72)</f>
        <v/>
      </c>
    </row>
    <row r="73">
      <c r="G73">
        <f>IF(A73="","",COUNTIF($A$2:A73,A73))</f>
        <v/>
      </c>
      <c r="H73">
        <f>IF(A73="","",A73&amp;"|"&amp;G73)</f>
        <v/>
      </c>
    </row>
    <row r="74">
      <c r="G74">
        <f>IF(A74="","",COUNTIF($A$2:A74,A74))</f>
        <v/>
      </c>
      <c r="H74">
        <f>IF(A74="","",A74&amp;"|"&amp;G74)</f>
        <v/>
      </c>
    </row>
    <row r="75">
      <c r="G75">
        <f>IF(A75="","",COUNTIF($A$2:A75,A75))</f>
        <v/>
      </c>
      <c r="H75">
        <f>IF(A75="","",A75&amp;"|"&amp;G75)</f>
        <v/>
      </c>
    </row>
    <row r="76">
      <c r="G76">
        <f>IF(A76="","",COUNTIF($A$2:A76,A76))</f>
        <v/>
      </c>
      <c r="H76">
        <f>IF(A76="","",A76&amp;"|"&amp;G76)</f>
        <v/>
      </c>
    </row>
    <row r="77">
      <c r="G77">
        <f>IF(A77="","",COUNTIF($A$2:A77,A77))</f>
        <v/>
      </c>
      <c r="H77">
        <f>IF(A77="","",A77&amp;"|"&amp;G77)</f>
        <v/>
      </c>
    </row>
    <row r="78">
      <c r="G78">
        <f>IF(A78="","",COUNTIF($A$2:A78,A78))</f>
        <v/>
      </c>
      <c r="H78">
        <f>IF(A78="","",A78&amp;"|"&amp;G78)</f>
        <v/>
      </c>
    </row>
    <row r="79">
      <c r="G79">
        <f>IF(A79="","",COUNTIF($A$2:A79,A79))</f>
        <v/>
      </c>
      <c r="H79">
        <f>IF(A79="","",A79&amp;"|"&amp;G79)</f>
        <v/>
      </c>
    </row>
    <row r="80">
      <c r="G80">
        <f>IF(A80="","",COUNTIF($A$2:A80,A80))</f>
        <v/>
      </c>
      <c r="H80">
        <f>IF(A80="","",A80&amp;"|"&amp;G80)</f>
        <v/>
      </c>
    </row>
    <row r="81">
      <c r="G81">
        <f>IF(A81="","",COUNTIF($A$2:A81,A81))</f>
        <v/>
      </c>
      <c r="H81">
        <f>IF(A81="","",A81&amp;"|"&amp;G81)</f>
        <v/>
      </c>
    </row>
    <row r="82">
      <c r="G82">
        <f>IF(A82="","",COUNTIF($A$2:A82,A82))</f>
        <v/>
      </c>
      <c r="H82">
        <f>IF(A82="","",A82&amp;"|"&amp;G82)</f>
        <v/>
      </c>
    </row>
    <row r="83">
      <c r="G83">
        <f>IF(A83="","",COUNTIF($A$2:A83,A83))</f>
        <v/>
      </c>
      <c r="H83">
        <f>IF(A83="","",A83&amp;"|"&amp;G83)</f>
        <v/>
      </c>
    </row>
    <row r="84">
      <c r="G84">
        <f>IF(A84="","",COUNTIF($A$2:A84,A84))</f>
        <v/>
      </c>
      <c r="H84">
        <f>IF(A84="","",A84&amp;"|"&amp;G84)</f>
        <v/>
      </c>
    </row>
    <row r="85">
      <c r="G85">
        <f>IF(A85="","",COUNTIF($A$2:A85,A85))</f>
        <v/>
      </c>
      <c r="H85">
        <f>IF(A85="","",A85&amp;"|"&amp;G85)</f>
        <v/>
      </c>
    </row>
    <row r="86">
      <c r="G86">
        <f>IF(A86="","",COUNTIF($A$2:A86,A86))</f>
        <v/>
      </c>
      <c r="H86">
        <f>IF(A86="","",A86&amp;"|"&amp;G86)</f>
        <v/>
      </c>
    </row>
    <row r="87">
      <c r="G87">
        <f>IF(A87="","",COUNTIF($A$2:A87,A87))</f>
        <v/>
      </c>
      <c r="H87">
        <f>IF(A87="","",A87&amp;"|"&amp;G87)</f>
        <v/>
      </c>
    </row>
    <row r="88">
      <c r="G88">
        <f>IF(A88="","",COUNTIF($A$2:A88,A88))</f>
        <v/>
      </c>
      <c r="H88">
        <f>IF(A88="","",A88&amp;"|"&amp;G88)</f>
        <v/>
      </c>
    </row>
    <row r="89">
      <c r="G89">
        <f>IF(A89="","",COUNTIF($A$2:A89,A89))</f>
        <v/>
      </c>
      <c r="H89">
        <f>IF(A89="","",A89&amp;"|"&amp;G89)</f>
        <v/>
      </c>
    </row>
    <row r="90">
      <c r="G90">
        <f>IF(A90="","",COUNTIF($A$2:A90,A90))</f>
        <v/>
      </c>
      <c r="H90">
        <f>IF(A90="","",A90&amp;"|"&amp;G90)</f>
        <v/>
      </c>
    </row>
    <row r="91">
      <c r="G91">
        <f>IF(A91="","",COUNTIF($A$2:A91,A91))</f>
        <v/>
      </c>
      <c r="H91">
        <f>IF(A91="","",A91&amp;"|"&amp;G91)</f>
        <v/>
      </c>
    </row>
    <row r="92">
      <c r="G92">
        <f>IF(A92="","",COUNTIF($A$2:A92,A92))</f>
        <v/>
      </c>
      <c r="H92">
        <f>IF(A92="","",A92&amp;"|"&amp;G92)</f>
        <v/>
      </c>
    </row>
    <row r="93">
      <c r="G93">
        <f>IF(A93="","",COUNTIF($A$2:A93,A93))</f>
        <v/>
      </c>
      <c r="H93">
        <f>IF(A93="","",A93&amp;"|"&amp;G93)</f>
        <v/>
      </c>
    </row>
    <row r="94">
      <c r="G94">
        <f>IF(A94="","",COUNTIF($A$2:A94,A94))</f>
        <v/>
      </c>
      <c r="H94">
        <f>IF(A94="","",A94&amp;"|"&amp;G94)</f>
        <v/>
      </c>
    </row>
    <row r="95">
      <c r="G95">
        <f>IF(A95="","",COUNTIF($A$2:A95,A95))</f>
        <v/>
      </c>
      <c r="H95">
        <f>IF(A95="","",A95&amp;"|"&amp;G95)</f>
        <v/>
      </c>
    </row>
    <row r="96">
      <c r="G96">
        <f>IF(A96="","",COUNTIF($A$2:A96,A96))</f>
        <v/>
      </c>
      <c r="H96">
        <f>IF(A96="","",A96&amp;"|"&amp;G96)</f>
        <v/>
      </c>
    </row>
    <row r="97">
      <c r="G97">
        <f>IF(A97="","",COUNTIF($A$2:A97,A97))</f>
        <v/>
      </c>
      <c r="H97">
        <f>IF(A97="","",A97&amp;"|"&amp;G97)</f>
        <v/>
      </c>
    </row>
    <row r="98">
      <c r="G98">
        <f>IF(A98="","",COUNTIF($A$2:A98,A98))</f>
        <v/>
      </c>
      <c r="H98">
        <f>IF(A98="","",A98&amp;"|"&amp;G98)</f>
        <v/>
      </c>
    </row>
    <row r="99">
      <c r="G99">
        <f>IF(A99="","",COUNTIF($A$2:A99,A99))</f>
        <v/>
      </c>
      <c r="H99">
        <f>IF(A99="","",A99&amp;"|"&amp;G99)</f>
        <v/>
      </c>
    </row>
    <row r="100">
      <c r="G100">
        <f>IF(A100="","",COUNTIF($A$2:A100,A100))</f>
        <v/>
      </c>
      <c r="H100">
        <f>IF(A100="","",A100&amp;"|"&amp;G100)</f>
        <v/>
      </c>
    </row>
    <row r="101">
      <c r="G101">
        <f>IF(A101="","",COUNTIF($A$2:A101,A101))</f>
        <v/>
      </c>
      <c r="H101">
        <f>IF(A101="","",A101&amp;"|"&amp;G101)</f>
        <v/>
      </c>
    </row>
    <row r="102">
      <c r="G102">
        <f>IF(A102="","",COUNTIF($A$2:A102,A102))</f>
        <v/>
      </c>
      <c r="H102">
        <f>IF(A102="","",A102&amp;"|"&amp;G102)</f>
        <v/>
      </c>
    </row>
    <row r="103">
      <c r="G103">
        <f>IF(A103="","",COUNTIF($A$2:A103,A103))</f>
        <v/>
      </c>
      <c r="H103">
        <f>IF(A103="","",A103&amp;"|"&amp;G103)</f>
        <v/>
      </c>
    </row>
    <row r="104">
      <c r="G104">
        <f>IF(A104="","",COUNTIF($A$2:A104,A104))</f>
        <v/>
      </c>
      <c r="H104">
        <f>IF(A104="","",A104&amp;"|"&amp;G104)</f>
        <v/>
      </c>
    </row>
    <row r="105">
      <c r="G105">
        <f>IF(A105="","",COUNTIF($A$2:A105,A105))</f>
        <v/>
      </c>
      <c r="H105">
        <f>IF(A105="","",A105&amp;"|"&amp;G105)</f>
        <v/>
      </c>
    </row>
    <row r="106">
      <c r="G106">
        <f>IF(A106="","",COUNTIF($A$2:A106,A106))</f>
        <v/>
      </c>
      <c r="H106">
        <f>IF(A106="","",A106&amp;"|"&amp;G106)</f>
        <v/>
      </c>
    </row>
    <row r="107">
      <c r="G107">
        <f>IF(A107="","",COUNTIF($A$2:A107,A107))</f>
        <v/>
      </c>
      <c r="H107">
        <f>IF(A107="","",A107&amp;"|"&amp;G107)</f>
        <v/>
      </c>
    </row>
    <row r="108">
      <c r="G108">
        <f>IF(A108="","",COUNTIF($A$2:A108,A108))</f>
        <v/>
      </c>
      <c r="H108">
        <f>IF(A108="","",A108&amp;"|"&amp;G108)</f>
        <v/>
      </c>
    </row>
    <row r="109">
      <c r="G109">
        <f>IF(A109="","",COUNTIF($A$2:A109,A109))</f>
        <v/>
      </c>
      <c r="H109">
        <f>IF(A109="","",A109&amp;"|"&amp;G109)</f>
        <v/>
      </c>
    </row>
    <row r="110">
      <c r="G110">
        <f>IF(A110="","",COUNTIF($A$2:A110,A110))</f>
        <v/>
      </c>
      <c r="H110">
        <f>IF(A110="","",A110&amp;"|"&amp;G110)</f>
        <v/>
      </c>
    </row>
    <row r="111">
      <c r="G111">
        <f>IF(A111="","",COUNTIF($A$2:A111,A111))</f>
        <v/>
      </c>
      <c r="H111">
        <f>IF(A111="","",A111&amp;"|"&amp;G111)</f>
        <v/>
      </c>
    </row>
    <row r="112">
      <c r="G112">
        <f>IF(A112="","",COUNTIF($A$2:A112,A112))</f>
        <v/>
      </c>
      <c r="H112">
        <f>IF(A112="","",A112&amp;"|"&amp;G112)</f>
        <v/>
      </c>
    </row>
    <row r="113">
      <c r="G113">
        <f>IF(A113="","",COUNTIF($A$2:A113,A113))</f>
        <v/>
      </c>
      <c r="H113">
        <f>IF(A113="","",A113&amp;"|"&amp;G113)</f>
        <v/>
      </c>
    </row>
    <row r="114">
      <c r="G114">
        <f>IF(A114="","",COUNTIF($A$2:A114,A114))</f>
        <v/>
      </c>
      <c r="H114">
        <f>IF(A114="","",A114&amp;"|"&amp;G114)</f>
        <v/>
      </c>
    </row>
    <row r="115">
      <c r="G115">
        <f>IF(A115="","",COUNTIF($A$2:A115,A115))</f>
        <v/>
      </c>
      <c r="H115">
        <f>IF(A115="","",A115&amp;"|"&amp;G115)</f>
        <v/>
      </c>
    </row>
    <row r="116">
      <c r="G116">
        <f>IF(A116="","",COUNTIF($A$2:A116,A116))</f>
        <v/>
      </c>
      <c r="H116">
        <f>IF(A116="","",A116&amp;"|"&amp;G116)</f>
        <v/>
      </c>
    </row>
    <row r="117">
      <c r="G117">
        <f>IF(A117="","",COUNTIF($A$2:A117,A117))</f>
        <v/>
      </c>
      <c r="H117">
        <f>IF(A117="","",A117&amp;"|"&amp;G117)</f>
        <v/>
      </c>
    </row>
    <row r="118">
      <c r="G118">
        <f>IF(A118="","",COUNTIF($A$2:A118,A118))</f>
        <v/>
      </c>
      <c r="H118">
        <f>IF(A118="","",A118&amp;"|"&amp;G118)</f>
        <v/>
      </c>
    </row>
    <row r="119">
      <c r="G119">
        <f>IF(A119="","",COUNTIF($A$2:A119,A119))</f>
        <v/>
      </c>
      <c r="H119">
        <f>IF(A119="","",A119&amp;"|"&amp;G119)</f>
        <v/>
      </c>
    </row>
    <row r="120">
      <c r="G120">
        <f>IF(A120="","",COUNTIF($A$2:A120,A120))</f>
        <v/>
      </c>
      <c r="H120">
        <f>IF(A120="","",A120&amp;"|"&amp;G120)</f>
        <v/>
      </c>
    </row>
    <row r="121">
      <c r="G121">
        <f>IF(A121="","",COUNTIF($A$2:A121,A121))</f>
        <v/>
      </c>
      <c r="H121">
        <f>IF(A121="","",A121&amp;"|"&amp;G121)</f>
        <v/>
      </c>
    </row>
    <row r="122">
      <c r="G122">
        <f>IF(A122="","",COUNTIF($A$2:A122,A122))</f>
        <v/>
      </c>
      <c r="H122">
        <f>IF(A122="","",A122&amp;"|"&amp;G122)</f>
        <v/>
      </c>
    </row>
    <row r="123">
      <c r="G123">
        <f>IF(A123="","",COUNTIF($A$2:A123,A123))</f>
        <v/>
      </c>
      <c r="H123">
        <f>IF(A123="","",A123&amp;"|"&amp;G123)</f>
        <v/>
      </c>
    </row>
    <row r="124">
      <c r="G124">
        <f>IF(A124="","",COUNTIF($A$2:A124,A124))</f>
        <v/>
      </c>
      <c r="H124">
        <f>IF(A124="","",A124&amp;"|"&amp;G124)</f>
        <v/>
      </c>
    </row>
    <row r="125">
      <c r="G125">
        <f>IF(A125="","",COUNTIF($A$2:A125,A125))</f>
        <v/>
      </c>
      <c r="H125">
        <f>IF(A125="","",A125&amp;"|"&amp;G125)</f>
        <v/>
      </c>
    </row>
    <row r="126">
      <c r="G126">
        <f>IF(A126="","",COUNTIF($A$2:A126,A126))</f>
        <v/>
      </c>
      <c r="H126">
        <f>IF(A126="","",A126&amp;"|"&amp;G126)</f>
        <v/>
      </c>
    </row>
    <row r="127">
      <c r="G127">
        <f>IF(A127="","",COUNTIF($A$2:A127,A127))</f>
        <v/>
      </c>
      <c r="H127">
        <f>IF(A127="","",A127&amp;"|"&amp;G127)</f>
        <v/>
      </c>
    </row>
    <row r="128">
      <c r="G128">
        <f>IF(A128="","",COUNTIF($A$2:A128,A128))</f>
        <v/>
      </c>
      <c r="H128">
        <f>IF(A128="","",A128&amp;"|"&amp;G128)</f>
        <v/>
      </c>
    </row>
    <row r="129">
      <c r="G129">
        <f>IF(A129="","",COUNTIF($A$2:A129,A129))</f>
        <v/>
      </c>
      <c r="H129">
        <f>IF(A129="","",A129&amp;"|"&amp;G129)</f>
        <v/>
      </c>
    </row>
    <row r="130">
      <c r="G130">
        <f>IF(A130="","",COUNTIF($A$2:A130,A130))</f>
        <v/>
      </c>
      <c r="H130">
        <f>IF(A130="","",A130&amp;"|"&amp;G130)</f>
        <v/>
      </c>
    </row>
    <row r="131">
      <c r="G131">
        <f>IF(A131="","",COUNTIF($A$2:A131,A131))</f>
        <v/>
      </c>
      <c r="H131">
        <f>IF(A131="","",A131&amp;"|"&amp;G131)</f>
        <v/>
      </c>
    </row>
    <row r="132">
      <c r="G132">
        <f>IF(A132="","",COUNTIF($A$2:A132,A132))</f>
        <v/>
      </c>
      <c r="H132">
        <f>IF(A132="","",A132&amp;"|"&amp;G132)</f>
        <v/>
      </c>
    </row>
    <row r="133">
      <c r="G133">
        <f>IF(A133="","",COUNTIF($A$2:A133,A133))</f>
        <v/>
      </c>
      <c r="H133">
        <f>IF(A133="","",A133&amp;"|"&amp;G133)</f>
        <v/>
      </c>
    </row>
    <row r="134">
      <c r="G134">
        <f>IF(A134="","",COUNTIF($A$2:A134,A134))</f>
        <v/>
      </c>
      <c r="H134">
        <f>IF(A134="","",A134&amp;"|"&amp;G134)</f>
        <v/>
      </c>
    </row>
    <row r="135">
      <c r="G135">
        <f>IF(A135="","",COUNTIF($A$2:A135,A135))</f>
        <v/>
      </c>
      <c r="H135">
        <f>IF(A135="","",A135&amp;"|"&amp;G135)</f>
        <v/>
      </c>
    </row>
    <row r="136">
      <c r="G136">
        <f>IF(A136="","",COUNTIF($A$2:A136,A136))</f>
        <v/>
      </c>
      <c r="H136">
        <f>IF(A136="","",A136&amp;"|"&amp;G136)</f>
        <v/>
      </c>
    </row>
    <row r="137">
      <c r="G137">
        <f>IF(A137="","",COUNTIF($A$2:A137,A137))</f>
        <v/>
      </c>
      <c r="H137">
        <f>IF(A137="","",A137&amp;"|"&amp;G137)</f>
        <v/>
      </c>
    </row>
    <row r="138">
      <c r="G138">
        <f>IF(A138="","",COUNTIF($A$2:A138,A138))</f>
        <v/>
      </c>
      <c r="H138">
        <f>IF(A138="","",A138&amp;"|"&amp;G138)</f>
        <v/>
      </c>
    </row>
    <row r="139">
      <c r="G139">
        <f>IF(A139="","",COUNTIF($A$2:A139,A139))</f>
        <v/>
      </c>
      <c r="H139">
        <f>IF(A139="","",A139&amp;"|"&amp;G139)</f>
        <v/>
      </c>
    </row>
    <row r="140">
      <c r="G140">
        <f>IF(A140="","",COUNTIF($A$2:A140,A140))</f>
        <v/>
      </c>
      <c r="H140">
        <f>IF(A140="","",A140&amp;"|"&amp;G140)</f>
        <v/>
      </c>
    </row>
    <row r="141">
      <c r="G141">
        <f>IF(A141="","",COUNTIF($A$2:A141,A141))</f>
        <v/>
      </c>
      <c r="H141">
        <f>IF(A141="","",A141&amp;"|"&amp;G141)</f>
        <v/>
      </c>
    </row>
    <row r="142">
      <c r="G142">
        <f>IF(A142="","",COUNTIF($A$2:A142,A142))</f>
        <v/>
      </c>
      <c r="H142">
        <f>IF(A142="","",A142&amp;"|"&amp;G142)</f>
        <v/>
      </c>
    </row>
    <row r="143">
      <c r="G143">
        <f>IF(A143="","",COUNTIF($A$2:A143,A143))</f>
        <v/>
      </c>
      <c r="H143">
        <f>IF(A143="","",A143&amp;"|"&amp;G143)</f>
        <v/>
      </c>
    </row>
    <row r="144">
      <c r="G144">
        <f>IF(A144="","",COUNTIF($A$2:A144,A144))</f>
        <v/>
      </c>
      <c r="H144">
        <f>IF(A144="","",A144&amp;"|"&amp;G144)</f>
        <v/>
      </c>
    </row>
    <row r="145">
      <c r="G145">
        <f>IF(A145="","",COUNTIF($A$2:A145,A145))</f>
        <v/>
      </c>
      <c r="H145">
        <f>IF(A145="","",A145&amp;"|"&amp;G145)</f>
        <v/>
      </c>
    </row>
    <row r="146">
      <c r="G146">
        <f>IF(A146="","",COUNTIF($A$2:A146,A146))</f>
        <v/>
      </c>
      <c r="H146">
        <f>IF(A146="","",A146&amp;"|"&amp;G146)</f>
        <v/>
      </c>
    </row>
    <row r="147">
      <c r="G147">
        <f>IF(A147="","",COUNTIF($A$2:A147,A147))</f>
        <v/>
      </c>
      <c r="H147">
        <f>IF(A147="","",A147&amp;"|"&amp;G147)</f>
        <v/>
      </c>
    </row>
    <row r="148">
      <c r="G148">
        <f>IF(A148="","",COUNTIF($A$2:A148,A148))</f>
        <v/>
      </c>
      <c r="H148">
        <f>IF(A148="","",A148&amp;"|"&amp;G148)</f>
        <v/>
      </c>
    </row>
    <row r="149">
      <c r="G149">
        <f>IF(A149="","",COUNTIF($A$2:A149,A149))</f>
        <v/>
      </c>
      <c r="H149">
        <f>IF(A149="","",A149&amp;"|"&amp;G149)</f>
        <v/>
      </c>
    </row>
    <row r="150">
      <c r="G150">
        <f>IF(A150="","",COUNTIF($A$2:A150,A150))</f>
        <v/>
      </c>
      <c r="H150">
        <f>IF(A150="","",A150&amp;"|"&amp;G150)</f>
        <v/>
      </c>
    </row>
    <row r="151">
      <c r="G151">
        <f>IF(A151="","",COUNTIF($A$2:A151,A151))</f>
        <v/>
      </c>
      <c r="H151">
        <f>IF(A151="","",A151&amp;"|"&amp;G151)</f>
        <v/>
      </c>
    </row>
    <row r="152">
      <c r="G152">
        <f>IF(A152="","",COUNTIF($A$2:A152,A152))</f>
        <v/>
      </c>
      <c r="H152">
        <f>IF(A152="","",A152&amp;"|"&amp;G152)</f>
        <v/>
      </c>
    </row>
    <row r="153">
      <c r="G153">
        <f>IF(A153="","",COUNTIF($A$2:A153,A153))</f>
        <v/>
      </c>
      <c r="H153">
        <f>IF(A153="","",A153&amp;"|"&amp;G153)</f>
        <v/>
      </c>
    </row>
    <row r="154">
      <c r="G154">
        <f>IF(A154="","",COUNTIF($A$2:A154,A154))</f>
        <v/>
      </c>
      <c r="H154">
        <f>IF(A154="","",A154&amp;"|"&amp;G154)</f>
        <v/>
      </c>
    </row>
    <row r="155">
      <c r="G155">
        <f>IF(A155="","",COUNTIF($A$2:A155,A155))</f>
        <v/>
      </c>
      <c r="H155">
        <f>IF(A155="","",A155&amp;"|"&amp;G155)</f>
        <v/>
      </c>
    </row>
    <row r="156">
      <c r="G156">
        <f>IF(A156="","",COUNTIF($A$2:A156,A156))</f>
        <v/>
      </c>
      <c r="H156">
        <f>IF(A156="","",A156&amp;"|"&amp;G156)</f>
        <v/>
      </c>
    </row>
    <row r="157">
      <c r="G157">
        <f>IF(A157="","",COUNTIF($A$2:A157,A157))</f>
        <v/>
      </c>
      <c r="H157">
        <f>IF(A157="","",A157&amp;"|"&amp;G157)</f>
        <v/>
      </c>
    </row>
    <row r="158">
      <c r="G158">
        <f>IF(A158="","",COUNTIF($A$2:A158,A158))</f>
        <v/>
      </c>
      <c r="H158">
        <f>IF(A158="","",A158&amp;"|"&amp;G158)</f>
        <v/>
      </c>
    </row>
    <row r="159">
      <c r="G159">
        <f>IF(A159="","",COUNTIF($A$2:A159,A159))</f>
        <v/>
      </c>
      <c r="H159">
        <f>IF(A159="","",A159&amp;"|"&amp;G159)</f>
        <v/>
      </c>
    </row>
    <row r="160">
      <c r="G160">
        <f>IF(A160="","",COUNTIF($A$2:A160,A160))</f>
        <v/>
      </c>
      <c r="H160">
        <f>IF(A160="","",A160&amp;"|"&amp;G160)</f>
        <v/>
      </c>
    </row>
    <row r="161">
      <c r="G161">
        <f>IF(A161="","",COUNTIF($A$2:A161,A161))</f>
        <v/>
      </c>
      <c r="H161">
        <f>IF(A161="","",A161&amp;"|"&amp;G161)</f>
        <v/>
      </c>
    </row>
    <row r="162">
      <c r="G162">
        <f>IF(A162="","",COUNTIF($A$2:A162,A162))</f>
        <v/>
      </c>
      <c r="H162">
        <f>IF(A162="","",A162&amp;"|"&amp;G162)</f>
        <v/>
      </c>
    </row>
    <row r="163">
      <c r="G163">
        <f>IF(A163="","",COUNTIF($A$2:A163,A163))</f>
        <v/>
      </c>
      <c r="H163">
        <f>IF(A163="","",A163&amp;"|"&amp;G163)</f>
        <v/>
      </c>
    </row>
    <row r="164">
      <c r="G164">
        <f>IF(A164="","",COUNTIF($A$2:A164,A164))</f>
        <v/>
      </c>
      <c r="H164">
        <f>IF(A164="","",A164&amp;"|"&amp;G164)</f>
        <v/>
      </c>
    </row>
    <row r="165">
      <c r="G165">
        <f>IF(A165="","",COUNTIF($A$2:A165,A165))</f>
        <v/>
      </c>
      <c r="H165">
        <f>IF(A165="","",A165&amp;"|"&amp;G165)</f>
        <v/>
      </c>
    </row>
    <row r="166">
      <c r="G166">
        <f>IF(A166="","",COUNTIF($A$2:A166,A166))</f>
        <v/>
      </c>
      <c r="H166">
        <f>IF(A166="","",A166&amp;"|"&amp;G166)</f>
        <v/>
      </c>
    </row>
    <row r="167">
      <c r="G167">
        <f>IF(A167="","",COUNTIF($A$2:A167,A167))</f>
        <v/>
      </c>
      <c r="H167">
        <f>IF(A167="","",A167&amp;"|"&amp;G167)</f>
        <v/>
      </c>
    </row>
    <row r="168">
      <c r="G168">
        <f>IF(A168="","",COUNTIF($A$2:A168,A168))</f>
        <v/>
      </c>
      <c r="H168">
        <f>IF(A168="","",A168&amp;"|"&amp;G168)</f>
        <v/>
      </c>
    </row>
    <row r="169">
      <c r="G169">
        <f>IF(A169="","",COUNTIF($A$2:A169,A169))</f>
        <v/>
      </c>
      <c r="H169">
        <f>IF(A169="","",A169&amp;"|"&amp;G169)</f>
        <v/>
      </c>
    </row>
    <row r="170">
      <c r="G170">
        <f>IF(A170="","",COUNTIF($A$2:A170,A170))</f>
        <v/>
      </c>
      <c r="H170">
        <f>IF(A170="","",A170&amp;"|"&amp;G170)</f>
        <v/>
      </c>
    </row>
    <row r="171">
      <c r="G171">
        <f>IF(A171="","",COUNTIF($A$2:A171,A171))</f>
        <v/>
      </c>
      <c r="H171">
        <f>IF(A171="","",A171&amp;"|"&amp;G171)</f>
        <v/>
      </c>
    </row>
    <row r="172">
      <c r="G172">
        <f>IF(A172="","",COUNTIF($A$2:A172,A172))</f>
        <v/>
      </c>
      <c r="H172">
        <f>IF(A172="","",A172&amp;"|"&amp;G172)</f>
        <v/>
      </c>
    </row>
    <row r="173">
      <c r="G173">
        <f>IF(A173="","",COUNTIF($A$2:A173,A173))</f>
        <v/>
      </c>
      <c r="H173">
        <f>IF(A173="","",A173&amp;"|"&amp;G173)</f>
        <v/>
      </c>
    </row>
    <row r="174">
      <c r="G174">
        <f>IF(A174="","",COUNTIF($A$2:A174,A174))</f>
        <v/>
      </c>
      <c r="H174">
        <f>IF(A174="","",A174&amp;"|"&amp;G174)</f>
        <v/>
      </c>
    </row>
    <row r="175">
      <c r="G175">
        <f>IF(A175="","",COUNTIF($A$2:A175,A175))</f>
        <v/>
      </c>
      <c r="H175">
        <f>IF(A175="","",A175&amp;"|"&amp;G175)</f>
        <v/>
      </c>
    </row>
    <row r="176">
      <c r="G176">
        <f>IF(A176="","",COUNTIF($A$2:A176,A176))</f>
        <v/>
      </c>
      <c r="H176">
        <f>IF(A176="","",A176&amp;"|"&amp;G176)</f>
        <v/>
      </c>
    </row>
    <row r="177">
      <c r="G177">
        <f>IF(A177="","",COUNTIF($A$2:A177,A177))</f>
        <v/>
      </c>
      <c r="H177">
        <f>IF(A177="","",A177&amp;"|"&amp;G177)</f>
        <v/>
      </c>
    </row>
    <row r="178">
      <c r="G178">
        <f>IF(A178="","",COUNTIF($A$2:A178,A178))</f>
        <v/>
      </c>
      <c r="H178">
        <f>IF(A178="","",A178&amp;"|"&amp;G178)</f>
        <v/>
      </c>
    </row>
    <row r="179">
      <c r="G179">
        <f>IF(A179="","",COUNTIF($A$2:A179,A179))</f>
        <v/>
      </c>
      <c r="H179">
        <f>IF(A179="","",A179&amp;"|"&amp;G179)</f>
        <v/>
      </c>
    </row>
    <row r="180">
      <c r="G180">
        <f>IF(A180="","",COUNTIF($A$2:A180,A180))</f>
        <v/>
      </c>
      <c r="H180">
        <f>IF(A180="","",A180&amp;"|"&amp;G180)</f>
        <v/>
      </c>
    </row>
    <row r="181">
      <c r="G181">
        <f>IF(A181="","",COUNTIF($A$2:A181,A181))</f>
        <v/>
      </c>
      <c r="H181">
        <f>IF(A181="","",A181&amp;"|"&amp;G181)</f>
        <v/>
      </c>
    </row>
    <row r="182">
      <c r="G182">
        <f>IF(A182="","",COUNTIF($A$2:A182,A182))</f>
        <v/>
      </c>
      <c r="H182">
        <f>IF(A182="","",A182&amp;"|"&amp;G182)</f>
        <v/>
      </c>
    </row>
    <row r="183">
      <c r="G183">
        <f>IF(A183="","",COUNTIF($A$2:A183,A183))</f>
        <v/>
      </c>
      <c r="H183">
        <f>IF(A183="","",A183&amp;"|"&amp;G183)</f>
        <v/>
      </c>
    </row>
    <row r="184">
      <c r="G184">
        <f>IF(A184="","",COUNTIF($A$2:A184,A184))</f>
        <v/>
      </c>
      <c r="H184">
        <f>IF(A184="","",A184&amp;"|"&amp;G184)</f>
        <v/>
      </c>
    </row>
    <row r="185">
      <c r="G185">
        <f>IF(A185="","",COUNTIF($A$2:A185,A185))</f>
        <v/>
      </c>
      <c r="H185">
        <f>IF(A185="","",A185&amp;"|"&amp;G185)</f>
        <v/>
      </c>
    </row>
    <row r="186">
      <c r="G186">
        <f>IF(A186="","",COUNTIF($A$2:A186,A186))</f>
        <v/>
      </c>
      <c r="H186">
        <f>IF(A186="","",A186&amp;"|"&amp;G186)</f>
        <v/>
      </c>
    </row>
    <row r="187">
      <c r="G187">
        <f>IF(A187="","",COUNTIF($A$2:A187,A187))</f>
        <v/>
      </c>
      <c r="H187">
        <f>IF(A187="","",A187&amp;"|"&amp;G187)</f>
        <v/>
      </c>
    </row>
    <row r="188">
      <c r="G188">
        <f>IF(A188="","",COUNTIF($A$2:A188,A188))</f>
        <v/>
      </c>
      <c r="H188">
        <f>IF(A188="","",A188&amp;"|"&amp;G188)</f>
        <v/>
      </c>
    </row>
    <row r="189">
      <c r="G189">
        <f>IF(A189="","",COUNTIF($A$2:A189,A189))</f>
        <v/>
      </c>
      <c r="H189">
        <f>IF(A189="","",A189&amp;"|"&amp;G189)</f>
        <v/>
      </c>
    </row>
    <row r="190">
      <c r="G190">
        <f>IF(A190="","",COUNTIF($A$2:A190,A190))</f>
        <v/>
      </c>
      <c r="H190">
        <f>IF(A190="","",A190&amp;"|"&amp;G190)</f>
        <v/>
      </c>
    </row>
    <row r="191">
      <c r="G191">
        <f>IF(A191="","",COUNTIF($A$2:A191,A191))</f>
        <v/>
      </c>
      <c r="H191">
        <f>IF(A191="","",A191&amp;"|"&amp;G191)</f>
        <v/>
      </c>
    </row>
    <row r="192">
      <c r="G192">
        <f>IF(A192="","",COUNTIF($A$2:A192,A192))</f>
        <v/>
      </c>
      <c r="H192">
        <f>IF(A192="","",A192&amp;"|"&amp;G192)</f>
        <v/>
      </c>
    </row>
    <row r="193">
      <c r="G193">
        <f>IF(A193="","",COUNTIF($A$2:A193,A193))</f>
        <v/>
      </c>
      <c r="H193">
        <f>IF(A193="","",A193&amp;"|"&amp;G193)</f>
        <v/>
      </c>
    </row>
    <row r="194">
      <c r="G194">
        <f>IF(A194="","",COUNTIF($A$2:A194,A194))</f>
        <v/>
      </c>
      <c r="H194">
        <f>IF(A194="","",A194&amp;"|"&amp;G194)</f>
        <v/>
      </c>
    </row>
    <row r="195">
      <c r="G195">
        <f>IF(A195="","",COUNTIF($A$2:A195,A195))</f>
        <v/>
      </c>
      <c r="H195">
        <f>IF(A195="","",A195&amp;"|"&amp;G195)</f>
        <v/>
      </c>
    </row>
    <row r="196">
      <c r="G196">
        <f>IF(A196="","",COUNTIF($A$2:A196,A196))</f>
        <v/>
      </c>
      <c r="H196">
        <f>IF(A196="","",A196&amp;"|"&amp;G196)</f>
        <v/>
      </c>
    </row>
    <row r="197">
      <c r="G197">
        <f>IF(A197="","",COUNTIF($A$2:A197,A197))</f>
        <v/>
      </c>
      <c r="H197">
        <f>IF(A197="","",A197&amp;"|"&amp;G197)</f>
        <v/>
      </c>
    </row>
    <row r="198">
      <c r="G198">
        <f>IF(A198="","",COUNTIF($A$2:A198,A198))</f>
        <v/>
      </c>
      <c r="H198">
        <f>IF(A198="","",A198&amp;"|"&amp;G198)</f>
        <v/>
      </c>
    </row>
    <row r="199">
      <c r="G199">
        <f>IF(A199="","",COUNTIF($A$2:A199,A199))</f>
        <v/>
      </c>
      <c r="H199">
        <f>IF(A199="","",A199&amp;"|"&amp;G199)</f>
        <v/>
      </c>
    </row>
    <row r="200">
      <c r="G200">
        <f>IF(A200="","",COUNTIF($A$2:A200,A200))</f>
        <v/>
      </c>
      <c r="H200">
        <f>IF(A200="","",A200&amp;"|"&amp;G200)</f>
        <v/>
      </c>
    </row>
    <row r="201">
      <c r="G201">
        <f>IF(A201="","",COUNTIF($A$2:A201,A201))</f>
        <v/>
      </c>
      <c r="H201">
        <f>IF(A201="","",A201&amp;"|"&amp;G201)</f>
        <v/>
      </c>
    </row>
    <row r="202">
      <c r="G202">
        <f>IF(A202="","",COUNTIF($A$2:A202,A202))</f>
        <v/>
      </c>
      <c r="H202">
        <f>IF(A202="","",A202&amp;"|"&amp;G202)</f>
        <v/>
      </c>
    </row>
    <row r="203">
      <c r="G203">
        <f>IF(A203="","",COUNTIF($A$2:A203,A203))</f>
        <v/>
      </c>
      <c r="H203">
        <f>IF(A203="","",A203&amp;"|"&amp;G203)</f>
        <v/>
      </c>
    </row>
    <row r="204">
      <c r="G204">
        <f>IF(A204="","",COUNTIF($A$2:A204,A204))</f>
        <v/>
      </c>
      <c r="H204">
        <f>IF(A204="","",A204&amp;"|"&amp;G204)</f>
        <v/>
      </c>
    </row>
    <row r="205">
      <c r="G205">
        <f>IF(A205="","",COUNTIF($A$2:A205,A205))</f>
        <v/>
      </c>
      <c r="H205">
        <f>IF(A205="","",A205&amp;"|"&amp;G205)</f>
        <v/>
      </c>
    </row>
    <row r="206">
      <c r="G206">
        <f>IF(A206="","",COUNTIF($A$2:A206,A206))</f>
        <v/>
      </c>
      <c r="H206">
        <f>IF(A206="","",A206&amp;"|"&amp;G206)</f>
        <v/>
      </c>
    </row>
    <row r="207">
      <c r="G207">
        <f>IF(A207="","",COUNTIF($A$2:A207,A207))</f>
        <v/>
      </c>
      <c r="H207">
        <f>IF(A207="","",A207&amp;"|"&amp;G207)</f>
        <v/>
      </c>
    </row>
    <row r="208">
      <c r="G208">
        <f>IF(A208="","",COUNTIF($A$2:A208,A208))</f>
        <v/>
      </c>
      <c r="H208">
        <f>IF(A208="","",A208&amp;"|"&amp;G208)</f>
        <v/>
      </c>
    </row>
    <row r="209">
      <c r="G209">
        <f>IF(A209="","",COUNTIF($A$2:A209,A209))</f>
        <v/>
      </c>
      <c r="H209">
        <f>IF(A209="","",A209&amp;"|"&amp;G209)</f>
        <v/>
      </c>
    </row>
    <row r="210">
      <c r="G210">
        <f>IF(A210="","",COUNTIF($A$2:A210,A210))</f>
        <v/>
      </c>
      <c r="H210">
        <f>IF(A210="","",A210&amp;"|"&amp;G210)</f>
        <v/>
      </c>
    </row>
    <row r="211">
      <c r="G211">
        <f>IF(A211="","",COUNTIF($A$2:A211,A211))</f>
        <v/>
      </c>
      <c r="H211">
        <f>IF(A211="","",A211&amp;"|"&amp;G211)</f>
        <v/>
      </c>
    </row>
    <row r="212">
      <c r="G212">
        <f>IF(A212="","",COUNTIF($A$2:A212,A212))</f>
        <v/>
      </c>
      <c r="H212">
        <f>IF(A212="","",A212&amp;"|"&amp;G212)</f>
        <v/>
      </c>
    </row>
    <row r="213">
      <c r="G213">
        <f>IF(A213="","",COUNTIF($A$2:A213,A213))</f>
        <v/>
      </c>
      <c r="H213">
        <f>IF(A213="","",A213&amp;"|"&amp;G213)</f>
        <v/>
      </c>
    </row>
    <row r="214">
      <c r="G214">
        <f>IF(A214="","",COUNTIF($A$2:A214,A214))</f>
        <v/>
      </c>
      <c r="H214">
        <f>IF(A214="","",A214&amp;"|"&amp;G214)</f>
        <v/>
      </c>
    </row>
    <row r="215">
      <c r="G215">
        <f>IF(A215="","",COUNTIF($A$2:A215,A215))</f>
        <v/>
      </c>
      <c r="H215">
        <f>IF(A215="","",A215&amp;"|"&amp;G215)</f>
        <v/>
      </c>
    </row>
    <row r="216">
      <c r="G216">
        <f>IF(A216="","",COUNTIF($A$2:A216,A216))</f>
        <v/>
      </c>
      <c r="H216">
        <f>IF(A216="","",A216&amp;"|"&amp;G216)</f>
        <v/>
      </c>
    </row>
    <row r="217">
      <c r="G217">
        <f>IF(A217="","",COUNTIF($A$2:A217,A217))</f>
        <v/>
      </c>
      <c r="H217">
        <f>IF(A217="","",A217&amp;"|"&amp;G217)</f>
        <v/>
      </c>
    </row>
    <row r="218">
      <c r="G218">
        <f>IF(A218="","",COUNTIF($A$2:A218,A218))</f>
        <v/>
      </c>
      <c r="H218">
        <f>IF(A218="","",A218&amp;"|"&amp;G218)</f>
        <v/>
      </c>
    </row>
    <row r="219">
      <c r="G219">
        <f>IF(A219="","",COUNTIF($A$2:A219,A219))</f>
        <v/>
      </c>
      <c r="H219">
        <f>IF(A219="","",A219&amp;"|"&amp;G219)</f>
        <v/>
      </c>
    </row>
    <row r="220">
      <c r="G220">
        <f>IF(A220="","",COUNTIF($A$2:A220,A220))</f>
        <v/>
      </c>
      <c r="H220">
        <f>IF(A220="","",A220&amp;"|"&amp;G220)</f>
        <v/>
      </c>
    </row>
    <row r="221">
      <c r="G221">
        <f>IF(A221="","",COUNTIF($A$2:A221,A221))</f>
        <v/>
      </c>
      <c r="H221">
        <f>IF(A221="","",A221&amp;"|"&amp;G221)</f>
        <v/>
      </c>
    </row>
    <row r="222">
      <c r="G222">
        <f>IF(A222="","",COUNTIF($A$2:A222,A222))</f>
        <v/>
      </c>
      <c r="H222">
        <f>IF(A222="","",A222&amp;"|"&amp;G222)</f>
        <v/>
      </c>
    </row>
    <row r="223">
      <c r="G223">
        <f>IF(A223="","",COUNTIF($A$2:A223,A223))</f>
        <v/>
      </c>
      <c r="H223">
        <f>IF(A223="","",A223&amp;"|"&amp;G223)</f>
        <v/>
      </c>
    </row>
    <row r="224">
      <c r="G224">
        <f>IF(A224="","",COUNTIF($A$2:A224,A224))</f>
        <v/>
      </c>
      <c r="H224">
        <f>IF(A224="","",A224&amp;"|"&amp;G224)</f>
        <v/>
      </c>
    </row>
    <row r="225">
      <c r="G225">
        <f>IF(A225="","",COUNTIF($A$2:A225,A225))</f>
        <v/>
      </c>
      <c r="H225">
        <f>IF(A225="","",A225&amp;"|"&amp;G225)</f>
        <v/>
      </c>
    </row>
    <row r="226">
      <c r="G226">
        <f>IF(A226="","",COUNTIF($A$2:A226,A226))</f>
        <v/>
      </c>
      <c r="H226">
        <f>IF(A226="","",A226&amp;"|"&amp;G226)</f>
        <v/>
      </c>
    </row>
    <row r="227">
      <c r="G227">
        <f>IF(A227="","",COUNTIF($A$2:A227,A227))</f>
        <v/>
      </c>
      <c r="H227">
        <f>IF(A227="","",A227&amp;"|"&amp;G227)</f>
        <v/>
      </c>
    </row>
    <row r="228">
      <c r="G228">
        <f>IF(A228="","",COUNTIF($A$2:A228,A228))</f>
        <v/>
      </c>
      <c r="H228">
        <f>IF(A228="","",A228&amp;"|"&amp;G228)</f>
        <v/>
      </c>
    </row>
    <row r="229">
      <c r="G229">
        <f>IF(A229="","",COUNTIF($A$2:A229,A229))</f>
        <v/>
      </c>
      <c r="H229">
        <f>IF(A229="","",A229&amp;"|"&amp;G229)</f>
        <v/>
      </c>
    </row>
    <row r="230">
      <c r="G230">
        <f>IF(A230="","",COUNTIF($A$2:A230,A230))</f>
        <v/>
      </c>
      <c r="H230">
        <f>IF(A230="","",A230&amp;"|"&amp;G230)</f>
        <v/>
      </c>
    </row>
    <row r="231">
      <c r="G231">
        <f>IF(A231="","",COUNTIF($A$2:A231,A231))</f>
        <v/>
      </c>
      <c r="H231">
        <f>IF(A231="","",A231&amp;"|"&amp;G231)</f>
        <v/>
      </c>
    </row>
    <row r="232">
      <c r="G232">
        <f>IF(A232="","",COUNTIF($A$2:A232,A232))</f>
        <v/>
      </c>
      <c r="H232">
        <f>IF(A232="","",A232&amp;"|"&amp;G232)</f>
        <v/>
      </c>
    </row>
    <row r="233">
      <c r="G233">
        <f>IF(A233="","",COUNTIF($A$2:A233,A233))</f>
        <v/>
      </c>
      <c r="H233">
        <f>IF(A233="","",A233&amp;"|"&amp;G233)</f>
        <v/>
      </c>
    </row>
    <row r="234">
      <c r="G234">
        <f>IF(A234="","",COUNTIF($A$2:A234,A234))</f>
        <v/>
      </c>
      <c r="H234">
        <f>IF(A234="","",A234&amp;"|"&amp;G234)</f>
        <v/>
      </c>
    </row>
    <row r="235">
      <c r="G235">
        <f>IF(A235="","",COUNTIF($A$2:A235,A235))</f>
        <v/>
      </c>
      <c r="H235">
        <f>IF(A235="","",A235&amp;"|"&amp;G235)</f>
        <v/>
      </c>
    </row>
    <row r="236">
      <c r="G236">
        <f>IF(A236="","",COUNTIF($A$2:A236,A236))</f>
        <v/>
      </c>
      <c r="H236">
        <f>IF(A236="","",A236&amp;"|"&amp;G236)</f>
        <v/>
      </c>
    </row>
    <row r="237">
      <c r="G237">
        <f>IF(A237="","",COUNTIF($A$2:A237,A237))</f>
        <v/>
      </c>
      <c r="H237">
        <f>IF(A237="","",A237&amp;"|"&amp;G237)</f>
        <v/>
      </c>
    </row>
    <row r="238">
      <c r="G238">
        <f>IF(A238="","",COUNTIF($A$2:A238,A238))</f>
        <v/>
      </c>
      <c r="H238">
        <f>IF(A238="","",A238&amp;"|"&amp;G238)</f>
        <v/>
      </c>
    </row>
    <row r="239">
      <c r="G239">
        <f>IF(A239="","",COUNTIF($A$2:A239,A239))</f>
        <v/>
      </c>
      <c r="H239">
        <f>IF(A239="","",A239&amp;"|"&amp;G239)</f>
        <v/>
      </c>
    </row>
    <row r="240">
      <c r="G240">
        <f>IF(A240="","",COUNTIF($A$2:A240,A240))</f>
        <v/>
      </c>
      <c r="H240">
        <f>IF(A240="","",A240&amp;"|"&amp;G240)</f>
        <v/>
      </c>
    </row>
    <row r="241">
      <c r="G241">
        <f>IF(A241="","",COUNTIF($A$2:A241,A241))</f>
        <v/>
      </c>
      <c r="H241">
        <f>IF(A241="","",A241&amp;"|"&amp;G241)</f>
        <v/>
      </c>
    </row>
    <row r="242">
      <c r="G242">
        <f>IF(A242="","",COUNTIF($A$2:A242,A242))</f>
        <v/>
      </c>
      <c r="H242">
        <f>IF(A242="","",A242&amp;"|"&amp;G242)</f>
        <v/>
      </c>
    </row>
    <row r="243">
      <c r="G243">
        <f>IF(A243="","",COUNTIF($A$2:A243,A243))</f>
        <v/>
      </c>
      <c r="H243">
        <f>IF(A243="","",A243&amp;"|"&amp;G243)</f>
        <v/>
      </c>
    </row>
    <row r="244">
      <c r="G244">
        <f>IF(A244="","",COUNTIF($A$2:A244,A244))</f>
        <v/>
      </c>
      <c r="H244">
        <f>IF(A244="","",A244&amp;"|"&amp;G244)</f>
        <v/>
      </c>
    </row>
    <row r="245">
      <c r="G245">
        <f>IF(A245="","",COUNTIF($A$2:A245,A245))</f>
        <v/>
      </c>
      <c r="H245">
        <f>IF(A245="","",A245&amp;"|"&amp;G245)</f>
        <v/>
      </c>
    </row>
    <row r="246">
      <c r="G246">
        <f>IF(A246="","",COUNTIF($A$2:A246,A246))</f>
        <v/>
      </c>
      <c r="H246">
        <f>IF(A246="","",A246&amp;"|"&amp;G246)</f>
        <v/>
      </c>
    </row>
    <row r="247">
      <c r="G247">
        <f>IF(A247="","",COUNTIF($A$2:A247,A247))</f>
        <v/>
      </c>
      <c r="H247">
        <f>IF(A247="","",A247&amp;"|"&amp;G247)</f>
        <v/>
      </c>
    </row>
    <row r="248">
      <c r="G248">
        <f>IF(A248="","",COUNTIF($A$2:A248,A248))</f>
        <v/>
      </c>
      <c r="H248">
        <f>IF(A248="","",A248&amp;"|"&amp;G248)</f>
        <v/>
      </c>
    </row>
    <row r="249">
      <c r="G249">
        <f>IF(A249="","",COUNTIF($A$2:A249,A249))</f>
        <v/>
      </c>
      <c r="H249">
        <f>IF(A249="","",A249&amp;"|"&amp;G249)</f>
        <v/>
      </c>
    </row>
    <row r="250">
      <c r="G250">
        <f>IF(A250="","",COUNTIF($A$2:A250,A250))</f>
        <v/>
      </c>
      <c r="H250">
        <f>IF(A250="","",A250&amp;"|"&amp;G250)</f>
        <v/>
      </c>
    </row>
    <row r="251">
      <c r="G251">
        <f>IF(A251="","",COUNTIF($A$2:A251,A251))</f>
        <v/>
      </c>
      <c r="H251">
        <f>IF(A251="","",A251&amp;"|"&amp;G251)</f>
        <v/>
      </c>
    </row>
    <row r="252">
      <c r="G252">
        <f>IF(A252="","",COUNTIF($A$2:A252,A252))</f>
        <v/>
      </c>
      <c r="H252">
        <f>IF(A252="","",A252&amp;"|"&amp;G252)</f>
        <v/>
      </c>
    </row>
    <row r="253">
      <c r="G253">
        <f>IF(A253="","",COUNTIF($A$2:A253,A253))</f>
        <v/>
      </c>
      <c r="H253">
        <f>IF(A253="","",A253&amp;"|"&amp;G253)</f>
        <v/>
      </c>
    </row>
    <row r="254">
      <c r="G254">
        <f>IF(A254="","",COUNTIF($A$2:A254,A254))</f>
        <v/>
      </c>
      <c r="H254">
        <f>IF(A254="","",A254&amp;"|"&amp;G254)</f>
        <v/>
      </c>
    </row>
    <row r="255">
      <c r="G255">
        <f>IF(A255="","",COUNTIF($A$2:A255,A255))</f>
        <v/>
      </c>
      <c r="H255">
        <f>IF(A255="","",A255&amp;"|"&amp;G255)</f>
        <v/>
      </c>
    </row>
    <row r="256">
      <c r="G256">
        <f>IF(A256="","",COUNTIF($A$2:A256,A256))</f>
        <v/>
      </c>
      <c r="H256">
        <f>IF(A256="","",A256&amp;"|"&amp;G256)</f>
        <v/>
      </c>
    </row>
    <row r="257">
      <c r="G257">
        <f>IF(A257="","",COUNTIF($A$2:A257,A257))</f>
        <v/>
      </c>
      <c r="H257">
        <f>IF(A257="","",A257&amp;"|"&amp;G257)</f>
        <v/>
      </c>
    </row>
    <row r="258">
      <c r="G258">
        <f>IF(A258="","",COUNTIF($A$2:A258,A258))</f>
        <v/>
      </c>
      <c r="H258">
        <f>IF(A258="","",A258&amp;"|"&amp;G258)</f>
        <v/>
      </c>
    </row>
    <row r="259">
      <c r="G259">
        <f>IF(A259="","",COUNTIF($A$2:A259,A259))</f>
        <v/>
      </c>
      <c r="H259">
        <f>IF(A259="","",A259&amp;"|"&amp;G259)</f>
        <v/>
      </c>
    </row>
    <row r="260">
      <c r="G260">
        <f>IF(A260="","",COUNTIF($A$2:A260,A260))</f>
        <v/>
      </c>
      <c r="H260">
        <f>IF(A260="","",A260&amp;"|"&amp;G260)</f>
        <v/>
      </c>
    </row>
    <row r="261">
      <c r="G261">
        <f>IF(A261="","",COUNTIF($A$2:A261,A261))</f>
        <v/>
      </c>
      <c r="H261">
        <f>IF(A261="","",A261&amp;"|"&amp;G261)</f>
        <v/>
      </c>
    </row>
    <row r="262">
      <c r="G262">
        <f>IF(A262="","",COUNTIF($A$2:A262,A262))</f>
        <v/>
      </c>
      <c r="H262">
        <f>IF(A262="","",A262&amp;"|"&amp;G262)</f>
        <v/>
      </c>
    </row>
    <row r="263">
      <c r="G263">
        <f>IF(A263="","",COUNTIF($A$2:A263,A263))</f>
        <v/>
      </c>
      <c r="H263">
        <f>IF(A263="","",A263&amp;"|"&amp;G263)</f>
        <v/>
      </c>
    </row>
    <row r="264">
      <c r="G264">
        <f>IF(A264="","",COUNTIF($A$2:A264,A264))</f>
        <v/>
      </c>
      <c r="H264">
        <f>IF(A264="","",A264&amp;"|"&amp;G264)</f>
        <v/>
      </c>
    </row>
    <row r="265">
      <c r="G265">
        <f>IF(A265="","",COUNTIF($A$2:A265,A265))</f>
        <v/>
      </c>
      <c r="H265">
        <f>IF(A265="","",A265&amp;"|"&amp;G265)</f>
        <v/>
      </c>
    </row>
    <row r="266">
      <c r="G266">
        <f>IF(A266="","",COUNTIF($A$2:A266,A266))</f>
        <v/>
      </c>
      <c r="H266">
        <f>IF(A266="","",A266&amp;"|"&amp;G266)</f>
        <v/>
      </c>
    </row>
    <row r="267">
      <c r="G267">
        <f>IF(A267="","",COUNTIF($A$2:A267,A267))</f>
        <v/>
      </c>
      <c r="H267">
        <f>IF(A267="","",A267&amp;"|"&amp;G267)</f>
        <v/>
      </c>
    </row>
    <row r="268">
      <c r="G268">
        <f>IF(A268="","",COUNTIF($A$2:A268,A268))</f>
        <v/>
      </c>
      <c r="H268">
        <f>IF(A268="","",A268&amp;"|"&amp;G268)</f>
        <v/>
      </c>
    </row>
    <row r="269">
      <c r="G269">
        <f>IF(A269="","",COUNTIF($A$2:A269,A269))</f>
        <v/>
      </c>
      <c r="H269">
        <f>IF(A269="","",A269&amp;"|"&amp;G269)</f>
        <v/>
      </c>
    </row>
    <row r="270">
      <c r="G270">
        <f>IF(A270="","",COUNTIF($A$2:A270,A270))</f>
        <v/>
      </c>
      <c r="H270">
        <f>IF(A270="","",A270&amp;"|"&amp;G270)</f>
        <v/>
      </c>
    </row>
    <row r="271">
      <c r="G271">
        <f>IF(A271="","",COUNTIF($A$2:A271,A271))</f>
        <v/>
      </c>
      <c r="H271">
        <f>IF(A271="","",A271&amp;"|"&amp;G271)</f>
        <v/>
      </c>
    </row>
    <row r="272">
      <c r="G272">
        <f>IF(A272="","",COUNTIF($A$2:A272,A272))</f>
        <v/>
      </c>
      <c r="H272">
        <f>IF(A272="","",A272&amp;"|"&amp;G272)</f>
        <v/>
      </c>
    </row>
    <row r="273">
      <c r="G273">
        <f>IF(A273="","",COUNTIF($A$2:A273,A273))</f>
        <v/>
      </c>
      <c r="H273">
        <f>IF(A273="","",A273&amp;"|"&amp;G273)</f>
        <v/>
      </c>
    </row>
    <row r="274">
      <c r="G274">
        <f>IF(A274="","",COUNTIF($A$2:A274,A274))</f>
        <v/>
      </c>
      <c r="H274">
        <f>IF(A274="","",A274&amp;"|"&amp;G274)</f>
        <v/>
      </c>
    </row>
    <row r="275">
      <c r="G275">
        <f>IF(A275="","",COUNTIF($A$2:A275,A275))</f>
        <v/>
      </c>
      <c r="H275">
        <f>IF(A275="","",A275&amp;"|"&amp;G275)</f>
        <v/>
      </c>
    </row>
    <row r="276">
      <c r="G276">
        <f>IF(A276="","",COUNTIF($A$2:A276,A276))</f>
        <v/>
      </c>
      <c r="H276">
        <f>IF(A276="","",A276&amp;"|"&amp;G276)</f>
        <v/>
      </c>
    </row>
    <row r="277">
      <c r="G277">
        <f>IF(A277="","",COUNTIF($A$2:A277,A277))</f>
        <v/>
      </c>
      <c r="H277">
        <f>IF(A277="","",A277&amp;"|"&amp;G277)</f>
        <v/>
      </c>
    </row>
    <row r="278">
      <c r="G278">
        <f>IF(A278="","",COUNTIF($A$2:A278,A278))</f>
        <v/>
      </c>
      <c r="H278">
        <f>IF(A278="","",A278&amp;"|"&amp;G278)</f>
        <v/>
      </c>
    </row>
    <row r="279">
      <c r="G279">
        <f>IF(A279="","",COUNTIF($A$2:A279,A279))</f>
        <v/>
      </c>
      <c r="H279">
        <f>IF(A279="","",A279&amp;"|"&amp;G279)</f>
        <v/>
      </c>
    </row>
    <row r="280">
      <c r="G280">
        <f>IF(A280="","",COUNTIF($A$2:A280,A280))</f>
        <v/>
      </c>
      <c r="H280">
        <f>IF(A280="","",A280&amp;"|"&amp;G280)</f>
        <v/>
      </c>
    </row>
    <row r="281">
      <c r="G281">
        <f>IF(A281="","",COUNTIF($A$2:A281,A281))</f>
        <v/>
      </c>
      <c r="H281">
        <f>IF(A281="","",A281&amp;"|"&amp;G281)</f>
        <v/>
      </c>
    </row>
    <row r="282">
      <c r="G282">
        <f>IF(A282="","",COUNTIF($A$2:A282,A282))</f>
        <v/>
      </c>
      <c r="H282">
        <f>IF(A282="","",A282&amp;"|"&amp;G282)</f>
        <v/>
      </c>
    </row>
    <row r="283">
      <c r="G283">
        <f>IF(A283="","",COUNTIF($A$2:A283,A283))</f>
        <v/>
      </c>
      <c r="H283">
        <f>IF(A283="","",A283&amp;"|"&amp;G283)</f>
        <v/>
      </c>
    </row>
    <row r="284">
      <c r="G284">
        <f>IF(A284="","",COUNTIF($A$2:A284,A284))</f>
        <v/>
      </c>
      <c r="H284">
        <f>IF(A284="","",A284&amp;"|"&amp;G284)</f>
        <v/>
      </c>
    </row>
    <row r="285">
      <c r="G285">
        <f>IF(A285="","",COUNTIF($A$2:A285,A285))</f>
        <v/>
      </c>
      <c r="H285">
        <f>IF(A285="","",A285&amp;"|"&amp;G285)</f>
        <v/>
      </c>
    </row>
    <row r="286">
      <c r="G286">
        <f>IF(A286="","",COUNTIF($A$2:A286,A286))</f>
        <v/>
      </c>
      <c r="H286">
        <f>IF(A286="","",A286&amp;"|"&amp;G286)</f>
        <v/>
      </c>
    </row>
    <row r="287">
      <c r="G287">
        <f>IF(A287="","",COUNTIF($A$2:A287,A287))</f>
        <v/>
      </c>
      <c r="H287">
        <f>IF(A287="","",A287&amp;"|"&amp;G287)</f>
        <v/>
      </c>
    </row>
    <row r="288">
      <c r="G288">
        <f>IF(A288="","",COUNTIF($A$2:A288,A288))</f>
        <v/>
      </c>
      <c r="H288">
        <f>IF(A288="","",A288&amp;"|"&amp;G288)</f>
        <v/>
      </c>
    </row>
    <row r="289">
      <c r="G289">
        <f>IF(A289="","",COUNTIF($A$2:A289,A289))</f>
        <v/>
      </c>
      <c r="H289">
        <f>IF(A289="","",A289&amp;"|"&amp;G289)</f>
        <v/>
      </c>
    </row>
    <row r="290">
      <c r="G290">
        <f>IF(A290="","",COUNTIF($A$2:A290,A290))</f>
        <v/>
      </c>
      <c r="H290">
        <f>IF(A290="","",A290&amp;"|"&amp;G290)</f>
        <v/>
      </c>
    </row>
    <row r="291">
      <c r="G291">
        <f>IF(A291="","",COUNTIF($A$2:A291,A291))</f>
        <v/>
      </c>
      <c r="H291">
        <f>IF(A291="","",A291&amp;"|"&amp;G291)</f>
        <v/>
      </c>
    </row>
    <row r="292">
      <c r="G292">
        <f>IF(A292="","",COUNTIF($A$2:A292,A292))</f>
        <v/>
      </c>
      <c r="H292">
        <f>IF(A292="","",A292&amp;"|"&amp;G292)</f>
        <v/>
      </c>
    </row>
    <row r="293">
      <c r="G293">
        <f>IF(A293="","",COUNTIF($A$2:A293,A293))</f>
        <v/>
      </c>
      <c r="H293">
        <f>IF(A293="","",A293&amp;"|"&amp;G293)</f>
        <v/>
      </c>
    </row>
    <row r="294">
      <c r="G294">
        <f>IF(A294="","",COUNTIF($A$2:A294,A294))</f>
        <v/>
      </c>
      <c r="H294">
        <f>IF(A294="","",A294&amp;"|"&amp;G294)</f>
        <v/>
      </c>
    </row>
    <row r="295">
      <c r="G295">
        <f>IF(A295="","",COUNTIF($A$2:A295,A295))</f>
        <v/>
      </c>
      <c r="H295">
        <f>IF(A295="","",A295&amp;"|"&amp;G295)</f>
        <v/>
      </c>
    </row>
    <row r="296">
      <c r="G296">
        <f>IF(A296="","",COUNTIF($A$2:A296,A296))</f>
        <v/>
      </c>
      <c r="H296">
        <f>IF(A296="","",A296&amp;"|"&amp;G296)</f>
        <v/>
      </c>
    </row>
    <row r="297">
      <c r="G297">
        <f>IF(A297="","",COUNTIF($A$2:A297,A297))</f>
        <v/>
      </c>
      <c r="H297">
        <f>IF(A297="","",A297&amp;"|"&amp;G297)</f>
        <v/>
      </c>
    </row>
    <row r="298">
      <c r="G298">
        <f>IF(A298="","",COUNTIF($A$2:A298,A298))</f>
        <v/>
      </c>
      <c r="H298">
        <f>IF(A298="","",A298&amp;"|"&amp;G298)</f>
        <v/>
      </c>
    </row>
    <row r="299">
      <c r="G299">
        <f>IF(A299="","",COUNTIF($A$2:A299,A299))</f>
        <v/>
      </c>
      <c r="H299">
        <f>IF(A299="","",A299&amp;"|"&amp;G299)</f>
        <v/>
      </c>
    </row>
    <row r="300">
      <c r="G300">
        <f>IF(A300="","",COUNTIF($A$2:A300,A300))</f>
        <v/>
      </c>
      <c r="H300">
        <f>IF(A300="","",A300&amp;"|"&amp;G300)</f>
        <v/>
      </c>
    </row>
    <row r="301">
      <c r="G301">
        <f>IF(A301="","",COUNTIF($A$2:A301,A301))</f>
        <v/>
      </c>
      <c r="H301">
        <f>IF(A301="","",A301&amp;"|"&amp;G301)</f>
        <v/>
      </c>
    </row>
    <row r="302">
      <c r="G302">
        <f>IF(A302="","",COUNTIF($A$2:A302,A302))</f>
        <v/>
      </c>
      <c r="H302">
        <f>IF(A302="","",A302&amp;"|"&amp;G302)</f>
        <v/>
      </c>
    </row>
    <row r="303">
      <c r="G303">
        <f>IF(A303="","",COUNTIF($A$2:A303,A303))</f>
        <v/>
      </c>
      <c r="H303">
        <f>IF(A303="","",A303&amp;"|"&amp;G303)</f>
        <v/>
      </c>
    </row>
    <row r="304">
      <c r="G304">
        <f>IF(A304="","",COUNTIF($A$2:A304,A304))</f>
        <v/>
      </c>
      <c r="H304">
        <f>IF(A304="","",A304&amp;"|"&amp;G304)</f>
        <v/>
      </c>
    </row>
    <row r="305">
      <c r="G305">
        <f>IF(A305="","",COUNTIF($A$2:A305,A305))</f>
        <v/>
      </c>
      <c r="H305">
        <f>IF(A305="","",A305&amp;"|"&amp;G305)</f>
        <v/>
      </c>
    </row>
    <row r="306">
      <c r="G306">
        <f>IF(A306="","",COUNTIF($A$2:A306,A306))</f>
        <v/>
      </c>
      <c r="H306">
        <f>IF(A306="","",A306&amp;"|"&amp;G306)</f>
        <v/>
      </c>
    </row>
    <row r="307">
      <c r="G307">
        <f>IF(A307="","",COUNTIF($A$2:A307,A307))</f>
        <v/>
      </c>
      <c r="H307">
        <f>IF(A307="","",A307&amp;"|"&amp;G307)</f>
        <v/>
      </c>
    </row>
    <row r="308">
      <c r="G308">
        <f>IF(A308="","",COUNTIF($A$2:A308,A308))</f>
        <v/>
      </c>
      <c r="H308">
        <f>IF(A308="","",A308&amp;"|"&amp;G308)</f>
        <v/>
      </c>
    </row>
    <row r="309">
      <c r="G309">
        <f>IF(A309="","",COUNTIF($A$2:A309,A309))</f>
        <v/>
      </c>
      <c r="H309">
        <f>IF(A309="","",A309&amp;"|"&amp;G309)</f>
        <v/>
      </c>
    </row>
    <row r="310">
      <c r="G310">
        <f>IF(A310="","",COUNTIF($A$2:A310,A310))</f>
        <v/>
      </c>
      <c r="H310">
        <f>IF(A310="","",A310&amp;"|"&amp;G310)</f>
        <v/>
      </c>
    </row>
    <row r="311">
      <c r="G311">
        <f>IF(A311="","",COUNTIF($A$2:A311,A311))</f>
        <v/>
      </c>
      <c r="H311">
        <f>IF(A311="","",A311&amp;"|"&amp;G311)</f>
        <v/>
      </c>
    </row>
    <row r="312">
      <c r="G312">
        <f>IF(A312="","",COUNTIF($A$2:A312,A312))</f>
        <v/>
      </c>
      <c r="H312">
        <f>IF(A312="","",A312&amp;"|"&amp;G312)</f>
        <v/>
      </c>
    </row>
    <row r="313">
      <c r="G313">
        <f>IF(A313="","",COUNTIF($A$2:A313,A313))</f>
        <v/>
      </c>
      <c r="H313">
        <f>IF(A313="","",A313&amp;"|"&amp;G313)</f>
        <v/>
      </c>
    </row>
    <row r="314">
      <c r="G314">
        <f>IF(A314="","",COUNTIF($A$2:A314,A314))</f>
        <v/>
      </c>
      <c r="H314">
        <f>IF(A314="","",A314&amp;"|"&amp;G314)</f>
        <v/>
      </c>
    </row>
    <row r="315">
      <c r="G315">
        <f>IF(A315="","",COUNTIF($A$2:A315,A315))</f>
        <v/>
      </c>
      <c r="H315">
        <f>IF(A315="","",A315&amp;"|"&amp;G315)</f>
        <v/>
      </c>
    </row>
    <row r="316">
      <c r="G316">
        <f>IF(A316="","",COUNTIF($A$2:A316,A316))</f>
        <v/>
      </c>
      <c r="H316">
        <f>IF(A316="","",A316&amp;"|"&amp;G316)</f>
        <v/>
      </c>
    </row>
    <row r="317">
      <c r="G317">
        <f>IF(A317="","",COUNTIF($A$2:A317,A317))</f>
        <v/>
      </c>
      <c r="H317">
        <f>IF(A317="","",A317&amp;"|"&amp;G317)</f>
        <v/>
      </c>
    </row>
    <row r="318">
      <c r="G318">
        <f>IF(A318="","",COUNTIF($A$2:A318,A318))</f>
        <v/>
      </c>
      <c r="H318">
        <f>IF(A318="","",A318&amp;"|"&amp;G318)</f>
        <v/>
      </c>
    </row>
    <row r="319">
      <c r="G319">
        <f>IF(A319="","",COUNTIF($A$2:A319,A319))</f>
        <v/>
      </c>
      <c r="H319">
        <f>IF(A319="","",A319&amp;"|"&amp;G319)</f>
        <v/>
      </c>
    </row>
    <row r="320">
      <c r="G320">
        <f>IF(A320="","",COUNTIF($A$2:A320,A320))</f>
        <v/>
      </c>
      <c r="H320">
        <f>IF(A320="","",A320&amp;"|"&amp;G320)</f>
        <v/>
      </c>
    </row>
    <row r="321">
      <c r="G321">
        <f>IF(A321="","",COUNTIF($A$2:A321,A321))</f>
        <v/>
      </c>
      <c r="H321">
        <f>IF(A321="","",A321&amp;"|"&amp;G321)</f>
        <v/>
      </c>
    </row>
    <row r="322">
      <c r="G322">
        <f>IF(A322="","",COUNTIF($A$2:A322,A322))</f>
        <v/>
      </c>
      <c r="H322">
        <f>IF(A322="","",A322&amp;"|"&amp;G322)</f>
        <v/>
      </c>
    </row>
    <row r="323">
      <c r="G323">
        <f>IF(A323="","",COUNTIF($A$2:A323,A323))</f>
        <v/>
      </c>
      <c r="H323">
        <f>IF(A323="","",A323&amp;"|"&amp;G323)</f>
        <v/>
      </c>
    </row>
    <row r="324">
      <c r="G324">
        <f>IF(A324="","",COUNTIF($A$2:A324,A324))</f>
        <v/>
      </c>
      <c r="H324">
        <f>IF(A324="","",A324&amp;"|"&amp;G324)</f>
        <v/>
      </c>
    </row>
    <row r="325">
      <c r="G325">
        <f>IF(A325="","",COUNTIF($A$2:A325,A325))</f>
        <v/>
      </c>
      <c r="H325">
        <f>IF(A325="","",A325&amp;"|"&amp;G325)</f>
        <v/>
      </c>
    </row>
    <row r="326">
      <c r="G326">
        <f>IF(A326="","",COUNTIF($A$2:A326,A326))</f>
        <v/>
      </c>
      <c r="H326">
        <f>IF(A326="","",A326&amp;"|"&amp;G326)</f>
        <v/>
      </c>
    </row>
    <row r="327">
      <c r="G327">
        <f>IF(A327="","",COUNTIF($A$2:A327,A327))</f>
        <v/>
      </c>
      <c r="H327">
        <f>IF(A327="","",A327&amp;"|"&amp;G327)</f>
        <v/>
      </c>
    </row>
    <row r="328">
      <c r="G328">
        <f>IF(A328="","",COUNTIF($A$2:A328,A328))</f>
        <v/>
      </c>
      <c r="H328">
        <f>IF(A328="","",A328&amp;"|"&amp;G328)</f>
        <v/>
      </c>
    </row>
    <row r="329">
      <c r="G329">
        <f>IF(A329="","",COUNTIF($A$2:A329,A329))</f>
        <v/>
      </c>
      <c r="H329">
        <f>IF(A329="","",A329&amp;"|"&amp;G329)</f>
        <v/>
      </c>
    </row>
    <row r="330">
      <c r="G330">
        <f>IF(A330="","",COUNTIF($A$2:A330,A330))</f>
        <v/>
      </c>
      <c r="H330">
        <f>IF(A330="","",A330&amp;"|"&amp;G330)</f>
        <v/>
      </c>
    </row>
    <row r="331">
      <c r="G331">
        <f>IF(A331="","",COUNTIF($A$2:A331,A331))</f>
        <v/>
      </c>
      <c r="H331">
        <f>IF(A331="","",A331&amp;"|"&amp;G331)</f>
        <v/>
      </c>
    </row>
    <row r="332">
      <c r="G332">
        <f>IF(A332="","",COUNTIF($A$2:A332,A332))</f>
        <v/>
      </c>
      <c r="H332">
        <f>IF(A332="","",A332&amp;"|"&amp;G332)</f>
        <v/>
      </c>
    </row>
    <row r="333">
      <c r="G333">
        <f>IF(A333="","",COUNTIF($A$2:A333,A333))</f>
        <v/>
      </c>
      <c r="H333">
        <f>IF(A333="","",A333&amp;"|"&amp;G333)</f>
        <v/>
      </c>
    </row>
    <row r="334">
      <c r="G334">
        <f>IF(A334="","",COUNTIF($A$2:A334,A334))</f>
        <v/>
      </c>
      <c r="H334">
        <f>IF(A334="","",A334&amp;"|"&amp;G334)</f>
        <v/>
      </c>
    </row>
    <row r="335">
      <c r="G335">
        <f>IF(A335="","",COUNTIF($A$2:A335,A335))</f>
        <v/>
      </c>
      <c r="H335">
        <f>IF(A335="","",A335&amp;"|"&amp;G335)</f>
        <v/>
      </c>
    </row>
    <row r="336">
      <c r="G336">
        <f>IF(A336="","",COUNTIF($A$2:A336,A336))</f>
        <v/>
      </c>
      <c r="H336">
        <f>IF(A336="","",A336&amp;"|"&amp;G336)</f>
        <v/>
      </c>
    </row>
    <row r="337">
      <c r="G337">
        <f>IF(A337="","",COUNTIF($A$2:A337,A337))</f>
        <v/>
      </c>
      <c r="H337">
        <f>IF(A337="","",A337&amp;"|"&amp;G337)</f>
        <v/>
      </c>
    </row>
    <row r="338">
      <c r="G338">
        <f>IF(A338="","",COUNTIF($A$2:A338,A338))</f>
        <v/>
      </c>
      <c r="H338">
        <f>IF(A338="","",A338&amp;"|"&amp;G338)</f>
        <v/>
      </c>
    </row>
    <row r="339">
      <c r="G339">
        <f>IF(A339="","",COUNTIF($A$2:A339,A339))</f>
        <v/>
      </c>
      <c r="H339">
        <f>IF(A339="","",A339&amp;"|"&amp;G339)</f>
        <v/>
      </c>
    </row>
    <row r="340">
      <c r="G340">
        <f>IF(A340="","",COUNTIF($A$2:A340,A340))</f>
        <v/>
      </c>
      <c r="H340">
        <f>IF(A340="","",A340&amp;"|"&amp;G340)</f>
        <v/>
      </c>
    </row>
    <row r="341">
      <c r="G341">
        <f>IF(A341="","",COUNTIF($A$2:A341,A341))</f>
        <v/>
      </c>
      <c r="H341">
        <f>IF(A341="","",A341&amp;"|"&amp;G341)</f>
        <v/>
      </c>
    </row>
    <row r="342">
      <c r="G342">
        <f>IF(A342="","",COUNTIF($A$2:A342,A342))</f>
        <v/>
      </c>
      <c r="H342">
        <f>IF(A342="","",A342&amp;"|"&amp;G342)</f>
        <v/>
      </c>
    </row>
    <row r="343">
      <c r="G343">
        <f>IF(A343="","",COUNTIF($A$2:A343,A343))</f>
        <v/>
      </c>
      <c r="H343">
        <f>IF(A343="","",A343&amp;"|"&amp;G343)</f>
        <v/>
      </c>
    </row>
    <row r="344">
      <c r="G344">
        <f>IF(A344="","",COUNTIF($A$2:A344,A344))</f>
        <v/>
      </c>
      <c r="H344">
        <f>IF(A344="","",A344&amp;"|"&amp;G344)</f>
        <v/>
      </c>
    </row>
    <row r="345">
      <c r="G345">
        <f>IF(A345="","",COUNTIF($A$2:A345,A345))</f>
        <v/>
      </c>
      <c r="H345">
        <f>IF(A345="","",A345&amp;"|"&amp;G345)</f>
        <v/>
      </c>
    </row>
    <row r="346">
      <c r="G346">
        <f>IF(A346="","",COUNTIF($A$2:A346,A346))</f>
        <v/>
      </c>
      <c r="H346">
        <f>IF(A346="","",A346&amp;"|"&amp;G346)</f>
        <v/>
      </c>
    </row>
    <row r="347">
      <c r="G347">
        <f>IF(A347="","",COUNTIF($A$2:A347,A347))</f>
        <v/>
      </c>
      <c r="H347">
        <f>IF(A347="","",A347&amp;"|"&amp;G347)</f>
        <v/>
      </c>
    </row>
    <row r="348">
      <c r="G348">
        <f>IF(A348="","",COUNTIF($A$2:A348,A348))</f>
        <v/>
      </c>
      <c r="H348">
        <f>IF(A348="","",A348&amp;"|"&amp;G348)</f>
        <v/>
      </c>
    </row>
    <row r="349">
      <c r="G349">
        <f>IF(A349="","",COUNTIF($A$2:A349,A349))</f>
        <v/>
      </c>
      <c r="H349">
        <f>IF(A349="","",A349&amp;"|"&amp;G349)</f>
        <v/>
      </c>
    </row>
    <row r="350">
      <c r="G350">
        <f>IF(A350="","",COUNTIF($A$2:A350,A350))</f>
        <v/>
      </c>
      <c r="H350">
        <f>IF(A350="","",A350&amp;"|"&amp;G350)</f>
        <v/>
      </c>
    </row>
    <row r="351">
      <c r="G351">
        <f>IF(A351="","",COUNTIF($A$2:A351,A351))</f>
        <v/>
      </c>
      <c r="H351">
        <f>IF(A351="","",A351&amp;"|"&amp;G351)</f>
        <v/>
      </c>
    </row>
    <row r="352">
      <c r="G352">
        <f>IF(A352="","",COUNTIF($A$2:A352,A352))</f>
        <v/>
      </c>
      <c r="H352">
        <f>IF(A352="","",A352&amp;"|"&amp;G352)</f>
        <v/>
      </c>
    </row>
    <row r="353">
      <c r="G353">
        <f>IF(A353="","",COUNTIF($A$2:A353,A353))</f>
        <v/>
      </c>
      <c r="H353">
        <f>IF(A353="","",A353&amp;"|"&amp;G353)</f>
        <v/>
      </c>
    </row>
    <row r="354">
      <c r="G354">
        <f>IF(A354="","",COUNTIF($A$2:A354,A354))</f>
        <v/>
      </c>
      <c r="H354">
        <f>IF(A354="","",A354&amp;"|"&amp;G354)</f>
        <v/>
      </c>
    </row>
    <row r="355">
      <c r="G355">
        <f>IF(A355="","",COUNTIF($A$2:A355,A355))</f>
        <v/>
      </c>
      <c r="H355">
        <f>IF(A355="","",A355&amp;"|"&amp;G355)</f>
        <v/>
      </c>
    </row>
    <row r="356">
      <c r="G356">
        <f>IF(A356="","",COUNTIF($A$2:A356,A356))</f>
        <v/>
      </c>
      <c r="H356">
        <f>IF(A356="","",A356&amp;"|"&amp;G356)</f>
        <v/>
      </c>
    </row>
    <row r="357">
      <c r="G357">
        <f>IF(A357="","",COUNTIF($A$2:A357,A357))</f>
        <v/>
      </c>
      <c r="H357">
        <f>IF(A357="","",A357&amp;"|"&amp;G357)</f>
        <v/>
      </c>
    </row>
    <row r="358">
      <c r="G358">
        <f>IF(A358="","",COUNTIF($A$2:A358,A358))</f>
        <v/>
      </c>
      <c r="H358">
        <f>IF(A358="","",A358&amp;"|"&amp;G358)</f>
        <v/>
      </c>
    </row>
    <row r="359">
      <c r="G359">
        <f>IF(A359="","",COUNTIF($A$2:A359,A359))</f>
        <v/>
      </c>
      <c r="H359">
        <f>IF(A359="","",A359&amp;"|"&amp;G359)</f>
        <v/>
      </c>
    </row>
    <row r="360">
      <c r="G360">
        <f>IF(A360="","",COUNTIF($A$2:A360,A360))</f>
        <v/>
      </c>
      <c r="H360">
        <f>IF(A360="","",A360&amp;"|"&amp;G360)</f>
        <v/>
      </c>
    </row>
    <row r="361">
      <c r="G361">
        <f>IF(A361="","",COUNTIF($A$2:A361,A361))</f>
        <v/>
      </c>
      <c r="H361">
        <f>IF(A361="","",A361&amp;"|"&amp;G361)</f>
        <v/>
      </c>
    </row>
    <row r="362">
      <c r="G362">
        <f>IF(A362="","",COUNTIF($A$2:A362,A362))</f>
        <v/>
      </c>
      <c r="H362">
        <f>IF(A362="","",A362&amp;"|"&amp;G362)</f>
        <v/>
      </c>
    </row>
    <row r="363">
      <c r="G363">
        <f>IF(A363="","",COUNTIF($A$2:A363,A363))</f>
        <v/>
      </c>
      <c r="H363">
        <f>IF(A363="","",A363&amp;"|"&amp;G363)</f>
        <v/>
      </c>
    </row>
    <row r="364">
      <c r="G364">
        <f>IF(A364="","",COUNTIF($A$2:A364,A364))</f>
        <v/>
      </c>
      <c r="H364">
        <f>IF(A364="","",A364&amp;"|"&amp;G364)</f>
        <v/>
      </c>
    </row>
    <row r="365">
      <c r="G365">
        <f>IF(A365="","",COUNTIF($A$2:A365,A365))</f>
        <v/>
      </c>
      <c r="H365">
        <f>IF(A365="","",A365&amp;"|"&amp;G365)</f>
        <v/>
      </c>
    </row>
    <row r="366">
      <c r="G366">
        <f>IF(A366="","",COUNTIF($A$2:A366,A366))</f>
        <v/>
      </c>
      <c r="H366">
        <f>IF(A366="","",A366&amp;"|"&amp;G366)</f>
        <v/>
      </c>
    </row>
    <row r="367">
      <c r="G367">
        <f>IF(A367="","",COUNTIF($A$2:A367,A367))</f>
        <v/>
      </c>
      <c r="H367">
        <f>IF(A367="","",A367&amp;"|"&amp;G367)</f>
        <v/>
      </c>
    </row>
    <row r="368">
      <c r="G368">
        <f>IF(A368="","",COUNTIF($A$2:A368,A368))</f>
        <v/>
      </c>
      <c r="H368">
        <f>IF(A368="","",A368&amp;"|"&amp;G368)</f>
        <v/>
      </c>
    </row>
    <row r="369">
      <c r="G369">
        <f>IF(A369="","",COUNTIF($A$2:A369,A369))</f>
        <v/>
      </c>
      <c r="H369">
        <f>IF(A369="","",A369&amp;"|"&amp;G369)</f>
        <v/>
      </c>
    </row>
    <row r="370">
      <c r="G370">
        <f>IF(A370="","",COUNTIF($A$2:A370,A370))</f>
        <v/>
      </c>
      <c r="H370">
        <f>IF(A370="","",A370&amp;"|"&amp;G370)</f>
        <v/>
      </c>
    </row>
    <row r="371">
      <c r="G371">
        <f>IF(A371="","",COUNTIF($A$2:A371,A371))</f>
        <v/>
      </c>
      <c r="H371">
        <f>IF(A371="","",A371&amp;"|"&amp;G371)</f>
        <v/>
      </c>
    </row>
    <row r="372">
      <c r="G372">
        <f>IF(A372="","",COUNTIF($A$2:A372,A372))</f>
        <v/>
      </c>
      <c r="H372">
        <f>IF(A372="","",A372&amp;"|"&amp;G372)</f>
        <v/>
      </c>
    </row>
    <row r="373">
      <c r="G373">
        <f>IF(A373="","",COUNTIF($A$2:A373,A373))</f>
        <v/>
      </c>
      <c r="H373">
        <f>IF(A373="","",A373&amp;"|"&amp;G373)</f>
        <v/>
      </c>
    </row>
    <row r="374">
      <c r="G374">
        <f>IF(A374="","",COUNTIF($A$2:A374,A374))</f>
        <v/>
      </c>
      <c r="H374">
        <f>IF(A374="","",A374&amp;"|"&amp;G374)</f>
        <v/>
      </c>
    </row>
    <row r="375">
      <c r="G375">
        <f>IF(A375="","",COUNTIF($A$2:A375,A375))</f>
        <v/>
      </c>
      <c r="H375">
        <f>IF(A375="","",A375&amp;"|"&amp;G375)</f>
        <v/>
      </c>
    </row>
    <row r="376">
      <c r="G376">
        <f>IF(A376="","",COUNTIF($A$2:A376,A376))</f>
        <v/>
      </c>
      <c r="H376">
        <f>IF(A376="","",A376&amp;"|"&amp;G376)</f>
        <v/>
      </c>
    </row>
    <row r="377">
      <c r="G377">
        <f>IF(A377="","",COUNTIF($A$2:A377,A377))</f>
        <v/>
      </c>
      <c r="H377">
        <f>IF(A377="","",A377&amp;"|"&amp;G377)</f>
        <v/>
      </c>
    </row>
    <row r="378">
      <c r="G378">
        <f>IF(A378="","",COUNTIF($A$2:A378,A378))</f>
        <v/>
      </c>
      <c r="H378">
        <f>IF(A378="","",A378&amp;"|"&amp;G378)</f>
        <v/>
      </c>
    </row>
    <row r="379">
      <c r="G379">
        <f>IF(A379="","",COUNTIF($A$2:A379,A379))</f>
        <v/>
      </c>
      <c r="H379">
        <f>IF(A379="","",A379&amp;"|"&amp;G379)</f>
        <v/>
      </c>
    </row>
    <row r="380">
      <c r="G380">
        <f>IF(A380="","",COUNTIF($A$2:A380,A380))</f>
        <v/>
      </c>
      <c r="H380">
        <f>IF(A380="","",A380&amp;"|"&amp;G380)</f>
        <v/>
      </c>
    </row>
    <row r="381">
      <c r="G381">
        <f>IF(A381="","",COUNTIF($A$2:A381,A381))</f>
        <v/>
      </c>
      <c r="H381">
        <f>IF(A381="","",A381&amp;"|"&amp;G381)</f>
        <v/>
      </c>
    </row>
    <row r="382">
      <c r="G382">
        <f>IF(A382="","",COUNTIF($A$2:A382,A382))</f>
        <v/>
      </c>
      <c r="H382">
        <f>IF(A382="","",A382&amp;"|"&amp;G382)</f>
        <v/>
      </c>
    </row>
    <row r="383">
      <c r="G383">
        <f>IF(A383="","",COUNTIF($A$2:A383,A383))</f>
        <v/>
      </c>
      <c r="H383">
        <f>IF(A383="","",A383&amp;"|"&amp;G383)</f>
        <v/>
      </c>
    </row>
    <row r="384">
      <c r="G384">
        <f>IF(A384="","",COUNTIF($A$2:A384,A384))</f>
        <v/>
      </c>
      <c r="H384">
        <f>IF(A384="","",A384&amp;"|"&amp;G384)</f>
        <v/>
      </c>
    </row>
    <row r="385">
      <c r="G385">
        <f>IF(A385="","",COUNTIF($A$2:A385,A385))</f>
        <v/>
      </c>
      <c r="H385">
        <f>IF(A385="","",A385&amp;"|"&amp;G385)</f>
        <v/>
      </c>
    </row>
    <row r="386">
      <c r="G386">
        <f>IF(A386="","",COUNTIF($A$2:A386,A386))</f>
        <v/>
      </c>
      <c r="H386">
        <f>IF(A386="","",A386&amp;"|"&amp;G386)</f>
        <v/>
      </c>
    </row>
    <row r="387">
      <c r="G387">
        <f>IF(A387="","",COUNTIF($A$2:A387,A387))</f>
        <v/>
      </c>
      <c r="H387">
        <f>IF(A387="","",A387&amp;"|"&amp;G387)</f>
        <v/>
      </c>
    </row>
    <row r="388">
      <c r="G388">
        <f>IF(A388="","",COUNTIF($A$2:A388,A388))</f>
        <v/>
      </c>
      <c r="H388">
        <f>IF(A388="","",A388&amp;"|"&amp;G388)</f>
        <v/>
      </c>
    </row>
    <row r="389">
      <c r="G389">
        <f>IF(A389="","",COUNTIF($A$2:A389,A389))</f>
        <v/>
      </c>
      <c r="H389">
        <f>IF(A389="","",A389&amp;"|"&amp;G389)</f>
        <v/>
      </c>
    </row>
    <row r="390">
      <c r="G390">
        <f>IF(A390="","",COUNTIF($A$2:A390,A390))</f>
        <v/>
      </c>
      <c r="H390">
        <f>IF(A390="","",A390&amp;"|"&amp;G390)</f>
        <v/>
      </c>
    </row>
    <row r="391">
      <c r="G391">
        <f>IF(A391="","",COUNTIF($A$2:A391,A391))</f>
        <v/>
      </c>
      <c r="H391">
        <f>IF(A391="","",A391&amp;"|"&amp;G391)</f>
        <v/>
      </c>
    </row>
    <row r="392">
      <c r="G392">
        <f>IF(A392="","",COUNTIF($A$2:A392,A392))</f>
        <v/>
      </c>
      <c r="H392">
        <f>IF(A392="","",A392&amp;"|"&amp;G392)</f>
        <v/>
      </c>
    </row>
    <row r="393">
      <c r="G393">
        <f>IF(A393="","",COUNTIF($A$2:A393,A393))</f>
        <v/>
      </c>
      <c r="H393">
        <f>IF(A393="","",A393&amp;"|"&amp;G393)</f>
        <v/>
      </c>
    </row>
    <row r="394">
      <c r="G394">
        <f>IF(A394="","",COUNTIF($A$2:A394,A394))</f>
        <v/>
      </c>
      <c r="H394">
        <f>IF(A394="","",A394&amp;"|"&amp;G394)</f>
        <v/>
      </c>
    </row>
    <row r="395">
      <c r="G395">
        <f>IF(A395="","",COUNTIF($A$2:A395,A395))</f>
        <v/>
      </c>
      <c r="H395">
        <f>IF(A395="","",A395&amp;"|"&amp;G395)</f>
        <v/>
      </c>
    </row>
    <row r="396">
      <c r="G396">
        <f>IF(A396="","",COUNTIF($A$2:A396,A396))</f>
        <v/>
      </c>
      <c r="H396">
        <f>IF(A396="","",A396&amp;"|"&amp;G396)</f>
        <v/>
      </c>
    </row>
    <row r="397">
      <c r="G397">
        <f>IF(A397="","",COUNTIF($A$2:A397,A397))</f>
        <v/>
      </c>
      <c r="H397">
        <f>IF(A397="","",A397&amp;"|"&amp;G397)</f>
        <v/>
      </c>
    </row>
    <row r="398">
      <c r="G398">
        <f>IF(A398="","",COUNTIF($A$2:A398,A398))</f>
        <v/>
      </c>
      <c r="H398">
        <f>IF(A398="","",A398&amp;"|"&amp;G398)</f>
        <v/>
      </c>
    </row>
    <row r="399">
      <c r="G399">
        <f>IF(A399="","",COUNTIF($A$2:A399,A399))</f>
        <v/>
      </c>
      <c r="H399">
        <f>IF(A399="","",A399&amp;"|"&amp;G399)</f>
        <v/>
      </c>
    </row>
    <row r="400">
      <c r="G400">
        <f>IF(A400="","",COUNTIF($A$2:A400,A400))</f>
        <v/>
      </c>
      <c r="H400">
        <f>IF(A400="","",A400&amp;"|"&amp;G400)</f>
        <v/>
      </c>
    </row>
    <row r="401">
      <c r="G401">
        <f>IF(A401="","",COUNTIF($A$2:A401,A401))</f>
        <v/>
      </c>
      <c r="H401">
        <f>IF(A401="","",A401&amp;"|"&amp;G401)</f>
        <v/>
      </c>
    </row>
    <row r="402">
      <c r="G402">
        <f>IF(A402="","",COUNTIF($A$2:A402,A402))</f>
        <v/>
      </c>
      <c r="H402">
        <f>IF(A402="","",A402&amp;"|"&amp;G402)</f>
        <v/>
      </c>
    </row>
    <row r="403">
      <c r="G403">
        <f>IF(A403="","",COUNTIF($A$2:A403,A403))</f>
        <v/>
      </c>
      <c r="H403">
        <f>IF(A403="","",A403&amp;"|"&amp;G403)</f>
        <v/>
      </c>
    </row>
    <row r="404">
      <c r="G404">
        <f>IF(A404="","",COUNTIF($A$2:A404,A404))</f>
        <v/>
      </c>
      <c r="H404">
        <f>IF(A404="","",A404&amp;"|"&amp;G404)</f>
        <v/>
      </c>
    </row>
    <row r="405">
      <c r="G405">
        <f>IF(A405="","",COUNTIF($A$2:A405,A405))</f>
        <v/>
      </c>
      <c r="H405">
        <f>IF(A405="","",A405&amp;"|"&amp;G405)</f>
        <v/>
      </c>
    </row>
    <row r="406">
      <c r="G406">
        <f>IF(A406="","",COUNTIF($A$2:A406,A406))</f>
        <v/>
      </c>
      <c r="H406">
        <f>IF(A406="","",A406&amp;"|"&amp;G406)</f>
        <v/>
      </c>
    </row>
    <row r="407">
      <c r="G407">
        <f>IF(A407="","",COUNTIF($A$2:A407,A407))</f>
        <v/>
      </c>
      <c r="H407">
        <f>IF(A407="","",A407&amp;"|"&amp;G407)</f>
        <v/>
      </c>
    </row>
    <row r="408">
      <c r="G408">
        <f>IF(A408="","",COUNTIF($A$2:A408,A408))</f>
        <v/>
      </c>
      <c r="H408">
        <f>IF(A408="","",A408&amp;"|"&amp;G408)</f>
        <v/>
      </c>
    </row>
    <row r="409">
      <c r="G409">
        <f>IF(A409="","",COUNTIF($A$2:A409,A409))</f>
        <v/>
      </c>
      <c r="H409">
        <f>IF(A409="","",A409&amp;"|"&amp;G409)</f>
        <v/>
      </c>
    </row>
    <row r="410">
      <c r="G410">
        <f>IF(A410="","",COUNTIF($A$2:A410,A410))</f>
        <v/>
      </c>
      <c r="H410">
        <f>IF(A410="","",A410&amp;"|"&amp;G410)</f>
        <v/>
      </c>
    </row>
    <row r="411">
      <c r="G411">
        <f>IF(A411="","",COUNTIF($A$2:A411,A411))</f>
        <v/>
      </c>
      <c r="H411">
        <f>IF(A411="","",A411&amp;"|"&amp;G411)</f>
        <v/>
      </c>
    </row>
    <row r="412">
      <c r="G412">
        <f>IF(A412="","",COUNTIF($A$2:A412,A412))</f>
        <v/>
      </c>
      <c r="H412">
        <f>IF(A412="","",A412&amp;"|"&amp;G412)</f>
        <v/>
      </c>
    </row>
    <row r="413">
      <c r="G413">
        <f>IF(A413="","",COUNTIF($A$2:A413,A413))</f>
        <v/>
      </c>
      <c r="H413">
        <f>IF(A413="","",A413&amp;"|"&amp;G413)</f>
        <v/>
      </c>
    </row>
    <row r="414">
      <c r="G414">
        <f>IF(A414="","",COUNTIF($A$2:A414,A414))</f>
        <v/>
      </c>
      <c r="H414">
        <f>IF(A414="","",A414&amp;"|"&amp;G414)</f>
        <v/>
      </c>
    </row>
    <row r="415">
      <c r="G415">
        <f>IF(A415="","",COUNTIF($A$2:A415,A415))</f>
        <v/>
      </c>
      <c r="H415">
        <f>IF(A415="","",A415&amp;"|"&amp;G415)</f>
        <v/>
      </c>
    </row>
    <row r="416">
      <c r="G416">
        <f>IF(A416="","",COUNTIF($A$2:A416,A416))</f>
        <v/>
      </c>
      <c r="H416">
        <f>IF(A416="","",A416&amp;"|"&amp;G416)</f>
        <v/>
      </c>
    </row>
    <row r="417">
      <c r="G417">
        <f>IF(A417="","",COUNTIF($A$2:A417,A417))</f>
        <v/>
      </c>
      <c r="H417">
        <f>IF(A417="","",A417&amp;"|"&amp;G417)</f>
        <v/>
      </c>
    </row>
    <row r="418">
      <c r="G418">
        <f>IF(A418="","",COUNTIF($A$2:A418,A418))</f>
        <v/>
      </c>
      <c r="H418">
        <f>IF(A418="","",A418&amp;"|"&amp;G418)</f>
        <v/>
      </c>
    </row>
    <row r="419">
      <c r="G419">
        <f>IF(A419="","",COUNTIF($A$2:A419,A419))</f>
        <v/>
      </c>
      <c r="H419">
        <f>IF(A419="","",A419&amp;"|"&amp;G419)</f>
        <v/>
      </c>
    </row>
    <row r="420">
      <c r="G420">
        <f>IF(A420="","",COUNTIF($A$2:A420,A420))</f>
        <v/>
      </c>
      <c r="H420">
        <f>IF(A420="","",A420&amp;"|"&amp;G420)</f>
        <v/>
      </c>
    </row>
    <row r="421">
      <c r="G421">
        <f>IF(A421="","",COUNTIF($A$2:A421,A421))</f>
        <v/>
      </c>
      <c r="H421">
        <f>IF(A421="","",A421&amp;"|"&amp;G421)</f>
        <v/>
      </c>
    </row>
    <row r="422">
      <c r="G422">
        <f>IF(A422="","",COUNTIF($A$2:A422,A422))</f>
        <v/>
      </c>
      <c r="H422">
        <f>IF(A422="","",A422&amp;"|"&amp;G422)</f>
        <v/>
      </c>
    </row>
    <row r="423">
      <c r="G423">
        <f>IF(A423="","",COUNTIF($A$2:A423,A423))</f>
        <v/>
      </c>
      <c r="H423">
        <f>IF(A423="","",A423&amp;"|"&amp;G423)</f>
        <v/>
      </c>
    </row>
    <row r="424">
      <c r="G424">
        <f>IF(A424="","",COUNTIF($A$2:A424,A424))</f>
        <v/>
      </c>
      <c r="H424">
        <f>IF(A424="","",A424&amp;"|"&amp;G424)</f>
        <v/>
      </c>
    </row>
    <row r="425">
      <c r="G425">
        <f>IF(A425="","",COUNTIF($A$2:A425,A425))</f>
        <v/>
      </c>
      <c r="H425">
        <f>IF(A425="","",A425&amp;"|"&amp;G425)</f>
        <v/>
      </c>
    </row>
    <row r="426">
      <c r="G426">
        <f>IF(A426="","",COUNTIF($A$2:A426,A426))</f>
        <v/>
      </c>
      <c r="H426">
        <f>IF(A426="","",A426&amp;"|"&amp;G426)</f>
        <v/>
      </c>
    </row>
    <row r="427">
      <c r="G427">
        <f>IF(A427="","",COUNTIF($A$2:A427,A427))</f>
        <v/>
      </c>
      <c r="H427">
        <f>IF(A427="","",A427&amp;"|"&amp;G427)</f>
        <v/>
      </c>
    </row>
    <row r="428">
      <c r="G428">
        <f>IF(A428="","",COUNTIF($A$2:A428,A428))</f>
        <v/>
      </c>
      <c r="H428">
        <f>IF(A428="","",A428&amp;"|"&amp;G428)</f>
        <v/>
      </c>
    </row>
    <row r="429">
      <c r="G429">
        <f>IF(A429="","",COUNTIF($A$2:A429,A429))</f>
        <v/>
      </c>
      <c r="H429">
        <f>IF(A429="","",A429&amp;"|"&amp;G429)</f>
        <v/>
      </c>
    </row>
    <row r="430">
      <c r="G430">
        <f>IF(A430="","",COUNTIF($A$2:A430,A430))</f>
        <v/>
      </c>
      <c r="H430">
        <f>IF(A430="","",A430&amp;"|"&amp;G430)</f>
        <v/>
      </c>
    </row>
    <row r="431">
      <c r="G431">
        <f>IF(A431="","",COUNTIF($A$2:A431,A431))</f>
        <v/>
      </c>
      <c r="H431">
        <f>IF(A431="","",A431&amp;"|"&amp;G431)</f>
        <v/>
      </c>
    </row>
    <row r="432">
      <c r="G432">
        <f>IF(A432="","",COUNTIF($A$2:A432,A432))</f>
        <v/>
      </c>
      <c r="H432">
        <f>IF(A432="","",A432&amp;"|"&amp;G432)</f>
        <v/>
      </c>
    </row>
    <row r="433">
      <c r="G433">
        <f>IF(A433="","",COUNTIF($A$2:A433,A433))</f>
        <v/>
      </c>
      <c r="H433">
        <f>IF(A433="","",A433&amp;"|"&amp;G433)</f>
        <v/>
      </c>
    </row>
    <row r="434">
      <c r="G434">
        <f>IF(A434="","",COUNTIF($A$2:A434,A434))</f>
        <v/>
      </c>
      <c r="H434">
        <f>IF(A434="","",A434&amp;"|"&amp;G434)</f>
        <v/>
      </c>
    </row>
    <row r="435">
      <c r="G435">
        <f>IF(A435="","",COUNTIF($A$2:A435,A435))</f>
        <v/>
      </c>
      <c r="H435">
        <f>IF(A435="","",A435&amp;"|"&amp;G435)</f>
        <v/>
      </c>
    </row>
    <row r="436">
      <c r="G436">
        <f>IF(A436="","",COUNTIF($A$2:A436,A436))</f>
        <v/>
      </c>
      <c r="H436">
        <f>IF(A436="","",A436&amp;"|"&amp;G436)</f>
        <v/>
      </c>
    </row>
    <row r="437">
      <c r="G437">
        <f>IF(A437="","",COUNTIF($A$2:A437,A437))</f>
        <v/>
      </c>
      <c r="H437">
        <f>IF(A437="","",A437&amp;"|"&amp;G437)</f>
        <v/>
      </c>
    </row>
    <row r="438">
      <c r="G438">
        <f>IF(A438="","",COUNTIF($A$2:A438,A438))</f>
        <v/>
      </c>
      <c r="H438">
        <f>IF(A438="","",A438&amp;"|"&amp;G438)</f>
        <v/>
      </c>
    </row>
    <row r="439">
      <c r="G439">
        <f>IF(A439="","",COUNTIF($A$2:A439,A439))</f>
        <v/>
      </c>
      <c r="H439">
        <f>IF(A439="","",A439&amp;"|"&amp;G439)</f>
        <v/>
      </c>
    </row>
    <row r="440">
      <c r="G440">
        <f>IF(A440="","",COUNTIF($A$2:A440,A440))</f>
        <v/>
      </c>
      <c r="H440">
        <f>IF(A440="","",A440&amp;"|"&amp;G440)</f>
        <v/>
      </c>
    </row>
    <row r="441">
      <c r="G441">
        <f>IF(A441="","",COUNTIF($A$2:A441,A441))</f>
        <v/>
      </c>
      <c r="H441">
        <f>IF(A441="","",A441&amp;"|"&amp;G441)</f>
        <v/>
      </c>
    </row>
    <row r="442">
      <c r="G442">
        <f>IF(A442="","",COUNTIF($A$2:A442,A442))</f>
        <v/>
      </c>
      <c r="H442">
        <f>IF(A442="","",A442&amp;"|"&amp;G442)</f>
        <v/>
      </c>
    </row>
    <row r="443">
      <c r="G443">
        <f>IF(A443="","",COUNTIF($A$2:A443,A443))</f>
        <v/>
      </c>
      <c r="H443">
        <f>IF(A443="","",A443&amp;"|"&amp;G443)</f>
        <v/>
      </c>
    </row>
    <row r="444">
      <c r="G444">
        <f>IF(A444="","",COUNTIF($A$2:A444,A444))</f>
        <v/>
      </c>
      <c r="H444">
        <f>IF(A444="","",A444&amp;"|"&amp;G444)</f>
        <v/>
      </c>
    </row>
    <row r="445">
      <c r="G445">
        <f>IF(A445="","",COUNTIF($A$2:A445,A445))</f>
        <v/>
      </c>
      <c r="H445">
        <f>IF(A445="","",A445&amp;"|"&amp;G445)</f>
        <v/>
      </c>
    </row>
    <row r="446">
      <c r="G446">
        <f>IF(A446="","",COUNTIF($A$2:A446,A446))</f>
        <v/>
      </c>
      <c r="H446">
        <f>IF(A446="","",A446&amp;"|"&amp;G446)</f>
        <v/>
      </c>
    </row>
    <row r="447">
      <c r="G447">
        <f>IF(A447="","",COUNTIF($A$2:A447,A447))</f>
        <v/>
      </c>
      <c r="H447">
        <f>IF(A447="","",A447&amp;"|"&amp;G447)</f>
        <v/>
      </c>
    </row>
    <row r="448">
      <c r="G448">
        <f>IF(A448="","",COUNTIF($A$2:A448,A448))</f>
        <v/>
      </c>
      <c r="H448">
        <f>IF(A448="","",A448&amp;"|"&amp;G448)</f>
        <v/>
      </c>
    </row>
    <row r="449">
      <c r="G449">
        <f>IF(A449="","",COUNTIF($A$2:A449,A449))</f>
        <v/>
      </c>
      <c r="H449">
        <f>IF(A449="","",A449&amp;"|"&amp;G449)</f>
        <v/>
      </c>
    </row>
    <row r="450">
      <c r="G450">
        <f>IF(A450="","",COUNTIF($A$2:A450,A450))</f>
        <v/>
      </c>
      <c r="H450">
        <f>IF(A450="","",A450&amp;"|"&amp;G450)</f>
        <v/>
      </c>
    </row>
    <row r="451">
      <c r="G451">
        <f>IF(A451="","",COUNTIF($A$2:A451,A451))</f>
        <v/>
      </c>
      <c r="H451">
        <f>IF(A451="","",A451&amp;"|"&amp;G451)</f>
        <v/>
      </c>
    </row>
    <row r="452">
      <c r="G452">
        <f>IF(A452="","",COUNTIF($A$2:A452,A452))</f>
        <v/>
      </c>
      <c r="H452">
        <f>IF(A452="","",A452&amp;"|"&amp;G452)</f>
        <v/>
      </c>
    </row>
    <row r="453">
      <c r="G453">
        <f>IF(A453="","",COUNTIF($A$2:A453,A453))</f>
        <v/>
      </c>
      <c r="H453">
        <f>IF(A453="","",A453&amp;"|"&amp;G453)</f>
        <v/>
      </c>
    </row>
    <row r="454">
      <c r="G454">
        <f>IF(A454="","",COUNTIF($A$2:A454,A454))</f>
        <v/>
      </c>
      <c r="H454">
        <f>IF(A454="","",A454&amp;"|"&amp;G454)</f>
        <v/>
      </c>
    </row>
    <row r="455">
      <c r="G455">
        <f>IF(A455="","",COUNTIF($A$2:A455,A455))</f>
        <v/>
      </c>
      <c r="H455">
        <f>IF(A455="","",A455&amp;"|"&amp;G455)</f>
        <v/>
      </c>
    </row>
    <row r="456">
      <c r="G456">
        <f>IF(A456="","",COUNTIF($A$2:A456,A456))</f>
        <v/>
      </c>
      <c r="H456">
        <f>IF(A456="","",A456&amp;"|"&amp;G456)</f>
        <v/>
      </c>
    </row>
    <row r="457">
      <c r="G457">
        <f>IF(A457="","",COUNTIF($A$2:A457,A457))</f>
        <v/>
      </c>
      <c r="H457">
        <f>IF(A457="","",A457&amp;"|"&amp;G457)</f>
        <v/>
      </c>
    </row>
    <row r="458">
      <c r="G458">
        <f>IF(A458="","",COUNTIF($A$2:A458,A458))</f>
        <v/>
      </c>
      <c r="H458">
        <f>IF(A458="","",A458&amp;"|"&amp;G458)</f>
        <v/>
      </c>
    </row>
    <row r="459">
      <c r="G459">
        <f>IF(A459="","",COUNTIF($A$2:A459,A459))</f>
        <v/>
      </c>
      <c r="H459">
        <f>IF(A459="","",A459&amp;"|"&amp;G459)</f>
        <v/>
      </c>
    </row>
    <row r="460">
      <c r="G460">
        <f>IF(A460="","",COUNTIF($A$2:A460,A460))</f>
        <v/>
      </c>
      <c r="H460">
        <f>IF(A460="","",A460&amp;"|"&amp;G460)</f>
        <v/>
      </c>
    </row>
    <row r="461">
      <c r="G461">
        <f>IF(A461="","",COUNTIF($A$2:A461,A461))</f>
        <v/>
      </c>
      <c r="H461">
        <f>IF(A461="","",A461&amp;"|"&amp;G461)</f>
        <v/>
      </c>
    </row>
    <row r="462">
      <c r="G462">
        <f>IF(A462="","",COUNTIF($A$2:A462,A462))</f>
        <v/>
      </c>
      <c r="H462">
        <f>IF(A462="","",A462&amp;"|"&amp;G462)</f>
        <v/>
      </c>
    </row>
    <row r="463">
      <c r="G463">
        <f>IF(A463="","",COUNTIF($A$2:A463,A463))</f>
        <v/>
      </c>
      <c r="H463">
        <f>IF(A463="","",A463&amp;"|"&amp;G463)</f>
        <v/>
      </c>
    </row>
    <row r="464">
      <c r="G464">
        <f>IF(A464="","",COUNTIF($A$2:A464,A464))</f>
        <v/>
      </c>
      <c r="H464">
        <f>IF(A464="","",A464&amp;"|"&amp;G464)</f>
        <v/>
      </c>
    </row>
    <row r="465">
      <c r="G465">
        <f>IF(A465="","",COUNTIF($A$2:A465,A465))</f>
        <v/>
      </c>
      <c r="H465">
        <f>IF(A465="","",A465&amp;"|"&amp;G465)</f>
        <v/>
      </c>
    </row>
    <row r="466">
      <c r="G466">
        <f>IF(A466="","",COUNTIF($A$2:A466,A466))</f>
        <v/>
      </c>
      <c r="H466">
        <f>IF(A466="","",A466&amp;"|"&amp;G466)</f>
        <v/>
      </c>
    </row>
    <row r="467">
      <c r="G467">
        <f>IF(A467="","",COUNTIF($A$2:A467,A467))</f>
        <v/>
      </c>
      <c r="H467">
        <f>IF(A467="","",A467&amp;"|"&amp;G467)</f>
        <v/>
      </c>
    </row>
    <row r="468">
      <c r="G468">
        <f>IF(A468="","",COUNTIF($A$2:A468,A468))</f>
        <v/>
      </c>
      <c r="H468">
        <f>IF(A468="","",A468&amp;"|"&amp;G468)</f>
        <v/>
      </c>
    </row>
    <row r="469">
      <c r="G469">
        <f>IF(A469="","",COUNTIF($A$2:A469,A469))</f>
        <v/>
      </c>
      <c r="H469">
        <f>IF(A469="","",A469&amp;"|"&amp;G469)</f>
        <v/>
      </c>
    </row>
    <row r="470">
      <c r="G470">
        <f>IF(A470="","",COUNTIF($A$2:A470,A470))</f>
        <v/>
      </c>
      <c r="H470">
        <f>IF(A470="","",A470&amp;"|"&amp;G470)</f>
        <v/>
      </c>
    </row>
    <row r="471">
      <c r="G471">
        <f>IF(A471="","",COUNTIF($A$2:A471,A471))</f>
        <v/>
      </c>
      <c r="H471">
        <f>IF(A471="","",A471&amp;"|"&amp;G471)</f>
        <v/>
      </c>
    </row>
    <row r="472">
      <c r="G472">
        <f>IF(A472="","",COUNTIF($A$2:A472,A472))</f>
        <v/>
      </c>
      <c r="H472">
        <f>IF(A472="","",A472&amp;"|"&amp;G472)</f>
        <v/>
      </c>
    </row>
    <row r="473">
      <c r="G473">
        <f>IF(A473="","",COUNTIF($A$2:A473,A473))</f>
        <v/>
      </c>
      <c r="H473">
        <f>IF(A473="","",A473&amp;"|"&amp;G473)</f>
        <v/>
      </c>
    </row>
    <row r="474">
      <c r="G474">
        <f>IF(A474="","",COUNTIF($A$2:A474,A474))</f>
        <v/>
      </c>
      <c r="H474">
        <f>IF(A474="","",A474&amp;"|"&amp;G474)</f>
        <v/>
      </c>
    </row>
    <row r="475">
      <c r="G475">
        <f>IF(A475="","",COUNTIF($A$2:A475,A475))</f>
        <v/>
      </c>
      <c r="H475">
        <f>IF(A475="","",A475&amp;"|"&amp;G475)</f>
        <v/>
      </c>
    </row>
    <row r="476">
      <c r="G476">
        <f>IF(A476="","",COUNTIF($A$2:A476,A476))</f>
        <v/>
      </c>
      <c r="H476">
        <f>IF(A476="","",A476&amp;"|"&amp;G476)</f>
        <v/>
      </c>
    </row>
    <row r="477">
      <c r="G477">
        <f>IF(A477="","",COUNTIF($A$2:A477,A477))</f>
        <v/>
      </c>
      <c r="H477">
        <f>IF(A477="","",A477&amp;"|"&amp;G477)</f>
        <v/>
      </c>
    </row>
    <row r="478">
      <c r="G478">
        <f>IF(A478="","",COUNTIF($A$2:A478,A478))</f>
        <v/>
      </c>
      <c r="H478">
        <f>IF(A478="","",A478&amp;"|"&amp;G478)</f>
        <v/>
      </c>
    </row>
    <row r="479">
      <c r="G479">
        <f>IF(A479="","",COUNTIF($A$2:A479,A479))</f>
        <v/>
      </c>
      <c r="H479">
        <f>IF(A479="","",A479&amp;"|"&amp;G479)</f>
        <v/>
      </c>
    </row>
    <row r="480">
      <c r="G480">
        <f>IF(A480="","",COUNTIF($A$2:A480,A480))</f>
        <v/>
      </c>
      <c r="H480">
        <f>IF(A480="","",A480&amp;"|"&amp;G480)</f>
        <v/>
      </c>
    </row>
    <row r="481">
      <c r="G481">
        <f>IF(A481="","",COUNTIF($A$2:A481,A481))</f>
        <v/>
      </c>
      <c r="H481">
        <f>IF(A481="","",A481&amp;"|"&amp;G481)</f>
        <v/>
      </c>
    </row>
    <row r="482">
      <c r="G482">
        <f>IF(A482="","",COUNTIF($A$2:A482,A482))</f>
        <v/>
      </c>
      <c r="H482">
        <f>IF(A482="","",A482&amp;"|"&amp;G482)</f>
        <v/>
      </c>
    </row>
    <row r="483">
      <c r="G483">
        <f>IF(A483="","",COUNTIF($A$2:A483,A483))</f>
        <v/>
      </c>
      <c r="H483">
        <f>IF(A483="","",A483&amp;"|"&amp;G483)</f>
        <v/>
      </c>
    </row>
    <row r="484">
      <c r="G484">
        <f>IF(A484="","",COUNTIF($A$2:A484,A484))</f>
        <v/>
      </c>
      <c r="H484">
        <f>IF(A484="","",A484&amp;"|"&amp;G484)</f>
        <v/>
      </c>
    </row>
    <row r="485">
      <c r="G485">
        <f>IF(A485="","",COUNTIF($A$2:A485,A485))</f>
        <v/>
      </c>
      <c r="H485">
        <f>IF(A485="","",A485&amp;"|"&amp;G485)</f>
        <v/>
      </c>
    </row>
    <row r="486">
      <c r="G486">
        <f>IF(A486="","",COUNTIF($A$2:A486,A486))</f>
        <v/>
      </c>
      <c r="H486">
        <f>IF(A486="","",A486&amp;"|"&amp;G486)</f>
        <v/>
      </c>
    </row>
    <row r="487">
      <c r="G487">
        <f>IF(A487="","",COUNTIF($A$2:A487,A487))</f>
        <v/>
      </c>
      <c r="H487">
        <f>IF(A487="","",A487&amp;"|"&amp;G487)</f>
        <v/>
      </c>
    </row>
    <row r="488">
      <c r="G488">
        <f>IF(A488="","",COUNTIF($A$2:A488,A488))</f>
        <v/>
      </c>
      <c r="H488">
        <f>IF(A488="","",A488&amp;"|"&amp;G488)</f>
        <v/>
      </c>
    </row>
    <row r="489">
      <c r="G489">
        <f>IF(A489="","",COUNTIF($A$2:A489,A489))</f>
        <v/>
      </c>
      <c r="H489">
        <f>IF(A489="","",A489&amp;"|"&amp;G489)</f>
        <v/>
      </c>
    </row>
    <row r="490">
      <c r="G490">
        <f>IF(A490="","",COUNTIF($A$2:A490,A490))</f>
        <v/>
      </c>
      <c r="H490">
        <f>IF(A490="","",A490&amp;"|"&amp;G490)</f>
        <v/>
      </c>
    </row>
    <row r="491">
      <c r="G491">
        <f>IF(A491="","",COUNTIF($A$2:A491,A491))</f>
        <v/>
      </c>
      <c r="H491">
        <f>IF(A491="","",A491&amp;"|"&amp;G491)</f>
        <v/>
      </c>
    </row>
    <row r="492">
      <c r="G492">
        <f>IF(A492="","",COUNTIF($A$2:A492,A492))</f>
        <v/>
      </c>
      <c r="H492">
        <f>IF(A492="","",A492&amp;"|"&amp;G492)</f>
        <v/>
      </c>
    </row>
    <row r="493">
      <c r="G493">
        <f>IF(A493="","",COUNTIF($A$2:A493,A493))</f>
        <v/>
      </c>
      <c r="H493">
        <f>IF(A493="","",A493&amp;"|"&amp;G493)</f>
        <v/>
      </c>
    </row>
    <row r="494">
      <c r="G494">
        <f>IF(A494="","",COUNTIF($A$2:A494,A494))</f>
        <v/>
      </c>
      <c r="H494">
        <f>IF(A494="","",A494&amp;"|"&amp;G494)</f>
        <v/>
      </c>
    </row>
    <row r="495">
      <c r="G495">
        <f>IF(A495="","",COUNTIF($A$2:A495,A495))</f>
        <v/>
      </c>
      <c r="H495">
        <f>IF(A495="","",A495&amp;"|"&amp;G495)</f>
        <v/>
      </c>
    </row>
    <row r="496">
      <c r="G496">
        <f>IF(A496="","",COUNTIF($A$2:A496,A496))</f>
        <v/>
      </c>
      <c r="H496">
        <f>IF(A496="","",A496&amp;"|"&amp;G496)</f>
        <v/>
      </c>
    </row>
    <row r="497">
      <c r="G497">
        <f>IF(A497="","",COUNTIF($A$2:A497,A497))</f>
        <v/>
      </c>
      <c r="H497">
        <f>IF(A497="","",A497&amp;"|"&amp;G497)</f>
        <v/>
      </c>
    </row>
    <row r="498">
      <c r="G498">
        <f>IF(A498="","",COUNTIF($A$2:A498,A498))</f>
        <v/>
      </c>
      <c r="H498">
        <f>IF(A498="","",A498&amp;"|"&amp;G498)</f>
        <v/>
      </c>
    </row>
    <row r="499">
      <c r="G499">
        <f>IF(A499="","",COUNTIF($A$2:A499,A499))</f>
        <v/>
      </c>
      <c r="H499">
        <f>IF(A499="","",A499&amp;"|"&amp;G499)</f>
        <v/>
      </c>
    </row>
    <row r="500">
      <c r="G500">
        <f>IF(A500="","",COUNTIF($A$2:A500,A500))</f>
        <v/>
      </c>
      <c r="H500">
        <f>IF(A500="","",A500&amp;"|"&amp;G500)</f>
        <v/>
      </c>
    </row>
    <row r="501">
      <c r="G501">
        <f>IF(A501="","",COUNTIF($A$2:A501,A501))</f>
        <v/>
      </c>
      <c r="H501">
        <f>IF(A501="","",A501&amp;"|"&amp;G501)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2026-02-10T06:34:40Z</dcterms:created>
  <dcterms:modified xmlns:dcterms="http://purl.org/dc/terms/" xmlns:xsi="http://www.w3.org/2001/XMLSchema-instance" xsi:type="dcterms:W3CDTF">2026-02-12T03:00:44Z</dcterms:modified>
  <cp:lastModifiedBy>Xuan Fu</cp:lastModifiedBy>
</cp:coreProperties>
</file>

<file path=docProps/custom.xml><?xml version="1.0" encoding="utf-8"?>
<Properties xmlns="http://schemas.openxmlformats.org/officeDocument/2006/custom-properties">
  <property name="EM_Doc_Temp_ID" fmtid="{D5CDD505-2E9C-101B-9397-08002B2CF9AE}" pid="2">
    <vt:lpwstr xmlns:vt="http://schemas.openxmlformats.org/officeDocument/2006/docPropsVTypes">EA0BD795-0290-4554-A2D2-95A04C461787</vt:lpwstr>
  </property>
</Properties>
</file>