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xfugm\Desktop\美股分析框架\"/>
    </mc:Choice>
  </mc:AlternateContent>
  <xr:revisionPtr revIDLastSave="0" documentId="13_ncr:1_{77D3B59F-11F9-42CC-9D83-2EE0BE3422D0}" xr6:coauthVersionLast="47" xr6:coauthVersionMax="47" xr10:uidLastSave="{00000000-0000-0000-0000-000000000000}"/>
  <bookViews>
    <workbookView xWindow="948" yWindow="1272" windowWidth="15120" windowHeight="11820" activeTab="4" xr2:uid="{00000000-000D-0000-FFFF-FFFF00000000}"/>
  </bookViews>
  <sheets>
    <sheet name="0_Dashboard" sheetId="1" r:id="rId1"/>
    <sheet name="1_Macro_Liquidity" sheetId="2" r:id="rId2"/>
    <sheet name="2_RealRate_Valuation" sheetId="3" r:id="rId3"/>
    <sheet name="3_TGA_RRP" sheetId="4" r:id="rId4"/>
    <sheet name="4_Micro_Fundamentals" sheetId="5" r:id="rId5"/>
    <sheet name="5_Price_Action" sheetId="6" r:id="rId6"/>
    <sheet name="6_Data_API_PowerQuery" sheetId="7" r:id="rId7"/>
    <sheet name="pq_fh_financials" sheetId="29" r:id="rId8"/>
    <sheet name="pq_fh_earnings" sheetId="28" r:id="rId9"/>
    <sheet name="fh_earn_TSLA" sheetId="20" r:id="rId10"/>
    <sheet name="fh_earn_META" sheetId="19" r:id="rId11"/>
    <sheet name="fh_earn_AMZN" sheetId="18" r:id="rId12"/>
    <sheet name="fh_earn_GOOGL" sheetId="17" r:id="rId13"/>
    <sheet name="fh_earn_MSFT" sheetId="16" r:id="rId14"/>
    <sheet name="fh_earn_AAPL" sheetId="15" r:id="rId15"/>
    <sheet name="fh_fin_TSLA" sheetId="27" r:id="rId16"/>
    <sheet name="fh_fin_META" sheetId="26" r:id="rId17"/>
    <sheet name="fh_fin_AMZN" sheetId="25" r:id="rId18"/>
    <sheet name="fh_fin_GOOGL" sheetId="24" r:id="rId19"/>
    <sheet name="fh_fin_MSFT" sheetId="23" r:id="rId20"/>
    <sheet name="fh_fin_NVDA" sheetId="22" r:id="rId21"/>
    <sheet name="fh_fin_AAPL" sheetId="21" r:id="rId22"/>
    <sheet name="fh_earn_NVDA" sheetId="14" r:id="rId23"/>
    <sheet name="7_Config" sheetId="11" r:id="rId24"/>
    <sheet name="pq_tips_dfii10" sheetId="8" r:id="rId25"/>
    <sheet name="pq_tga_wtregen" sheetId="9" r:id="rId26"/>
    <sheet name="pq_rrp_rrpontsyd" sheetId="10" r:id="rId27"/>
  </sheets>
  <externalReferences>
    <externalReference r:id="rId28"/>
  </externalReferences>
  <definedNames>
    <definedName name="ExternalData_1" localSheetId="22" hidden="1">fh_earn_NVDA!$A$1:$E$5</definedName>
    <definedName name="ExternalData_1" localSheetId="24" hidden="1">pq_tips_dfii10!$A$1:$B$1536</definedName>
    <definedName name="ExternalData_2" localSheetId="14" hidden="1">fh_earn_AAPL!$A$1:$E$5</definedName>
    <definedName name="ExternalData_2" localSheetId="21" hidden="1">fh_fin_AAPL!$A$1:$F$49</definedName>
    <definedName name="ExternalData_2" localSheetId="25" hidden="1">pq_tga_wtregen!$A$1:$B$322</definedName>
    <definedName name="ExternalData_3" localSheetId="13" hidden="1">fh_earn_MSFT!$A$1:$E$5</definedName>
    <definedName name="ExternalData_3" localSheetId="20" hidden="1">fh_fin_NVDA!$A$1:$F$48</definedName>
    <definedName name="ExternalData_3" localSheetId="8" hidden="1">pq_fh_earnings!$A$1:$F$29</definedName>
    <definedName name="ExternalData_3" localSheetId="26" hidden="1">pq_rrp_rrpontsyd!$A$1:$B$1535</definedName>
    <definedName name="ExternalData_4" localSheetId="12" hidden="1">fh_earn_GOOGL!$A$1:$E$5</definedName>
    <definedName name="ExternalData_4" localSheetId="19" hidden="1">fh_fin_MSFT!$A$1:$F$46</definedName>
    <definedName name="ExternalData_4" localSheetId="7" hidden="1">pq_fh_financials!$A$1:$G$304</definedName>
    <definedName name="ExternalData_5" localSheetId="11" hidden="1">fh_earn_AMZN!$A$1:$E$5</definedName>
    <definedName name="ExternalData_5" localSheetId="18" hidden="1">fh_fin_GOOGL!$A$1:$F$32</definedName>
    <definedName name="ExternalData_6" localSheetId="10" hidden="1">fh_earn_META!$A$1:$E$5</definedName>
    <definedName name="ExternalData_6" localSheetId="17" hidden="1">fh_fin_AMZN!$A$1:$F$48</definedName>
    <definedName name="ExternalData_7" localSheetId="9" hidden="1">fh_earn_TSLA!$A$1:$E$5</definedName>
    <definedName name="ExternalData_7" localSheetId="16" hidden="1">fh_fin_META!$A$1:$F$42</definedName>
    <definedName name="ExternalData_8" localSheetId="15" hidden="1">fh_fin_TSLA!$A$1:$F$45</definedName>
    <definedName name="FINNHUB_API_KEY">'7_Config'!$B$2</definedName>
  </definedNames>
  <calcPr calcId="191029" iterate="1" calcOnSave="0"/>
</workbook>
</file>

<file path=xl/calcChain.xml><?xml version="1.0" encoding="utf-8"?>
<calcChain xmlns="http://schemas.openxmlformats.org/spreadsheetml/2006/main">
  <c r="H2" i="29" l="1"/>
  <c r="H3" i="29"/>
  <c r="H4" i="29"/>
  <c r="H5" i="29"/>
  <c r="H6" i="29"/>
  <c r="H7" i="29"/>
  <c r="H8" i="29"/>
  <c r="H9" i="29"/>
  <c r="H10" i="29"/>
  <c r="H11" i="29"/>
  <c r="H12" i="29"/>
  <c r="H13" i="29"/>
  <c r="H14" i="29"/>
  <c r="H15" i="29"/>
  <c r="H16" i="29"/>
  <c r="H17" i="29"/>
  <c r="H18" i="29"/>
  <c r="H19" i="29"/>
  <c r="H20" i="29"/>
  <c r="H21" i="29"/>
  <c r="H22" i="29"/>
  <c r="H23" i="29"/>
  <c r="H24" i="29"/>
  <c r="H25" i="29"/>
  <c r="H26" i="29"/>
  <c r="H27" i="29"/>
  <c r="H28" i="29"/>
  <c r="H29" i="29"/>
  <c r="H30" i="29"/>
  <c r="H31" i="29"/>
  <c r="H32" i="29"/>
  <c r="H33" i="29"/>
  <c r="H34" i="29"/>
  <c r="H35" i="29"/>
  <c r="H36" i="29"/>
  <c r="H37" i="29"/>
  <c r="H38" i="29"/>
  <c r="H39" i="29"/>
  <c r="H40" i="29"/>
  <c r="H41" i="29"/>
  <c r="H42" i="29"/>
  <c r="H43" i="29"/>
  <c r="H44" i="29"/>
  <c r="H45" i="29"/>
  <c r="H46" i="29"/>
  <c r="H47" i="29"/>
  <c r="H48" i="29"/>
  <c r="H49" i="29"/>
  <c r="H50" i="29"/>
  <c r="H51" i="29"/>
  <c r="H52" i="29"/>
  <c r="H53" i="29"/>
  <c r="H54" i="29"/>
  <c r="H55" i="29"/>
  <c r="H56" i="29"/>
  <c r="H57" i="29"/>
  <c r="H58" i="29"/>
  <c r="H59" i="29"/>
  <c r="H60" i="29"/>
  <c r="H61" i="29"/>
  <c r="H62" i="29"/>
  <c r="H63" i="29"/>
  <c r="H64" i="29"/>
  <c r="H65" i="29"/>
  <c r="H66" i="29"/>
  <c r="H67" i="29"/>
  <c r="H68" i="29"/>
  <c r="H69" i="29"/>
  <c r="H70" i="29"/>
  <c r="H71" i="29"/>
  <c r="H72" i="29"/>
  <c r="H73" i="29"/>
  <c r="H74" i="29"/>
  <c r="H75" i="29"/>
  <c r="H76" i="29"/>
  <c r="H77" i="29"/>
  <c r="H78" i="29"/>
  <c r="H79" i="29"/>
  <c r="H80" i="29"/>
  <c r="H81" i="29"/>
  <c r="H82" i="29"/>
  <c r="H83" i="29"/>
  <c r="H84" i="29"/>
  <c r="H85" i="29"/>
  <c r="H86" i="29"/>
  <c r="H87" i="29"/>
  <c r="H88" i="29"/>
  <c r="H89" i="29"/>
  <c r="H90" i="29"/>
  <c r="H91" i="29"/>
  <c r="H92" i="29"/>
  <c r="H93" i="29"/>
  <c r="H94" i="29"/>
  <c r="H95" i="29"/>
  <c r="H96" i="29"/>
  <c r="H97" i="29"/>
  <c r="G9" i="5" s="1"/>
  <c r="H98" i="29"/>
  <c r="H99" i="29"/>
  <c r="H100" i="29"/>
  <c r="H101" i="29"/>
  <c r="H102" i="29"/>
  <c r="H103" i="29"/>
  <c r="H104" i="29"/>
  <c r="H105" i="29"/>
  <c r="H106" i="29"/>
  <c r="H107" i="29"/>
  <c r="H108" i="29"/>
  <c r="H109" i="29"/>
  <c r="H110" i="29"/>
  <c r="H111" i="29"/>
  <c r="H112" i="29"/>
  <c r="H113" i="29"/>
  <c r="H114" i="29"/>
  <c r="H115" i="29"/>
  <c r="H116" i="29"/>
  <c r="H117" i="29"/>
  <c r="H118" i="29"/>
  <c r="H119" i="29"/>
  <c r="H120" i="29"/>
  <c r="H121" i="29"/>
  <c r="H122" i="29"/>
  <c r="H123" i="29"/>
  <c r="H124" i="29"/>
  <c r="H125" i="29"/>
  <c r="H126" i="29"/>
  <c r="H127" i="29"/>
  <c r="H128" i="29"/>
  <c r="H129" i="29"/>
  <c r="H130" i="29"/>
  <c r="H131" i="29"/>
  <c r="H132" i="29"/>
  <c r="H133" i="29"/>
  <c r="H134" i="29"/>
  <c r="H135" i="29"/>
  <c r="H136" i="29"/>
  <c r="H137" i="29"/>
  <c r="H138" i="29"/>
  <c r="H139" i="29"/>
  <c r="H140" i="29"/>
  <c r="H141" i="29"/>
  <c r="H142" i="29"/>
  <c r="H143" i="29"/>
  <c r="H144" i="29"/>
  <c r="H145" i="29"/>
  <c r="H146" i="29"/>
  <c r="H147" i="29"/>
  <c r="H148" i="29"/>
  <c r="H149" i="29"/>
  <c r="H150" i="29"/>
  <c r="H151" i="29"/>
  <c r="H152" i="29"/>
  <c r="H153" i="29"/>
  <c r="H154" i="29"/>
  <c r="H155" i="29"/>
  <c r="H156" i="29"/>
  <c r="H157" i="29"/>
  <c r="H158" i="29"/>
  <c r="H159" i="29"/>
  <c r="H160" i="29"/>
  <c r="H161" i="29"/>
  <c r="H162" i="29"/>
  <c r="H163" i="29"/>
  <c r="H164" i="29"/>
  <c r="H165" i="29"/>
  <c r="H166" i="29"/>
  <c r="H167" i="29"/>
  <c r="H168" i="29"/>
  <c r="H169" i="29"/>
  <c r="G7" i="5" s="1"/>
  <c r="H170" i="29"/>
  <c r="H171" i="29"/>
  <c r="H172" i="29"/>
  <c r="H173" i="29"/>
  <c r="H174" i="29"/>
  <c r="H175" i="29"/>
  <c r="H176" i="29"/>
  <c r="H177" i="29"/>
  <c r="H178" i="29"/>
  <c r="H179" i="29"/>
  <c r="H180" i="29"/>
  <c r="H181" i="29"/>
  <c r="H182" i="29"/>
  <c r="H183" i="29"/>
  <c r="H184" i="29"/>
  <c r="H185" i="29"/>
  <c r="H186" i="29"/>
  <c r="H187" i="29"/>
  <c r="H188" i="29"/>
  <c r="H189" i="29"/>
  <c r="H190" i="29"/>
  <c r="H191" i="29"/>
  <c r="H192" i="29"/>
  <c r="H193" i="29"/>
  <c r="H194" i="29"/>
  <c r="H195" i="29"/>
  <c r="H196" i="29"/>
  <c r="H197" i="29"/>
  <c r="H198" i="29"/>
  <c r="H199" i="29"/>
  <c r="H200" i="29"/>
  <c r="H201" i="29"/>
  <c r="H202" i="29"/>
  <c r="H203" i="29"/>
  <c r="H204" i="29"/>
  <c r="H205" i="29"/>
  <c r="H206" i="29"/>
  <c r="H207" i="29"/>
  <c r="H208" i="29"/>
  <c r="H209" i="29"/>
  <c r="H210" i="29"/>
  <c r="H211" i="29"/>
  <c r="H212" i="29"/>
  <c r="H213" i="29"/>
  <c r="H214" i="29"/>
  <c r="H215" i="29"/>
  <c r="H216" i="29"/>
  <c r="H217" i="29"/>
  <c r="H218" i="29"/>
  <c r="H219" i="29"/>
  <c r="H220" i="29"/>
  <c r="H221" i="29"/>
  <c r="H222" i="29"/>
  <c r="H223" i="29"/>
  <c r="H224" i="29"/>
  <c r="H225" i="29"/>
  <c r="H226" i="29"/>
  <c r="H227" i="29"/>
  <c r="H228" i="29"/>
  <c r="H229" i="29"/>
  <c r="H230" i="29"/>
  <c r="H231" i="29"/>
  <c r="H232" i="29"/>
  <c r="H233" i="29"/>
  <c r="H234" i="29"/>
  <c r="H235" i="29"/>
  <c r="H236" i="29"/>
  <c r="H237" i="29"/>
  <c r="H238" i="29"/>
  <c r="H239" i="29"/>
  <c r="H240" i="29"/>
  <c r="H241" i="29"/>
  <c r="H242" i="29"/>
  <c r="H243" i="29"/>
  <c r="H244" i="29"/>
  <c r="H245" i="29"/>
  <c r="H246" i="29"/>
  <c r="H247" i="29"/>
  <c r="H248" i="29"/>
  <c r="H249" i="29"/>
  <c r="H250" i="29"/>
  <c r="H251" i="29"/>
  <c r="H252" i="29"/>
  <c r="H253" i="29"/>
  <c r="H254" i="29"/>
  <c r="H255" i="29"/>
  <c r="H256" i="29"/>
  <c r="H257" i="29"/>
  <c r="H258" i="29"/>
  <c r="H259" i="29"/>
  <c r="H260" i="29"/>
  <c r="H261" i="29"/>
  <c r="H262" i="29"/>
  <c r="H263" i="29"/>
  <c r="H264" i="29"/>
  <c r="H265" i="29"/>
  <c r="H266" i="29"/>
  <c r="H267" i="29"/>
  <c r="H268" i="29"/>
  <c r="H269" i="29"/>
  <c r="H270" i="29"/>
  <c r="H271" i="29"/>
  <c r="H272" i="29"/>
  <c r="H273" i="29"/>
  <c r="H274" i="29"/>
  <c r="H275" i="29"/>
  <c r="H276" i="29"/>
  <c r="H277" i="29"/>
  <c r="H278" i="29"/>
  <c r="H279" i="29"/>
  <c r="H280" i="29"/>
  <c r="H281" i="29"/>
  <c r="H282" i="29"/>
  <c r="H283" i="29"/>
  <c r="H284" i="29"/>
  <c r="H285" i="29"/>
  <c r="H286" i="29"/>
  <c r="H287" i="29"/>
  <c r="H288" i="29"/>
  <c r="H289" i="29"/>
  <c r="H290" i="29"/>
  <c r="H291" i="29"/>
  <c r="H292" i="29"/>
  <c r="H293" i="29"/>
  <c r="H294" i="29"/>
  <c r="H295" i="29"/>
  <c r="H296" i="29"/>
  <c r="H297" i="29"/>
  <c r="H298" i="29"/>
  <c r="H299" i="29"/>
  <c r="H300" i="29"/>
  <c r="H301" i="29"/>
  <c r="H302" i="29"/>
  <c r="H303" i="29"/>
  <c r="H304" i="29"/>
  <c r="I2" i="29"/>
  <c r="I3" i="29"/>
  <c r="I4" i="29"/>
  <c r="I5" i="29"/>
  <c r="I6" i="29"/>
  <c r="I7" i="29"/>
  <c r="I8" i="29"/>
  <c r="I9" i="29"/>
  <c r="I10" i="29"/>
  <c r="I11" i="29"/>
  <c r="I12" i="29"/>
  <c r="I13" i="29"/>
  <c r="I14" i="29"/>
  <c r="I15" i="29"/>
  <c r="I16" i="29"/>
  <c r="I17" i="29"/>
  <c r="I18" i="29"/>
  <c r="I19" i="29"/>
  <c r="I20" i="29"/>
  <c r="I21" i="29"/>
  <c r="I22" i="29"/>
  <c r="I23" i="29"/>
  <c r="I24" i="29"/>
  <c r="I25" i="29"/>
  <c r="I26" i="29"/>
  <c r="I27" i="29"/>
  <c r="I28" i="29"/>
  <c r="I29" i="29"/>
  <c r="I30" i="29"/>
  <c r="I31" i="29"/>
  <c r="I32" i="29"/>
  <c r="I33" i="29"/>
  <c r="I34" i="29"/>
  <c r="I35" i="29"/>
  <c r="I36" i="29"/>
  <c r="I37" i="29"/>
  <c r="I38" i="29"/>
  <c r="I39" i="29"/>
  <c r="I40" i="29"/>
  <c r="I41" i="29"/>
  <c r="I42" i="29"/>
  <c r="I43" i="29"/>
  <c r="I44" i="29"/>
  <c r="I45" i="29"/>
  <c r="I46" i="29"/>
  <c r="I47" i="29"/>
  <c r="I48" i="29"/>
  <c r="I49" i="29"/>
  <c r="I50" i="29"/>
  <c r="I51" i="29"/>
  <c r="I52" i="29"/>
  <c r="I53" i="29"/>
  <c r="I54" i="29"/>
  <c r="I55" i="29"/>
  <c r="I56" i="29"/>
  <c r="I57" i="29"/>
  <c r="I58" i="29"/>
  <c r="I59" i="29"/>
  <c r="I60" i="29"/>
  <c r="I61" i="29"/>
  <c r="I62" i="29"/>
  <c r="I63" i="29"/>
  <c r="I64" i="29"/>
  <c r="I65" i="29"/>
  <c r="I66" i="29"/>
  <c r="I67" i="29"/>
  <c r="I68" i="29"/>
  <c r="I69" i="29"/>
  <c r="I70" i="29"/>
  <c r="I71" i="29"/>
  <c r="I72" i="29"/>
  <c r="I73" i="29"/>
  <c r="I74" i="29"/>
  <c r="I75" i="29"/>
  <c r="I76" i="29"/>
  <c r="I77" i="29"/>
  <c r="I78" i="29"/>
  <c r="I79" i="29"/>
  <c r="I80" i="29"/>
  <c r="I81" i="29"/>
  <c r="I82" i="29"/>
  <c r="I83" i="29"/>
  <c r="I84" i="29"/>
  <c r="I85" i="29"/>
  <c r="I86" i="29"/>
  <c r="I87" i="29"/>
  <c r="I88" i="29"/>
  <c r="I89" i="29"/>
  <c r="I90" i="29"/>
  <c r="I91" i="29"/>
  <c r="I92" i="29"/>
  <c r="I93" i="29"/>
  <c r="I94" i="29"/>
  <c r="I95" i="29"/>
  <c r="I96" i="29"/>
  <c r="I97" i="29"/>
  <c r="I98" i="29"/>
  <c r="I99" i="29"/>
  <c r="I100" i="29"/>
  <c r="I101" i="29"/>
  <c r="I102" i="29"/>
  <c r="I103" i="29"/>
  <c r="I104" i="29"/>
  <c r="I105" i="29"/>
  <c r="I106" i="29"/>
  <c r="I107" i="29"/>
  <c r="I108" i="29"/>
  <c r="I109" i="29"/>
  <c r="I110" i="29"/>
  <c r="I111" i="29"/>
  <c r="I112" i="29"/>
  <c r="I113" i="29"/>
  <c r="I114" i="29"/>
  <c r="I115" i="29"/>
  <c r="I116" i="29"/>
  <c r="I117" i="29"/>
  <c r="I118" i="29"/>
  <c r="I119" i="29"/>
  <c r="I120" i="29"/>
  <c r="I121" i="29"/>
  <c r="I122" i="29"/>
  <c r="I123" i="29"/>
  <c r="I124" i="29"/>
  <c r="I125" i="29"/>
  <c r="I126" i="29"/>
  <c r="I127" i="29"/>
  <c r="I128" i="29"/>
  <c r="H11" i="5" s="1"/>
  <c r="C22" i="5" s="1"/>
  <c r="I129" i="29"/>
  <c r="I130" i="29"/>
  <c r="I131" i="29"/>
  <c r="I132" i="29"/>
  <c r="I133" i="29"/>
  <c r="I134" i="29"/>
  <c r="I135" i="29"/>
  <c r="I136" i="29"/>
  <c r="I137" i="29"/>
  <c r="I138" i="29"/>
  <c r="I139" i="29"/>
  <c r="I140" i="29"/>
  <c r="I141" i="29"/>
  <c r="I142" i="29"/>
  <c r="I143" i="29"/>
  <c r="I144" i="29"/>
  <c r="I145" i="29"/>
  <c r="I146" i="29"/>
  <c r="I147" i="29"/>
  <c r="I148" i="29"/>
  <c r="I149" i="29"/>
  <c r="I150" i="29"/>
  <c r="I151" i="29"/>
  <c r="I152" i="29"/>
  <c r="I153" i="29"/>
  <c r="I154" i="29"/>
  <c r="I155" i="29"/>
  <c r="I156" i="29"/>
  <c r="I157" i="29"/>
  <c r="I158" i="29"/>
  <c r="I159" i="29"/>
  <c r="I160" i="29"/>
  <c r="I161" i="29"/>
  <c r="I162" i="29"/>
  <c r="I163" i="29"/>
  <c r="I164" i="29"/>
  <c r="I165" i="29"/>
  <c r="I166" i="29"/>
  <c r="I167" i="29"/>
  <c r="I168" i="29"/>
  <c r="I169" i="29"/>
  <c r="I170" i="29"/>
  <c r="I171" i="29"/>
  <c r="I172" i="29"/>
  <c r="I173" i="29"/>
  <c r="I174" i="29"/>
  <c r="I175" i="29"/>
  <c r="I176" i="29"/>
  <c r="I177" i="29"/>
  <c r="I178" i="29"/>
  <c r="I179" i="29"/>
  <c r="I180" i="29"/>
  <c r="I181" i="29"/>
  <c r="I182" i="29"/>
  <c r="I183" i="29"/>
  <c r="I184" i="29"/>
  <c r="I185" i="29"/>
  <c r="I186" i="29"/>
  <c r="I187" i="29"/>
  <c r="I188" i="29"/>
  <c r="I189" i="29"/>
  <c r="I190" i="29"/>
  <c r="I191" i="29"/>
  <c r="I192" i="29"/>
  <c r="I193" i="29"/>
  <c r="I194" i="29"/>
  <c r="I195" i="29"/>
  <c r="I196" i="29"/>
  <c r="I197" i="29"/>
  <c r="I198" i="29"/>
  <c r="I199" i="29"/>
  <c r="I200" i="29"/>
  <c r="I201" i="29"/>
  <c r="I202" i="29"/>
  <c r="I203" i="29"/>
  <c r="I204" i="29"/>
  <c r="I205" i="29"/>
  <c r="I206" i="29"/>
  <c r="I207" i="29"/>
  <c r="I208" i="29"/>
  <c r="I209" i="29"/>
  <c r="I210" i="29"/>
  <c r="I211" i="29"/>
  <c r="I212" i="29"/>
  <c r="I213" i="29"/>
  <c r="I214" i="29"/>
  <c r="I215" i="29"/>
  <c r="I216" i="29"/>
  <c r="I217" i="29"/>
  <c r="I218" i="29"/>
  <c r="I219" i="29"/>
  <c r="I220" i="29"/>
  <c r="I221" i="29"/>
  <c r="I222" i="29"/>
  <c r="I223" i="29"/>
  <c r="I224" i="29"/>
  <c r="I225" i="29"/>
  <c r="I226" i="29"/>
  <c r="I227" i="29"/>
  <c r="I228" i="29"/>
  <c r="I229" i="29"/>
  <c r="I230" i="29"/>
  <c r="I231" i="29"/>
  <c r="I232" i="29"/>
  <c r="I233" i="29"/>
  <c r="I234" i="29"/>
  <c r="I235" i="29"/>
  <c r="I236" i="29"/>
  <c r="I237" i="29"/>
  <c r="I238" i="29"/>
  <c r="I239" i="29"/>
  <c r="I240" i="29"/>
  <c r="I241" i="29"/>
  <c r="I242" i="29"/>
  <c r="I243" i="29"/>
  <c r="I244" i="29"/>
  <c r="I245" i="29"/>
  <c r="I246" i="29"/>
  <c r="I247" i="29"/>
  <c r="I248" i="29"/>
  <c r="I249" i="29"/>
  <c r="I250" i="29"/>
  <c r="I251" i="29"/>
  <c r="I252" i="29"/>
  <c r="I253" i="29"/>
  <c r="I254" i="29"/>
  <c r="I255" i="29"/>
  <c r="I256" i="29"/>
  <c r="I257" i="29"/>
  <c r="I258" i="29"/>
  <c r="I259" i="29"/>
  <c r="I260" i="29"/>
  <c r="I261" i="29"/>
  <c r="I262" i="29"/>
  <c r="I263" i="29"/>
  <c r="I264" i="29"/>
  <c r="I265" i="29"/>
  <c r="I266" i="29"/>
  <c r="I267" i="29"/>
  <c r="I268" i="29"/>
  <c r="I269" i="29"/>
  <c r="I270" i="29"/>
  <c r="I271" i="29"/>
  <c r="I272" i="29"/>
  <c r="I273" i="29"/>
  <c r="I274" i="29"/>
  <c r="I275" i="29"/>
  <c r="I276" i="29"/>
  <c r="I277" i="29"/>
  <c r="I278" i="29"/>
  <c r="I279" i="29"/>
  <c r="I280" i="29"/>
  <c r="I281" i="29"/>
  <c r="I282" i="29"/>
  <c r="I283" i="29"/>
  <c r="I284" i="29"/>
  <c r="I285" i="29"/>
  <c r="I286" i="29"/>
  <c r="I287" i="29"/>
  <c r="I288" i="29"/>
  <c r="I289" i="29"/>
  <c r="I290" i="29"/>
  <c r="I291" i="29"/>
  <c r="I292" i="29"/>
  <c r="I293" i="29"/>
  <c r="I294" i="29"/>
  <c r="I295" i="29"/>
  <c r="I296" i="29"/>
  <c r="I297" i="29"/>
  <c r="I298" i="29"/>
  <c r="I299" i="29"/>
  <c r="I300" i="29"/>
  <c r="I301" i="29"/>
  <c r="I302" i="29"/>
  <c r="I303" i="29"/>
  <c r="I304" i="29"/>
  <c r="J2" i="29"/>
  <c r="J3" i="29"/>
  <c r="J4" i="29"/>
  <c r="J5" i="29"/>
  <c r="J6" i="29"/>
  <c r="J7" i="29"/>
  <c r="J8" i="29"/>
  <c r="J9" i="29"/>
  <c r="J10" i="29"/>
  <c r="J11" i="29"/>
  <c r="J12" i="29"/>
  <c r="J13" i="29"/>
  <c r="J14" i="29"/>
  <c r="J15" i="29"/>
  <c r="J16" i="29"/>
  <c r="J17" i="29"/>
  <c r="J18" i="29"/>
  <c r="J19" i="29"/>
  <c r="J20" i="29"/>
  <c r="J21" i="29"/>
  <c r="J22" i="29"/>
  <c r="J23" i="29"/>
  <c r="J24" i="29"/>
  <c r="J25" i="29"/>
  <c r="J26" i="29"/>
  <c r="J27" i="29"/>
  <c r="J28" i="29"/>
  <c r="J29" i="29"/>
  <c r="J30" i="29"/>
  <c r="J31" i="29"/>
  <c r="J32" i="29"/>
  <c r="J33" i="29"/>
  <c r="J34" i="29"/>
  <c r="J35" i="29"/>
  <c r="J36" i="29"/>
  <c r="J37" i="29"/>
  <c r="J38" i="29"/>
  <c r="J39" i="29"/>
  <c r="J40" i="29"/>
  <c r="J41" i="29"/>
  <c r="J42" i="29"/>
  <c r="J43" i="29"/>
  <c r="J44" i="29"/>
  <c r="J45" i="29"/>
  <c r="J46" i="29"/>
  <c r="J47" i="29"/>
  <c r="J48" i="29"/>
  <c r="J49" i="29"/>
  <c r="J50" i="29"/>
  <c r="J51" i="29"/>
  <c r="J52" i="29"/>
  <c r="J53" i="29"/>
  <c r="J54" i="29"/>
  <c r="J55" i="29"/>
  <c r="J56" i="29"/>
  <c r="J57" i="29"/>
  <c r="J58" i="29"/>
  <c r="J59" i="29"/>
  <c r="J60" i="29"/>
  <c r="J61" i="29"/>
  <c r="J62" i="29"/>
  <c r="J63" i="29"/>
  <c r="J64" i="29"/>
  <c r="J65" i="29"/>
  <c r="J66" i="29"/>
  <c r="J67" i="29"/>
  <c r="J68" i="29"/>
  <c r="J69" i="29"/>
  <c r="J70" i="29"/>
  <c r="J71" i="29"/>
  <c r="J72" i="29"/>
  <c r="J73" i="29"/>
  <c r="J74" i="29"/>
  <c r="J75" i="29"/>
  <c r="J76" i="29"/>
  <c r="J77" i="29"/>
  <c r="J78" i="29"/>
  <c r="J79" i="29"/>
  <c r="J80" i="29"/>
  <c r="J81" i="29"/>
  <c r="J82" i="29"/>
  <c r="J83" i="29"/>
  <c r="J84" i="29"/>
  <c r="J85" i="29"/>
  <c r="J86" i="29"/>
  <c r="J87" i="29"/>
  <c r="J88" i="29"/>
  <c r="J89" i="29"/>
  <c r="J90" i="29"/>
  <c r="J91" i="29"/>
  <c r="J92" i="29"/>
  <c r="J93" i="29"/>
  <c r="J94" i="29"/>
  <c r="J95" i="29"/>
  <c r="J96" i="29"/>
  <c r="J97" i="29"/>
  <c r="J98" i="29"/>
  <c r="J99" i="29"/>
  <c r="J100" i="29"/>
  <c r="J101" i="29"/>
  <c r="J102" i="29"/>
  <c r="J103" i="29"/>
  <c r="J104" i="29"/>
  <c r="J105" i="29"/>
  <c r="J106" i="29"/>
  <c r="J107" i="29"/>
  <c r="J108" i="29"/>
  <c r="J109" i="29"/>
  <c r="J110" i="29"/>
  <c r="J111" i="29"/>
  <c r="J112" i="29"/>
  <c r="J113" i="29"/>
  <c r="J114" i="29"/>
  <c r="J115" i="29"/>
  <c r="J116" i="29"/>
  <c r="J117" i="29"/>
  <c r="J118" i="29"/>
  <c r="J119" i="29"/>
  <c r="J120" i="29"/>
  <c r="J121" i="29"/>
  <c r="J122" i="29"/>
  <c r="J123" i="29"/>
  <c r="J124" i="29"/>
  <c r="J125" i="29"/>
  <c r="J126" i="29"/>
  <c r="J127" i="29"/>
  <c r="J128" i="29"/>
  <c r="J129" i="29"/>
  <c r="J130" i="29"/>
  <c r="J131" i="29"/>
  <c r="J132" i="29"/>
  <c r="J133" i="29"/>
  <c r="J134" i="29"/>
  <c r="J135" i="29"/>
  <c r="J136" i="29"/>
  <c r="J137" i="29"/>
  <c r="J138" i="29"/>
  <c r="J139" i="29"/>
  <c r="J140" i="29"/>
  <c r="J141" i="29"/>
  <c r="J142" i="29"/>
  <c r="J143" i="29"/>
  <c r="J144" i="29"/>
  <c r="J145" i="29"/>
  <c r="J146" i="29"/>
  <c r="J147" i="29"/>
  <c r="J148" i="29"/>
  <c r="J149" i="29"/>
  <c r="J150" i="29"/>
  <c r="J151" i="29"/>
  <c r="J152" i="29"/>
  <c r="J153" i="29"/>
  <c r="J154" i="29"/>
  <c r="J155" i="29"/>
  <c r="J156" i="29"/>
  <c r="J157" i="29"/>
  <c r="J158" i="29"/>
  <c r="J159" i="29"/>
  <c r="J160" i="29"/>
  <c r="J161" i="29"/>
  <c r="J162" i="29"/>
  <c r="J163" i="29"/>
  <c r="J164" i="29"/>
  <c r="J165" i="29"/>
  <c r="J166" i="29"/>
  <c r="J167" i="29"/>
  <c r="J168" i="29"/>
  <c r="J169" i="29"/>
  <c r="J170" i="29"/>
  <c r="J171" i="29"/>
  <c r="J172" i="29"/>
  <c r="J173" i="29"/>
  <c r="J174" i="29"/>
  <c r="J175" i="29"/>
  <c r="J176" i="29"/>
  <c r="J177" i="29"/>
  <c r="J178" i="29"/>
  <c r="J179" i="29"/>
  <c r="J180" i="29"/>
  <c r="J181" i="29"/>
  <c r="J182" i="29"/>
  <c r="J183" i="29"/>
  <c r="J184" i="29"/>
  <c r="J185" i="29"/>
  <c r="J186" i="29"/>
  <c r="J187" i="29"/>
  <c r="J188" i="29"/>
  <c r="J189" i="29"/>
  <c r="J190" i="29"/>
  <c r="J191" i="29"/>
  <c r="J192" i="29"/>
  <c r="J193" i="29"/>
  <c r="J194" i="29"/>
  <c r="J195" i="29"/>
  <c r="J196" i="29"/>
  <c r="J197" i="29"/>
  <c r="J198" i="29"/>
  <c r="J199" i="29"/>
  <c r="J200" i="29"/>
  <c r="J201" i="29"/>
  <c r="J202" i="29"/>
  <c r="J203" i="29"/>
  <c r="J204" i="29"/>
  <c r="J205" i="29"/>
  <c r="J206" i="29"/>
  <c r="J207" i="29"/>
  <c r="J208" i="29"/>
  <c r="J209" i="29"/>
  <c r="J210" i="29"/>
  <c r="J211" i="29"/>
  <c r="J212" i="29"/>
  <c r="J213" i="29"/>
  <c r="J214" i="29"/>
  <c r="J215" i="29"/>
  <c r="J216" i="29"/>
  <c r="J217" i="29"/>
  <c r="J218" i="29"/>
  <c r="J219" i="29"/>
  <c r="J220" i="29"/>
  <c r="J221" i="29"/>
  <c r="J222" i="29"/>
  <c r="J223" i="29"/>
  <c r="J224" i="29"/>
  <c r="J225" i="29"/>
  <c r="J226" i="29"/>
  <c r="J227" i="29"/>
  <c r="J228" i="29"/>
  <c r="J229" i="29"/>
  <c r="J230" i="29"/>
  <c r="J231" i="29"/>
  <c r="J232" i="29"/>
  <c r="J233" i="29"/>
  <c r="J234" i="29"/>
  <c r="J235" i="29"/>
  <c r="J236" i="29"/>
  <c r="J237" i="29"/>
  <c r="J238" i="29"/>
  <c r="J239" i="29"/>
  <c r="J240" i="29"/>
  <c r="J241" i="29"/>
  <c r="J242" i="29"/>
  <c r="J243" i="29"/>
  <c r="J244" i="29"/>
  <c r="J245" i="29"/>
  <c r="J246" i="29"/>
  <c r="J247" i="29"/>
  <c r="J248" i="29"/>
  <c r="J249" i="29"/>
  <c r="J250" i="29"/>
  <c r="J251" i="29"/>
  <c r="J252" i="29"/>
  <c r="J253" i="29"/>
  <c r="J254" i="29"/>
  <c r="J255" i="29"/>
  <c r="J256" i="29"/>
  <c r="J257" i="29"/>
  <c r="J258" i="29"/>
  <c r="J259" i="29"/>
  <c r="J260" i="29"/>
  <c r="J261" i="29"/>
  <c r="J262" i="29"/>
  <c r="J263" i="29"/>
  <c r="J264" i="29"/>
  <c r="J265" i="29"/>
  <c r="J266" i="29"/>
  <c r="J267" i="29"/>
  <c r="J268" i="29"/>
  <c r="J269" i="29"/>
  <c r="J270" i="29"/>
  <c r="J271" i="29"/>
  <c r="J272" i="29"/>
  <c r="J273" i="29"/>
  <c r="J274" i="29"/>
  <c r="J275" i="29"/>
  <c r="J276" i="29"/>
  <c r="J277" i="29"/>
  <c r="J278" i="29"/>
  <c r="J279" i="29"/>
  <c r="J280" i="29"/>
  <c r="J281" i="29"/>
  <c r="J282" i="29"/>
  <c r="J283" i="29"/>
  <c r="J284" i="29"/>
  <c r="J285" i="29"/>
  <c r="J286" i="29"/>
  <c r="J287" i="29"/>
  <c r="J288" i="29"/>
  <c r="J289" i="29"/>
  <c r="J290" i="29"/>
  <c r="J291" i="29"/>
  <c r="J292" i="29"/>
  <c r="J293" i="29"/>
  <c r="J294" i="29"/>
  <c r="J295" i="29"/>
  <c r="J296" i="29"/>
  <c r="J297" i="29"/>
  <c r="J298" i="29"/>
  <c r="J299" i="29"/>
  <c r="J300" i="29"/>
  <c r="J301" i="29"/>
  <c r="J302" i="29"/>
  <c r="J303" i="29"/>
  <c r="J304" i="29"/>
  <c r="K2" i="29"/>
  <c r="K3" i="29"/>
  <c r="K4" i="29"/>
  <c r="K5" i="29"/>
  <c r="K6" i="29"/>
  <c r="K7" i="29"/>
  <c r="K8" i="29"/>
  <c r="K9" i="29"/>
  <c r="K10" i="29"/>
  <c r="K11" i="29"/>
  <c r="K12" i="29"/>
  <c r="K13" i="29"/>
  <c r="K14" i="29"/>
  <c r="K15" i="29"/>
  <c r="K16" i="29"/>
  <c r="K17" i="29"/>
  <c r="K18" i="29"/>
  <c r="K19" i="29"/>
  <c r="K20" i="29"/>
  <c r="K21" i="29"/>
  <c r="K22" i="29"/>
  <c r="K23" i="29"/>
  <c r="K24" i="29"/>
  <c r="K25" i="29"/>
  <c r="K26" i="29"/>
  <c r="K27" i="29"/>
  <c r="K28" i="29"/>
  <c r="K29" i="29"/>
  <c r="K30" i="29"/>
  <c r="K31" i="29"/>
  <c r="K32" i="29"/>
  <c r="K33" i="29"/>
  <c r="K34" i="29"/>
  <c r="K35" i="29"/>
  <c r="K36" i="29"/>
  <c r="K37" i="29"/>
  <c r="K38" i="29"/>
  <c r="K39" i="29"/>
  <c r="K40" i="29"/>
  <c r="K41" i="29"/>
  <c r="K42" i="29"/>
  <c r="K43" i="29"/>
  <c r="K44" i="29"/>
  <c r="K45" i="29"/>
  <c r="K46" i="29"/>
  <c r="K47" i="29"/>
  <c r="K48" i="29"/>
  <c r="K49" i="29"/>
  <c r="K50" i="29"/>
  <c r="K51" i="29"/>
  <c r="K52" i="29"/>
  <c r="K53" i="29"/>
  <c r="K54" i="29"/>
  <c r="K55" i="29"/>
  <c r="K56" i="29"/>
  <c r="K57" i="29"/>
  <c r="K58" i="29"/>
  <c r="K59" i="29"/>
  <c r="K60" i="29"/>
  <c r="K61" i="29"/>
  <c r="K62" i="29"/>
  <c r="K63" i="29"/>
  <c r="K64" i="29"/>
  <c r="K65" i="29"/>
  <c r="K66" i="29"/>
  <c r="K67" i="29"/>
  <c r="K68" i="29"/>
  <c r="K69" i="29"/>
  <c r="K70" i="29"/>
  <c r="K71" i="29"/>
  <c r="K72" i="29"/>
  <c r="K73" i="29"/>
  <c r="K74" i="29"/>
  <c r="K75" i="29"/>
  <c r="K76" i="29"/>
  <c r="K77" i="29"/>
  <c r="K78" i="29"/>
  <c r="K79" i="29"/>
  <c r="K80" i="29"/>
  <c r="K81" i="29"/>
  <c r="K82" i="29"/>
  <c r="K83" i="29"/>
  <c r="K84" i="29"/>
  <c r="K85" i="29"/>
  <c r="K86" i="29"/>
  <c r="K87" i="29"/>
  <c r="K88" i="29"/>
  <c r="K89" i="29"/>
  <c r="K90" i="29"/>
  <c r="K91" i="29"/>
  <c r="K92" i="29"/>
  <c r="K93" i="29"/>
  <c r="K94" i="29"/>
  <c r="K95" i="29"/>
  <c r="K96" i="29"/>
  <c r="K97" i="29"/>
  <c r="K98" i="29"/>
  <c r="K99" i="29"/>
  <c r="K100" i="29"/>
  <c r="K101" i="29"/>
  <c r="K102" i="29"/>
  <c r="K103" i="29"/>
  <c r="K104" i="29"/>
  <c r="K105" i="29"/>
  <c r="K106" i="29"/>
  <c r="K107" i="29"/>
  <c r="K108" i="29"/>
  <c r="K109" i="29"/>
  <c r="K110" i="29"/>
  <c r="K111" i="29"/>
  <c r="K112" i="29"/>
  <c r="K113" i="29"/>
  <c r="K114" i="29"/>
  <c r="K115" i="29"/>
  <c r="K116" i="29"/>
  <c r="K117" i="29"/>
  <c r="K118" i="29"/>
  <c r="K119" i="29"/>
  <c r="K120" i="29"/>
  <c r="K121" i="29"/>
  <c r="K122" i="29"/>
  <c r="K123" i="29"/>
  <c r="K124" i="29"/>
  <c r="K125" i="29"/>
  <c r="K126" i="29"/>
  <c r="K127" i="29"/>
  <c r="K128" i="29"/>
  <c r="K129" i="29"/>
  <c r="K130" i="29"/>
  <c r="K131" i="29"/>
  <c r="K132" i="29"/>
  <c r="K133" i="29"/>
  <c r="K134" i="29"/>
  <c r="K135" i="29"/>
  <c r="K136" i="29"/>
  <c r="K137" i="29"/>
  <c r="K138" i="29"/>
  <c r="K139" i="29"/>
  <c r="K140" i="29"/>
  <c r="K141" i="29"/>
  <c r="K142" i="29"/>
  <c r="K143" i="29"/>
  <c r="K144" i="29"/>
  <c r="K145" i="29"/>
  <c r="K146" i="29"/>
  <c r="K147" i="29"/>
  <c r="K148" i="29"/>
  <c r="K149" i="29"/>
  <c r="K150" i="29"/>
  <c r="K151" i="29"/>
  <c r="K152" i="29"/>
  <c r="K153" i="29"/>
  <c r="K154" i="29"/>
  <c r="K155" i="29"/>
  <c r="K156" i="29"/>
  <c r="K157" i="29"/>
  <c r="K158" i="29"/>
  <c r="K159" i="29"/>
  <c r="K160" i="29"/>
  <c r="K161" i="29"/>
  <c r="K162" i="29"/>
  <c r="K163" i="29"/>
  <c r="K164" i="29"/>
  <c r="K165" i="29"/>
  <c r="K166" i="29"/>
  <c r="K167" i="29"/>
  <c r="K168" i="29"/>
  <c r="K169" i="29"/>
  <c r="K170" i="29"/>
  <c r="K171" i="29"/>
  <c r="K172" i="29"/>
  <c r="K173" i="29"/>
  <c r="K174" i="29"/>
  <c r="K175" i="29"/>
  <c r="K176" i="29"/>
  <c r="K177" i="29"/>
  <c r="K178" i="29"/>
  <c r="K179" i="29"/>
  <c r="K180" i="29"/>
  <c r="K181" i="29"/>
  <c r="K182" i="29"/>
  <c r="K183" i="29"/>
  <c r="K184" i="29"/>
  <c r="K185" i="29"/>
  <c r="K186" i="29"/>
  <c r="K187" i="29"/>
  <c r="K188" i="29"/>
  <c r="K189" i="29"/>
  <c r="K190" i="29"/>
  <c r="K191" i="29"/>
  <c r="K192" i="29"/>
  <c r="K193" i="29"/>
  <c r="K194" i="29"/>
  <c r="K195" i="29"/>
  <c r="K196" i="29"/>
  <c r="K197" i="29"/>
  <c r="K198" i="29"/>
  <c r="K199" i="29"/>
  <c r="K200" i="29"/>
  <c r="K201" i="29"/>
  <c r="K202" i="29"/>
  <c r="K203" i="29"/>
  <c r="K204" i="29"/>
  <c r="K205" i="29"/>
  <c r="K206" i="29"/>
  <c r="K207" i="29"/>
  <c r="K208" i="29"/>
  <c r="K209" i="29"/>
  <c r="K210" i="29"/>
  <c r="K211" i="29"/>
  <c r="K212" i="29"/>
  <c r="K213" i="29"/>
  <c r="K214" i="29"/>
  <c r="K215" i="29"/>
  <c r="K216" i="29"/>
  <c r="K217" i="29"/>
  <c r="K218" i="29"/>
  <c r="K219" i="29"/>
  <c r="K220" i="29"/>
  <c r="K221" i="29"/>
  <c r="K222" i="29"/>
  <c r="K223" i="29"/>
  <c r="K224" i="29"/>
  <c r="K225" i="29"/>
  <c r="K226" i="29"/>
  <c r="K227" i="29"/>
  <c r="K228" i="29"/>
  <c r="K229" i="29"/>
  <c r="K230" i="29"/>
  <c r="K231" i="29"/>
  <c r="K232" i="29"/>
  <c r="K233" i="29"/>
  <c r="K234" i="29"/>
  <c r="K235" i="29"/>
  <c r="K236" i="29"/>
  <c r="K237" i="29"/>
  <c r="K238" i="29"/>
  <c r="K239" i="29"/>
  <c r="K240" i="29"/>
  <c r="K241" i="29"/>
  <c r="K242" i="29"/>
  <c r="K243" i="29"/>
  <c r="K244" i="29"/>
  <c r="K245" i="29"/>
  <c r="K246" i="29"/>
  <c r="K247" i="29"/>
  <c r="K248" i="29"/>
  <c r="K249" i="29"/>
  <c r="K250" i="29"/>
  <c r="K251" i="29"/>
  <c r="K252" i="29"/>
  <c r="K253" i="29"/>
  <c r="K254" i="29"/>
  <c r="K255" i="29"/>
  <c r="K256" i="29"/>
  <c r="K257" i="29"/>
  <c r="K258" i="29"/>
  <c r="K259" i="29"/>
  <c r="K260" i="29"/>
  <c r="K261" i="29"/>
  <c r="K262" i="29"/>
  <c r="K263" i="29"/>
  <c r="K264" i="29"/>
  <c r="K265" i="29"/>
  <c r="K266" i="29"/>
  <c r="K267" i="29"/>
  <c r="K268" i="29"/>
  <c r="K269" i="29"/>
  <c r="K270" i="29"/>
  <c r="K271" i="29"/>
  <c r="K272" i="29"/>
  <c r="K273" i="29"/>
  <c r="K274" i="29"/>
  <c r="K275" i="29"/>
  <c r="K276" i="29"/>
  <c r="K277" i="29"/>
  <c r="K278" i="29"/>
  <c r="K279" i="29"/>
  <c r="K280" i="29"/>
  <c r="K281" i="29"/>
  <c r="K282" i="29"/>
  <c r="K283" i="29"/>
  <c r="K284" i="29"/>
  <c r="K285" i="29"/>
  <c r="K286" i="29"/>
  <c r="K287" i="29"/>
  <c r="K288" i="29"/>
  <c r="K289" i="29"/>
  <c r="K290" i="29"/>
  <c r="K291" i="29"/>
  <c r="K292" i="29"/>
  <c r="K293" i="29"/>
  <c r="K294" i="29"/>
  <c r="K295" i="29"/>
  <c r="K296" i="29"/>
  <c r="K297" i="29"/>
  <c r="K298" i="29"/>
  <c r="K299" i="29"/>
  <c r="K300" i="29"/>
  <c r="K301" i="29"/>
  <c r="K302" i="29"/>
  <c r="K303" i="29"/>
  <c r="K304" i="29"/>
  <c r="H12" i="5"/>
  <c r="C23" i="5" s="1"/>
  <c r="I6" i="5"/>
  <c r="D17" i="5" s="1"/>
  <c r="I10" i="5"/>
  <c r="D21" i="5" s="1"/>
  <c r="I9" i="5"/>
  <c r="D20" i="5" s="1"/>
  <c r="I11" i="5"/>
  <c r="D22" i="5" s="1"/>
  <c r="I7" i="5"/>
  <c r="D18" i="5" s="1"/>
  <c r="I8" i="5"/>
  <c r="D19" i="5" s="1"/>
  <c r="I12" i="5"/>
  <c r="D23" i="5" s="1"/>
  <c r="D7" i="5" a="1"/>
  <c r="D7" i="5" s="1"/>
  <c r="D8" i="5" a="1"/>
  <c r="D8" i="5" s="1"/>
  <c r="D6" i="5" a="1"/>
  <c r="D6" i="5" s="1"/>
  <c r="C8" i="5" a="1"/>
  <c r="C8" i="5" s="1"/>
  <c r="C11" i="5" a="1"/>
  <c r="C11" i="5" s="1"/>
  <c r="C12" i="5" a="1"/>
  <c r="C12" i="5" s="1"/>
  <c r="C6" i="5" a="1"/>
  <c r="C6" i="5" s="1"/>
  <c r="H6" i="5"/>
  <c r="C17" i="5" s="1"/>
  <c r="H10" i="5"/>
  <c r="C21" i="5" s="1"/>
  <c r="H9" i="5"/>
  <c r="C20" i="5" s="1"/>
  <c r="H7" i="5"/>
  <c r="C18" i="5" s="1"/>
  <c r="H8" i="5"/>
  <c r="C19" i="5" s="1"/>
  <c r="G6" i="5"/>
  <c r="G10" i="5"/>
  <c r="G11" i="5"/>
  <c r="G8" i="5"/>
  <c r="G12" i="5"/>
  <c r="K2" i="5"/>
  <c r="C9" i="5" s="1" a="1"/>
  <c r="C9" i="5" s="1"/>
  <c r="B91" i="6"/>
  <c r="B90" i="6"/>
  <c r="B89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24" i="5"/>
  <c r="A58" i="4"/>
  <c r="B58" i="4" s="1"/>
  <c r="A57" i="4"/>
  <c r="B57" i="4" s="1"/>
  <c r="A56" i="4"/>
  <c r="B56" i="4" s="1"/>
  <c r="A55" i="4"/>
  <c r="B55" i="4" s="1"/>
  <c r="A54" i="4"/>
  <c r="B54" i="4" s="1"/>
  <c r="A53" i="4"/>
  <c r="B53" i="4" s="1"/>
  <c r="A52" i="4"/>
  <c r="B52" i="4" s="1"/>
  <c r="A51" i="4"/>
  <c r="B51" i="4" s="1"/>
  <c r="A50" i="4"/>
  <c r="B50" i="4" s="1"/>
  <c r="A49" i="4"/>
  <c r="B49" i="4" s="1"/>
  <c r="A48" i="4"/>
  <c r="B48" i="4" s="1"/>
  <c r="A47" i="4"/>
  <c r="B47" i="4" s="1"/>
  <c r="A46" i="4"/>
  <c r="B46" i="4" s="1"/>
  <c r="A45" i="4"/>
  <c r="B45" i="4" s="1"/>
  <c r="A44" i="4"/>
  <c r="B44" i="4" s="1"/>
  <c r="A43" i="4"/>
  <c r="B43" i="4" s="1"/>
  <c r="A42" i="4"/>
  <c r="B42" i="4" s="1"/>
  <c r="A41" i="4"/>
  <c r="B41" i="4" s="1"/>
  <c r="A40" i="4"/>
  <c r="B40" i="4" s="1"/>
  <c r="A39" i="4"/>
  <c r="B39" i="4" s="1"/>
  <c r="A35" i="4"/>
  <c r="B35" i="4" s="1"/>
  <c r="A34" i="4"/>
  <c r="B34" i="4" s="1"/>
  <c r="B33" i="4"/>
  <c r="D33" i="4" s="1"/>
  <c r="A33" i="4"/>
  <c r="A32" i="4"/>
  <c r="B32" i="4" s="1"/>
  <c r="A31" i="4"/>
  <c r="B31" i="4" s="1"/>
  <c r="A30" i="4"/>
  <c r="B30" i="4" s="1"/>
  <c r="F30" i="4" s="1"/>
  <c r="A29" i="4"/>
  <c r="B29" i="4" s="1"/>
  <c r="A28" i="4"/>
  <c r="B28" i="4" s="1"/>
  <c r="A27" i="4"/>
  <c r="B27" i="4" s="1"/>
  <c r="F27" i="4" s="1"/>
  <c r="A26" i="4"/>
  <c r="B26" i="4" s="1"/>
  <c r="A25" i="4"/>
  <c r="B25" i="4" s="1"/>
  <c r="A24" i="4"/>
  <c r="B24" i="4" s="1"/>
  <c r="F24" i="4" s="1"/>
  <c r="A23" i="4"/>
  <c r="B23" i="4" s="1"/>
  <c r="A22" i="4"/>
  <c r="B22" i="4" s="1"/>
  <c r="A21" i="4"/>
  <c r="B21" i="4" s="1"/>
  <c r="D21" i="4" s="1"/>
  <c r="A20" i="4"/>
  <c r="B20" i="4" s="1"/>
  <c r="A19" i="4"/>
  <c r="B19" i="4" s="1"/>
  <c r="A18" i="4"/>
  <c r="B18" i="4" s="1"/>
  <c r="D18" i="4" s="1"/>
  <c r="A17" i="4"/>
  <c r="B17" i="4" s="1"/>
  <c r="A16" i="4"/>
  <c r="B16" i="4" s="1"/>
  <c r="A15" i="4"/>
  <c r="B15" i="4" s="1"/>
  <c r="F15" i="4" s="1"/>
  <c r="A14" i="4"/>
  <c r="B14" i="4" s="1"/>
  <c r="A13" i="4"/>
  <c r="B13" i="4" s="1"/>
  <c r="A12" i="4"/>
  <c r="B12" i="4" s="1"/>
  <c r="D12" i="4" s="1"/>
  <c r="A11" i="4"/>
  <c r="B11" i="4" s="1"/>
  <c r="A10" i="4"/>
  <c r="B10" i="4" s="1"/>
  <c r="A9" i="4"/>
  <c r="B9" i="4" s="1"/>
  <c r="D9" i="4" s="1"/>
  <c r="A8" i="4"/>
  <c r="B8" i="4" s="1"/>
  <c r="A7" i="4"/>
  <c r="B7" i="4" s="1"/>
  <c r="A6" i="4"/>
  <c r="B6" i="4" s="1"/>
  <c r="F6" i="4" s="1"/>
  <c r="A35" i="3"/>
  <c r="B35" i="3" s="1"/>
  <c r="F35" i="3" s="1"/>
  <c r="A34" i="3"/>
  <c r="B34" i="3" s="1"/>
  <c r="F34" i="3" s="1"/>
  <c r="A33" i="3"/>
  <c r="B33" i="3" s="1"/>
  <c r="F33" i="3" s="1"/>
  <c r="A32" i="3"/>
  <c r="B32" i="3" s="1"/>
  <c r="F32" i="3" s="1"/>
  <c r="A31" i="3"/>
  <c r="B31" i="3" s="1"/>
  <c r="F31" i="3" s="1"/>
  <c r="A30" i="3"/>
  <c r="B30" i="3" s="1"/>
  <c r="F30" i="3" s="1"/>
  <c r="A29" i="3"/>
  <c r="B29" i="3" s="1"/>
  <c r="F29" i="3" s="1"/>
  <c r="A28" i="3"/>
  <c r="B28" i="3" s="1"/>
  <c r="F28" i="3" s="1"/>
  <c r="A27" i="3"/>
  <c r="B27" i="3" s="1"/>
  <c r="F27" i="3" s="1"/>
  <c r="A26" i="3"/>
  <c r="B26" i="3" s="1"/>
  <c r="F26" i="3" s="1"/>
  <c r="A25" i="3"/>
  <c r="B25" i="3" s="1"/>
  <c r="F25" i="3" s="1"/>
  <c r="A24" i="3"/>
  <c r="B24" i="3" s="1"/>
  <c r="F24" i="3" s="1"/>
  <c r="A23" i="3"/>
  <c r="B23" i="3" s="1"/>
  <c r="F23" i="3" s="1"/>
  <c r="A22" i="3"/>
  <c r="B22" i="3" s="1"/>
  <c r="F22" i="3" s="1"/>
  <c r="A21" i="3"/>
  <c r="B21" i="3" s="1"/>
  <c r="F21" i="3" s="1"/>
  <c r="A20" i="3"/>
  <c r="B20" i="3" s="1"/>
  <c r="F20" i="3" s="1"/>
  <c r="A19" i="3"/>
  <c r="B19" i="3" s="1"/>
  <c r="F19" i="3" s="1"/>
  <c r="A18" i="3"/>
  <c r="B18" i="3" s="1"/>
  <c r="F18" i="3" s="1"/>
  <c r="A17" i="3"/>
  <c r="B17" i="3" s="1"/>
  <c r="F17" i="3" s="1"/>
  <c r="A16" i="3"/>
  <c r="B16" i="3" s="1"/>
  <c r="F16" i="3" s="1"/>
  <c r="A15" i="3"/>
  <c r="B15" i="3" s="1"/>
  <c r="F15" i="3" s="1"/>
  <c r="A14" i="3"/>
  <c r="B14" i="3" s="1"/>
  <c r="F14" i="3" s="1"/>
  <c r="A13" i="3"/>
  <c r="B13" i="3" s="1"/>
  <c r="F13" i="3" s="1"/>
  <c r="A12" i="3"/>
  <c r="B12" i="3" s="1"/>
  <c r="F12" i="3" s="1"/>
  <c r="A11" i="3"/>
  <c r="B11" i="3" s="1"/>
  <c r="F11" i="3" s="1"/>
  <c r="A10" i="3"/>
  <c r="B10" i="3" s="1"/>
  <c r="F10" i="3" s="1"/>
  <c r="A9" i="3"/>
  <c r="B9" i="3" s="1"/>
  <c r="F9" i="3" s="1"/>
  <c r="A8" i="3"/>
  <c r="B8" i="3" s="1"/>
  <c r="F8" i="3" s="1"/>
  <c r="A7" i="3"/>
  <c r="B7" i="3" s="1"/>
  <c r="F7" i="3" s="1"/>
  <c r="A6" i="3"/>
  <c r="B6" i="3" s="1"/>
  <c r="F6" i="3" s="1"/>
  <c r="H11" i="2"/>
  <c r="F9" i="2"/>
  <c r="D9" i="2"/>
  <c r="F8" i="2"/>
  <c r="D8" i="2"/>
  <c r="F7" i="2"/>
  <c r="D7" i="2"/>
  <c r="F6" i="2"/>
  <c r="D6" i="2"/>
  <c r="B17" i="1"/>
  <c r="G12" i="1"/>
  <c r="F12" i="1"/>
  <c r="C12" i="1"/>
  <c r="G11" i="1"/>
  <c r="F11" i="1"/>
  <c r="C11" i="1"/>
  <c r="G10" i="1"/>
  <c r="F10" i="1"/>
  <c r="C10" i="1"/>
  <c r="G6" i="1"/>
  <c r="F6" i="1"/>
  <c r="C6" i="1"/>
  <c r="I8" i="3"/>
  <c r="I17" i="3"/>
  <c r="I9" i="3"/>
  <c r="I19" i="3"/>
  <c r="I20" i="3"/>
  <c r="I23" i="3"/>
  <c r="I28" i="3"/>
  <c r="I10" i="3"/>
  <c r="I7" i="3"/>
  <c r="I31" i="3"/>
  <c r="I29" i="3"/>
  <c r="I26" i="3"/>
  <c r="I18" i="3"/>
  <c r="I14" i="3"/>
  <c r="I13" i="3"/>
  <c r="I34" i="3"/>
  <c r="I35" i="3"/>
  <c r="I24" i="3"/>
  <c r="I32" i="3"/>
  <c r="I25" i="3"/>
  <c r="I30" i="3"/>
  <c r="I16" i="3"/>
  <c r="I11" i="3"/>
  <c r="I12" i="3"/>
  <c r="I21" i="3"/>
  <c r="I15" i="3"/>
  <c r="I33" i="3"/>
  <c r="I22" i="3"/>
  <c r="I6" i="3"/>
  <c r="I27" i="3"/>
  <c r="B37" i="3" l="1"/>
  <c r="C7" i="1" s="1"/>
  <c r="G7" i="1" s="1"/>
  <c r="C7" i="5" a="1"/>
  <c r="C7" i="5" s="1"/>
  <c r="E7" i="5" s="1"/>
  <c r="B18" i="5" s="1"/>
  <c r="E18" i="5" s="1"/>
  <c r="G18" i="5" s="1"/>
  <c r="D12" i="5" a="1"/>
  <c r="D12" i="5" s="1"/>
  <c r="E12" i="5" s="1"/>
  <c r="B23" i="5" s="1"/>
  <c r="E23" i="5" s="1"/>
  <c r="G23" i="5" s="1"/>
  <c r="D11" i="5" a="1"/>
  <c r="D11" i="5" s="1"/>
  <c r="E11" i="5" s="1"/>
  <c r="B22" i="5" s="1"/>
  <c r="E22" i="5" s="1"/>
  <c r="G22" i="5" s="1"/>
  <c r="D10" i="5" a="1"/>
  <c r="D10" i="5" s="1"/>
  <c r="D9" i="5" a="1"/>
  <c r="D9" i="5" s="1"/>
  <c r="E9" i="5" s="1"/>
  <c r="B20" i="5" s="1"/>
  <c r="E20" i="5" s="1"/>
  <c r="G20" i="5" s="1"/>
  <c r="C10" i="5" a="1"/>
  <c r="C10" i="5" s="1"/>
  <c r="F41" i="4"/>
  <c r="D41" i="4"/>
  <c r="F53" i="4"/>
  <c r="D53" i="4"/>
  <c r="F42" i="4"/>
  <c r="D42" i="4"/>
  <c r="F55" i="4"/>
  <c r="D55" i="4"/>
  <c r="F54" i="4"/>
  <c r="D54" i="4"/>
  <c r="F56" i="4"/>
  <c r="D56" i="4"/>
  <c r="F57" i="4"/>
  <c r="D57" i="4"/>
  <c r="F52" i="4"/>
  <c r="D52" i="4"/>
  <c r="F58" i="4"/>
  <c r="D58" i="4"/>
  <c r="F46" i="4"/>
  <c r="D46" i="4"/>
  <c r="F47" i="4"/>
  <c r="D47" i="4"/>
  <c r="F43" i="4"/>
  <c r="D43" i="4"/>
  <c r="F48" i="4"/>
  <c r="D48" i="4"/>
  <c r="F45" i="4"/>
  <c r="D45" i="4"/>
  <c r="F49" i="4"/>
  <c r="D49" i="4"/>
  <c r="F44" i="4"/>
  <c r="D44" i="4"/>
  <c r="F50" i="4"/>
  <c r="D50" i="4"/>
  <c r="F40" i="4"/>
  <c r="D40" i="4"/>
  <c r="F39" i="4"/>
  <c r="D39" i="4"/>
  <c r="F51" i="4"/>
  <c r="D51" i="4"/>
  <c r="F29" i="4"/>
  <c r="D29" i="4"/>
  <c r="F10" i="4"/>
  <c r="D10" i="4"/>
  <c r="F20" i="4"/>
  <c r="D20" i="4"/>
  <c r="F28" i="4"/>
  <c r="D28" i="4"/>
  <c r="F13" i="4"/>
  <c r="D13" i="4"/>
  <c r="F22" i="4"/>
  <c r="D22" i="4"/>
  <c r="F31" i="4"/>
  <c r="D31" i="4"/>
  <c r="F19" i="4"/>
  <c r="D19" i="4"/>
  <c r="F11" i="4"/>
  <c r="D11" i="4"/>
  <c r="F14" i="4"/>
  <c r="D14" i="4"/>
  <c r="F23" i="4"/>
  <c r="D23" i="4"/>
  <c r="F32" i="4"/>
  <c r="D32" i="4"/>
  <c r="F25" i="4"/>
  <c r="D25" i="4"/>
  <c r="F16" i="4"/>
  <c r="D16" i="4"/>
  <c r="F7" i="4"/>
  <c r="D7" i="4"/>
  <c r="F34" i="4"/>
  <c r="D34" i="4"/>
  <c r="F8" i="4"/>
  <c r="D8" i="4"/>
  <c r="F17" i="4"/>
  <c r="D17" i="4"/>
  <c r="F26" i="4"/>
  <c r="D26" i="4"/>
  <c r="F35" i="4"/>
  <c r="D35" i="4"/>
  <c r="D15" i="4"/>
  <c r="D30" i="4"/>
  <c r="F9" i="4"/>
  <c r="F21" i="4"/>
  <c r="F33" i="4"/>
  <c r="D24" i="4"/>
  <c r="F12" i="4"/>
  <c r="F18" i="4"/>
  <c r="D6" i="4"/>
  <c r="D27" i="4"/>
  <c r="E8" i="5"/>
  <c r="B19" i="5" s="1"/>
  <c r="E19" i="5" s="1"/>
  <c r="G19" i="5" s="1"/>
  <c r="E6" i="5"/>
  <c r="B17" i="5" s="1"/>
  <c r="E17" i="5" s="1"/>
  <c r="G17" i="5" s="1"/>
  <c r="C24" i="3"/>
  <c r="D24" i="3" s="1"/>
  <c r="C30" i="3"/>
  <c r="D30" i="3" s="1"/>
  <c r="C28" i="3"/>
  <c r="D28" i="3" s="1"/>
  <c r="C6" i="3"/>
  <c r="D6" i="3" s="1"/>
  <c r="C12" i="3"/>
  <c r="D12" i="3" s="1"/>
  <c r="C21" i="3"/>
  <c r="D21" i="3" s="1"/>
  <c r="C10" i="3"/>
  <c r="D10" i="3" s="1"/>
  <c r="C16" i="3"/>
  <c r="D16" i="3" s="1"/>
  <c r="C19" i="3"/>
  <c r="D19" i="3" s="1"/>
  <c r="C25" i="3"/>
  <c r="D25" i="3" s="1"/>
  <c r="C9" i="3"/>
  <c r="D9" i="3" s="1"/>
  <c r="C15" i="3"/>
  <c r="D15" i="3" s="1"/>
  <c r="C18" i="3"/>
  <c r="D18" i="3" s="1"/>
  <c r="C7" i="3"/>
  <c r="D7" i="3" s="1"/>
  <c r="C13" i="3"/>
  <c r="D13" i="3" s="1"/>
  <c r="C22" i="3"/>
  <c r="D22" i="3" s="1"/>
  <c r="C34" i="3"/>
  <c r="D34" i="3" s="1"/>
  <c r="C31" i="3"/>
  <c r="D31" i="3" s="1"/>
  <c r="C35" i="3"/>
  <c r="D35" i="3" s="1"/>
  <c r="C26" i="3"/>
  <c r="D26" i="3" s="1"/>
  <c r="C8" i="3"/>
  <c r="D8" i="3" s="1"/>
  <c r="C11" i="3"/>
  <c r="D11" i="3" s="1"/>
  <c r="C14" i="3"/>
  <c r="D14" i="3" s="1"/>
  <c r="C17" i="3"/>
  <c r="D17" i="3" s="1"/>
  <c r="C20" i="3"/>
  <c r="D20" i="3" s="1"/>
  <c r="C23" i="3"/>
  <c r="D23" i="3" s="1"/>
  <c r="C32" i="3"/>
  <c r="D32" i="3" s="1"/>
  <c r="C29" i="3"/>
  <c r="D29" i="3" s="1"/>
  <c r="C33" i="3"/>
  <c r="D33" i="3" s="1"/>
  <c r="C27" i="3"/>
  <c r="D27" i="3" s="1"/>
  <c r="C8" i="1" l="1"/>
  <c r="G8" i="1" s="1"/>
  <c r="B15" i="1" s="1"/>
  <c r="F7" i="1"/>
  <c r="E10" i="5"/>
  <c r="B21" i="5" s="1"/>
  <c r="E21" i="5" s="1"/>
  <c r="G21" i="5" s="1"/>
  <c r="G25" i="5" s="1"/>
  <c r="C9" i="1" s="1"/>
  <c r="F9" i="1" s="1"/>
  <c r="F8" i="1" l="1"/>
  <c r="G9" i="1"/>
  <c r="B16" i="1" s="1"/>
  <c r="B1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Xuan Fu</author>
  </authors>
  <commentList>
    <comment ref="I6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 xml:space="preserve"> 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查询 - fh_earn_AAPL" description="与工作簿中“fh_earn_AAPL”查询的连接。" type="5" refreshedVersion="8" background="1" saveData="1">
    <dbPr connection="Provider=Microsoft.Mashup.OleDb.1;Data Source=$Workbook$;Location=fh_earn_AAPL;Extended Properties=&quot;&quot;" command="SELECT * FROM [fh_earn_AAPL]"/>
  </connection>
  <connection id="2" xr16:uid="{00000000-0015-0000-FFFF-FFFF01000000}" name="查询 - fh_earn_AMZN" description="与工作簿中“fh_earn_AMZN”查询的连接。" type="5" refreshedVersion="8" background="1" saveData="1">
    <dbPr connection="Provider=Microsoft.Mashup.OleDb.1;Data Source=$Workbook$;Location=fh_earn_AMZN;Extended Properties=&quot;&quot;" command="SELECT * FROM [fh_earn_AMZN]"/>
  </connection>
  <connection id="3" xr16:uid="{00000000-0015-0000-FFFF-FFFF02000000}" name="查询 - fh_earn_GOOGL" description="与工作簿中“fh_earn_GOOGL”查询的连接。" type="5" refreshedVersion="8" background="1" saveData="1">
    <dbPr connection="Provider=Microsoft.Mashup.OleDb.1;Data Source=$Workbook$;Location=fh_earn_GOOGL;Extended Properties=&quot;&quot;" command="SELECT * FROM [fh_earn_GOOGL]"/>
  </connection>
  <connection id="4" xr16:uid="{00000000-0015-0000-FFFF-FFFF03000000}" name="查询 - fh_earn_META" description="与工作簿中“fh_earn_META”查询的连接。" type="5" refreshedVersion="8" background="1" saveData="1">
    <dbPr connection="Provider=Microsoft.Mashup.OleDb.1;Data Source=$Workbook$;Location=fh_earn_META;Extended Properties=&quot;&quot;" command="SELECT * FROM [fh_earn_META]"/>
  </connection>
  <connection id="5" xr16:uid="{00000000-0015-0000-FFFF-FFFF04000000}" name="查询 - fh_earn_MSFT" description="与工作簿中“fh_earn_MSFT”查询的连接。" type="5" refreshedVersion="8" background="1" saveData="1">
    <dbPr connection="Provider=Microsoft.Mashup.OleDb.1;Data Source=$Workbook$;Location=fh_earn_MSFT;Extended Properties=&quot;&quot;" command="SELECT * FROM [fh_earn_MSFT]"/>
  </connection>
  <connection id="6" xr16:uid="{00000000-0015-0000-FFFF-FFFF05000000}" name="查询 - fh_earn_NVDA" description="与工作簿中“fh_earn_NVDA”查询的连接。" type="5" refreshedVersion="8" background="1" saveData="1">
    <dbPr connection="Provider=Microsoft.Mashup.OleDb.1;Data Source=$Workbook$;Location=fh_earn_NVDA;Extended Properties=&quot;&quot;" command="SELECT * FROM [fh_earn_NVDA]"/>
  </connection>
  <connection id="7" xr16:uid="{00000000-0015-0000-FFFF-FFFF06000000}" name="查询 - fh_earn_TSLA" description="与工作簿中“fh_earn_TSLA”查询的连接。" type="5" refreshedVersion="8" background="1" saveData="1">
    <dbPr connection="Provider=Microsoft.Mashup.OleDb.1;Data Source=$Workbook$;Location=fh_earn_TSLA;Extended Properties=&quot;&quot;" command="SELECT * FROM [fh_earn_TSLA]"/>
  </connection>
  <connection id="8" xr16:uid="{00000000-0015-0000-FFFF-FFFF07000000}" name="查询 - fh_fin_AAPL" description="与工作簿中“fh_fin_AAPL”查询的连接。" type="5" refreshedVersion="8" background="1" saveData="1">
    <dbPr connection="Provider=Microsoft.Mashup.OleDb.1;Data Source=$Workbook$;Location=fh_fin_AAPL;Extended Properties=&quot;&quot;" command="SELECT * FROM [fh_fin_AAPL]"/>
  </connection>
  <connection id="9" xr16:uid="{00000000-0015-0000-FFFF-FFFF08000000}" name="查询 - fh_fin_AMZN" description="与工作簿中“fh_fin_AMZN”查询的连接。" type="5" refreshedVersion="8" background="1" saveData="1">
    <dbPr connection="Provider=Microsoft.Mashup.OleDb.1;Data Source=$Workbook$;Location=fh_fin_AMZN;Extended Properties=&quot;&quot;" command="SELECT * FROM [fh_fin_AMZN]"/>
  </connection>
  <connection id="10" xr16:uid="{00000000-0015-0000-FFFF-FFFF09000000}" name="查询 - fh_fin_GOOGL" description="与工作簿中“fh_fin_GOOGL”查询的连接。" type="5" refreshedVersion="8" background="1" saveData="1">
    <dbPr connection="Provider=Microsoft.Mashup.OleDb.1;Data Source=$Workbook$;Location=fh_fin_GOOGL;Extended Properties=&quot;&quot;" command="SELECT * FROM [fh_fin_GOOGL]"/>
  </connection>
  <connection id="11" xr16:uid="{00000000-0015-0000-FFFF-FFFF0A000000}" name="查询 - fh_fin_META" description="与工作簿中“fh_fin_META”查询的连接。" type="5" refreshedVersion="8" background="1" saveData="1">
    <dbPr connection="Provider=Microsoft.Mashup.OleDb.1;Data Source=$Workbook$;Location=fh_fin_META;Extended Properties=&quot;&quot;" command="SELECT * FROM [fh_fin_META]"/>
  </connection>
  <connection id="12" xr16:uid="{00000000-0015-0000-FFFF-FFFF0B000000}" name="查询 - fh_fin_MSFT" description="与工作簿中“fh_fin_MSFT”查询的连接。" type="5" refreshedVersion="8" background="1" saveData="1">
    <dbPr connection="Provider=Microsoft.Mashup.OleDb.1;Data Source=$Workbook$;Location=fh_fin_MSFT;Extended Properties=&quot;&quot;" command="SELECT * FROM [fh_fin_MSFT]"/>
  </connection>
  <connection id="13" xr16:uid="{00000000-0015-0000-FFFF-FFFF0C000000}" name="查询 - fh_fin_NVDA" description="与工作簿中“fh_fin_NVDA”查询的连接。" type="5" refreshedVersion="8" background="1" saveData="1">
    <dbPr connection="Provider=Microsoft.Mashup.OleDb.1;Data Source=$Workbook$;Location=fh_fin_NVDA;Extended Properties=&quot;&quot;" command="SELECT * FROM [fh_fin_NVDA]"/>
  </connection>
  <connection id="14" xr16:uid="{00000000-0015-0000-FFFF-FFFF0D000000}" name="查询 - fh_fin_TSLA" description="与工作簿中“fh_fin_TSLA”查询的连接。" type="5" refreshedVersion="8" background="1" saveData="1">
    <dbPr connection="Provider=Microsoft.Mashup.OleDb.1;Data Source=$Workbook$;Location=fh_fin_TSLA;Extended Properties=&quot;&quot;" command="SELECT * FROM [fh_fin_TSLA]"/>
  </connection>
  <connection id="15" xr16:uid="{00000000-0015-0000-FFFF-FFFF0E000000}" name="查询 - 查询1" description="与工作簿中“查询1”查询的连接。" type="5" refreshedVersion="8" background="1" saveData="1">
    <dbPr connection="Provider=Microsoft.Mashup.OleDb.1;Data Source=$Workbook$;Location=查询1;Extended Properties=&quot;&quot;" command="SELECT * FROM [查询1]"/>
  </connection>
  <connection id="16" xr16:uid="{00000000-0015-0000-FFFF-FFFF0F000000}" name="查询 - 查询2" description="与工作簿中“查询2”查询的连接。" type="5" refreshedVersion="8" background="1" saveData="1">
    <dbPr connection="Provider=Microsoft.Mashup.OleDb.1;Data Source=$Workbook$;Location=查询2;Extended Properties=&quot;&quot;" command="SELECT * FROM [查询2]"/>
  </connection>
  <connection id="17" xr16:uid="{00000000-0015-0000-FFFF-FFFF10000000}" name="查询 - 查询3" description="与工作簿中“查询3”查询的连接。" type="5" refreshedVersion="8" background="1" saveData="1">
    <dbPr connection="Provider=Microsoft.Mashup.OleDb.1;Data Source=$Workbook$;Location=查询3;Extended Properties=&quot;&quot;" command="SELECT * FROM [查询3]"/>
  </connection>
  <connection id="18" xr16:uid="{00000000-0015-0000-FFFF-FFFF11000000}" name="查询 - 查询4" description="与工作簿中“查询4”查询的连接。" type="5" refreshedVersion="2" background="1" saveData="1">
    <dbPr connection="Provider=Microsoft.Mashup.OleDb.1;Data Source=$Workbook$;Location=查询4;Extended Properties=&quot;&quot;" command="SELECT * FROM [查询4]"/>
  </connection>
  <connection id="19" xr16:uid="{00000000-0015-0000-FFFF-FFFF12000000}" name="查询 - 查询5" description="与工作簿中“查询5”查询的连接。" type="5" refreshedVersion="2" background="1" saveData="1">
    <dbPr connection="Provider=Microsoft.Mashup.OleDb.1;Data Source=$Workbook$;Location=查询5;Extended Properties=&quot;&quot;" command="SELECT * FROM [查询5]"/>
  </connection>
  <connection id="20" xr16:uid="{00000000-0015-0000-FFFF-FFFF13000000}" name="查询 - 查询6" description="与工作簿中“查询6”查询的连接。" type="5" refreshedVersion="8" background="1" saveData="1">
    <dbPr connection="Provider=Microsoft.Mashup.OleDb.1;Data Source=$Workbook$;Location=查询6;Extended Properties=&quot;&quot;" command="SELECT * FROM [查询6]"/>
  </connection>
  <connection id="21" xr16:uid="{00000000-0015-0000-FFFF-FFFF14000000}" name="查询 - 查询7" description="与工作簿中“查询7”查询的连接。" type="5" refreshedVersion="8" background="1" saveData="1">
    <dbPr connection="Provider=Microsoft.Mashup.OleDb.1;Data Source=$Workbook$;Location=查询7;Extended Properties=&quot;&quot;" command="SELECT * FROM [查询7]"/>
  </connection>
</connections>
</file>

<file path=xl/sharedStrings.xml><?xml version="1.0" encoding="utf-8"?>
<sst xmlns="http://schemas.openxmlformats.org/spreadsheetml/2006/main" count="1410" uniqueCount="377">
  <si>
    <t>Market Dashboard（美股读盘框架）</t>
  </si>
  <si>
    <t>把宏观流动性 × 微观基本面 × 价格行动落地为“可每周更新”的评分体系。</t>
  </si>
  <si>
    <t>模块</t>
  </si>
  <si>
    <t>指标</t>
  </si>
  <si>
    <t>当前值(链接/输入)</t>
  </si>
  <si>
    <t>环比</t>
  </si>
  <si>
    <t>阈值/规则</t>
  </si>
  <si>
    <t>状态(公式)</t>
  </si>
  <si>
    <t>得分(公式)</t>
  </si>
  <si>
    <t>注释</t>
  </si>
  <si>
    <t>流动性</t>
  </si>
  <si>
    <t>宏观政策得分(合计)</t>
  </si>
  <si>
    <t>&gt;=2宽松; 0-1中性; &lt;0收紧</t>
  </si>
  <si>
    <t>点阵图/中性利率/分歧/不确定性</t>
  </si>
  <si>
    <t>实际利率得分(最近)</t>
  </si>
  <si>
    <t>10Y TIPS &lt;=0.75→+1</t>
  </si>
  <si>
    <t>实际利率下行利好成长</t>
  </si>
  <si>
    <t>TGA得分(最近)</t>
  </si>
  <si>
    <t>TGA&lt;8500→+1</t>
  </si>
  <si>
    <t>TGA下降=释放流动性</t>
  </si>
  <si>
    <t>基本面</t>
  </si>
  <si>
    <t>Mag7得分(加权)</t>
  </si>
  <si>
    <t>&gt;=0.3强; 0-0.29中; &lt;0弱</t>
  </si>
  <si>
    <t>超预期+利润率+FCF</t>
  </si>
  <si>
    <t>情绪</t>
  </si>
  <si>
    <t>利好不涨比例</t>
  </si>
  <si>
    <t>&lt;30%健康; 30-45%警惕; &gt;45%风险</t>
  </si>
  <si>
    <t>Good news, bad reaction</t>
  </si>
  <si>
    <t>利空不跌比例</t>
  </si>
  <si>
    <t>&gt;25%偏底部; &lt;10%偏顶部</t>
  </si>
  <si>
    <t>Bad news, good reaction</t>
  </si>
  <si>
    <t>广度</t>
  </si>
  <si>
    <t>板块联动均值</t>
  </si>
  <si>
    <t>&gt;0.60广度好; 0.4-0.6一般; &lt;0.4差</t>
  </si>
  <si>
    <t>龙头带动板块</t>
  </si>
  <si>
    <t>总分（-6 到 +6）</t>
  </si>
  <si>
    <t>流动性总分</t>
  </si>
  <si>
    <t>业绩/基本面得分</t>
  </si>
  <si>
    <t>市场状态（矩阵输出）</t>
  </si>
  <si>
    <t>使用说明（快速）</t>
  </si>
  <si>
    <t>1) 先在 Sheet1/2/3 填宏观与流动性；2) Sheet4 填Mag7财报核心数字；3) Sheet5 记录“利好不涨/利空不跌”；4) 回到本页看总分与市场状态。</t>
  </si>
  <si>
    <t>宏观流动性（美联储与点阵图）</t>
  </si>
  <si>
    <t>输入每次FOMC更新后的关键数字；用“评分”给宏观方向打分（+1/0/-1）。</t>
  </si>
  <si>
    <t>更新日期（本行）</t>
  </si>
  <si>
    <t>2026-02-10</t>
  </si>
  <si>
    <t>最新值(输入)</t>
  </si>
  <si>
    <t>上次值(输入)</t>
  </si>
  <si>
    <t>变化(公式)</t>
  </si>
  <si>
    <t>阈值/参考(输入)</t>
  </si>
  <si>
    <t>评分(公式)</t>
  </si>
  <si>
    <t>解读/备注</t>
  </si>
  <si>
    <t>数据来源(可选)</t>
  </si>
  <si>
    <t>2026年末点阵图中值(%)</t>
  </si>
  <si>
    <t>下降→偏鸽</t>
  </si>
  <si>
    <t>关注“降到哪”而非“降多少”</t>
  </si>
  <si>
    <t>长期中性利率(%)</t>
  </si>
  <si>
    <t>锚点</t>
  </si>
  <si>
    <t>中性利率若上修→估值中枢下移风险</t>
  </si>
  <si>
    <t>预计不降息官员数</t>
  </si>
  <si>
    <t>分歧</t>
  </si>
  <si>
    <t>人数上升→政策不确定性↑</t>
  </si>
  <si>
    <t>主席更替/政策不确定性(0-2)</t>
  </si>
  <si>
    <t>0低 1中 2高</t>
  </si>
  <si>
    <t>换届年可上调风险折价</t>
  </si>
  <si>
    <t>宏观政策得分（合计）</t>
  </si>
  <si>
    <t>实际利率与估值（Real Rate）</t>
  </si>
  <si>
    <t>输入10Y TIPS（实际利率）与指数表现，用阈值判断成长股估值环境。</t>
  </si>
  <si>
    <t>分母端压力： 当 TIPS $&gt; 1.5\%$ 时，折现率（Discount Rate）明显上升，意味着同样的利润，在今天值更少的钱。估值约束： 历史经验表明，当 10 年期 TIPS 每上升 50 个基点（0.5%），在盈利预期不变的情况下，标普 500 的理论市盈率（P/E）会面临 5%-10% 的修正压力。2026 年现状： 目前 TIPS 在 1.8% - 2.0% 附近震荡，属于**“紧缩区间”的边缘**。这意味着目前美股的上涨完全是由“业绩增长（E）”拉动的，而非“估值扩张（P/E）”。</t>
  </si>
  <si>
    <t>日期</t>
  </si>
  <si>
    <t>10Y TIPS(%) 输入</t>
  </si>
  <si>
    <t>1M前 输入</t>
  </si>
  <si>
    <t>阈值上限(%) 输入</t>
  </si>
  <si>
    <t>备注</t>
  </si>
  <si>
    <t>来源</t>
  </si>
  <si>
    <t>实际利率得分（最近一行）</t>
  </si>
  <si>
    <t>TGA 与 RRP（财政流动性）</t>
  </si>
  <si>
    <t>TGA下降=释放流动性；RRP见底时“弹性”通常更大。</t>
  </si>
  <si>
    <t>TGA(亿美元) 输入</t>
  </si>
  <si>
    <t>上期TGA 输入</t>
  </si>
  <si>
    <t>TGA变化(公式)</t>
  </si>
  <si>
    <t>目标余额(亿美元) 输入</t>
  </si>
  <si>
    <t>RRP监控（可选）</t>
  </si>
  <si>
    <t>RRP(亿美元) 输入</t>
  </si>
  <si>
    <t>上期RRP 输入</t>
  </si>
  <si>
    <t>RRP变化(公式)</t>
  </si>
  <si>
    <t>“见底”阈值(亿美元) 输入</t>
  </si>
  <si>
    <t>微观基本面（Mag 7）</t>
  </si>
  <si>
    <t>每季财报后更新：EPS增速、AI占比、CapEx强度、利润率、FCF。用红线规则识别风险。</t>
  </si>
  <si>
    <t>提示：成本增速 &gt; 营收增速通常触发“杀估值”；利润率( Margin )指引更关键。</t>
  </si>
  <si>
    <t>Ticker</t>
  </si>
  <si>
    <t>公司</t>
  </si>
  <si>
    <t>Surprise(公式)</t>
  </si>
  <si>
    <t>AI收入占比(%) 输入</t>
  </si>
  <si>
    <t>CapEx/Rev(%) 输入</t>
  </si>
  <si>
    <t>FCF YoY(%) 输入</t>
  </si>
  <si>
    <t>AAPL</t>
  </si>
  <si>
    <t>Apple</t>
  </si>
  <si>
    <t>MSFT</t>
  </si>
  <si>
    <t>Microsoft</t>
  </si>
  <si>
    <t>NVDA</t>
  </si>
  <si>
    <t>NVIDIA</t>
  </si>
  <si>
    <t>GOOGL</t>
  </si>
  <si>
    <t>Alphabet</t>
  </si>
  <si>
    <t>AMZN</t>
  </si>
  <si>
    <t>Amazon</t>
  </si>
  <si>
    <t>META</t>
  </si>
  <si>
    <t>Meta</t>
  </si>
  <si>
    <t>TSLA</t>
  </si>
  <si>
    <t>Tesla</t>
  </si>
  <si>
    <t>Mag7综合得分（按“超预期+利润率+FCF”粗略打分，可自行改权重）</t>
  </si>
  <si>
    <t>Surprise</t>
  </si>
  <si>
    <t>Margin QoQ</t>
  </si>
  <si>
    <t>FCF YoY</t>
  </si>
  <si>
    <t>单股得分(公式)</t>
  </si>
  <si>
    <t>权重(输入)</t>
  </si>
  <si>
    <t>加权得分(公式)</t>
  </si>
  <si>
    <t>权重合计</t>
  </si>
  <si>
    <t>Mag7得分（加权）</t>
  </si>
  <si>
    <t>价格行动（财报后反应）</t>
  </si>
  <si>
    <t>记录“利好不涨 / 利空不跌”频率与板块联动性，用作牛熊转换最敏感信号。</t>
  </si>
  <si>
    <t>EPS结果</t>
  </si>
  <si>
    <t>指引结果</t>
  </si>
  <si>
    <t>开盘反应</t>
  </si>
  <si>
    <t>收盘反应</t>
  </si>
  <si>
    <t>类型(公式)</t>
  </si>
  <si>
    <t>板块联动(0-1) 输入</t>
  </si>
  <si>
    <t>统计（最近80条记录）</t>
  </si>
  <si>
    <t>数据接口字段占位（FRED / 财政部）— 便于 PowerQuery 自动抓取</t>
  </si>
  <si>
    <t>更新时间：2026-02-10  |  说明：本页只提供“接口字段占位 + 建议查询参数”，便于你在 PowerQuery 里复制粘贴并映射到各Sheet。</t>
  </si>
  <si>
    <t>A) FRED（宏观利率/通胀预期/流动性代理）</t>
  </si>
  <si>
    <t>目标字段</t>
  </si>
  <si>
    <t>Series ID / 数据集</t>
  </si>
  <si>
    <t>Endpoint 模板</t>
  </si>
  <si>
    <t>关键参数占位</t>
  </si>
  <si>
    <t>PowerQuery 目标表名</t>
  </si>
  <si>
    <t>刷新频率建议</t>
  </si>
  <si>
    <t>日期字段</t>
  </si>
  <si>
    <t>数值字段</t>
  </si>
  <si>
    <t>联邦基金利率</t>
  </si>
  <si>
    <t>FRED</t>
  </si>
  <si>
    <t>DFF</t>
  </si>
  <si>
    <t>https://api.stlouisfed.org/fred/series/observations?series_id={SERIES_ID}&amp;api_key={FRED_API_KEY}&amp;file_type=json&amp;observation_start={START_DATE}&amp;observation_end={END_DATE}&amp;frequency={FREQ}</t>
  </si>
  <si>
    <t>{FRED_API_KEY}; {START_DATE}; {END_DATE}; FREQ=d</t>
  </si>
  <si>
    <t>pq_fedfunds_dff</t>
  </si>
  <si>
    <t>日/周</t>
  </si>
  <si>
    <t>date</t>
  </si>
  <si>
    <t>value</t>
  </si>
  <si>
    <t>用于验证点阵图与市场定价偏离</t>
  </si>
  <si>
    <t>10Y TIPS 实际利率</t>
  </si>
  <si>
    <t>DFII10</t>
  </si>
  <si>
    <t>pq_tips_dfii10</t>
  </si>
  <si>
    <t>用于Sheet2：实际利率阈值(0.50–0.75%)</t>
  </si>
  <si>
    <t>10Y 通胀预期（Breakeven）</t>
  </si>
  <si>
    <t>T10YIE</t>
  </si>
  <si>
    <t>pq_breakeven_t10yie</t>
  </si>
  <si>
    <t>名义-实际的隐含通胀预期</t>
  </si>
  <si>
    <t>财政部一般账户TGA（代理）</t>
  </si>
  <si>
    <t>WTREGEN</t>
  </si>
  <si>
    <t>{FRED_API_KEY}; {START_DATE}; {END_DATE}; FREQ=w</t>
  </si>
  <si>
    <t>pq_tga_wtregen</t>
  </si>
  <si>
    <t>周</t>
  </si>
  <si>
    <t>用于Sheet3：TGA监控（注意单位/口径）</t>
  </si>
  <si>
    <t>隔夜逆回购 ON RRP</t>
  </si>
  <si>
    <t>RRPONTSYD</t>
  </si>
  <si>
    <t>pq_rrp_rrpontsyd</t>
  </si>
  <si>
    <t>用于Sheet3：RRP见底信号</t>
  </si>
  <si>
    <t>B) 美国财政部 Fiscal Data API（财政部官网接口，用于TGA/现金收支等更细口径）</t>
  </si>
  <si>
    <t>数据集 / 路径占位</t>
  </si>
  <si>
    <t>TGA 余额（官方口径）</t>
  </si>
  <si>
    <t>Treasury Fiscal Data</t>
  </si>
  <si>
    <t>{PATH} 例如: account_balances/operating_cash_balance</t>
  </si>
  <si>
    <t>https://api.fiscaldata.treasury.gov/services/api/fiscal_service/v2/{PATH}?filter={FILTER}&amp;fields={FIELDS}&amp;sort={SORT}&amp;page[number]={PAGE_NO}&amp;page[size]={PAGE_SIZE}</t>
  </si>
  <si>
    <t>{PATH}; FILTER=record_date:gte:{START_DATE},record_date:lte:{END_DATE}; FIELDS=record_date,open_today_bal; SORT=record_date</t>
  </si>
  <si>
    <t>pq_tga_treasury_official</t>
  </si>
  <si>
    <t>record_date</t>
  </si>
  <si>
    <t>open_today_bal</t>
  </si>
  <si>
    <t>不同数据集字段名可能略有差异：在PQ里先预览再改FIELDS</t>
  </si>
  <si>
    <t>财政部现金收支（可选）</t>
  </si>
  <si>
    <t>{PATH} 例如: federal_accounting/operating_cash_balance 或 DTS相关数据集</t>
  </si>
  <si>
    <t>{PATH}; FILTER=...; FIELDS=...; SORT=...</t>
  </si>
  <si>
    <t>pq_treasury_cashflow_optional</t>
  </si>
  <si>
    <t>周/月</t>
  </si>
  <si>
    <t>用于解释TGA变动背后：发债/支出节奏</t>
  </si>
  <si>
    <t>C) 映射到本模板各Sheet的建议（PowerQuery加载后“表→单元格”引用）</t>
  </si>
  <si>
    <t>目标Sheet</t>
  </si>
  <si>
    <t>字段映射</t>
  </si>
  <si>
    <t>建议做法</t>
  </si>
  <si>
    <t>Sheet2_RealRate_Valuation</t>
  </si>
  <si>
    <t>10Y TIPS(%) ← pq_tips_dfii10[value]（按日期匹配/最新值）</t>
  </si>
  <si>
    <t>把“最新值”写入B列；日期写入A列；可用PQ直接生成两列表后粘贴为值或连接表格。</t>
  </si>
  <si>
    <t>Sheet3_TGA_RRP</t>
  </si>
  <si>
    <t>TGA(亿美元) ← pq_tga_wtregen 或 pq_tga_treasury_official（注意单位换算）</t>
  </si>
  <si>
    <t>建议在PQ里先把单位统一成“亿美元”，再加载到Sheet3。</t>
  </si>
  <si>
    <t>RRP(亿美元) ← pq_rrp_rrpontsyd[value]（注意单位）</t>
  </si>
  <si>
    <t>RRP常以美元计，建议PQ里/1e8转换为亿美元。</t>
  </si>
  <si>
    <t>Sheet1_Macro_Liquidity</t>
  </si>
  <si>
    <t>联邦基金利率 ← pq_fedfunds_dff[value]（辅助监控）</t>
  </si>
  <si>
    <t>点阵图仍需要手动更新，但可用联邦基金利率校验“实际路径”。</t>
  </si>
  <si>
    <t>D) PowerQuery快速步骤（复制到你团队文档也行）</t>
  </si>
  <si>
    <t>1) Excel → 数据(Data) → 获取数据(Get Data) → 从其他源(From Other Sources) → 空白查询(Blank Query)
2) 在高级编辑器(Advanced Editor)中粘贴 Web.Contents(...) 的URL（上面黄色单元格里的模板）
3) 解析 JSON：转为表 → 展开 data/observations → 选择 date/value 字段
4) 类型转换：date→日期，value→数字；必要时过滤 '.' 或空值
5) 单位统一：例如 RRP/TGA 换算为“亿美元”
6) 加载为表到工作簿：表名建议使用 pq_* 前缀
7) Dashboard 用链接引用这些表的最新值（LOOKUP/INDEX/MATCH）或直接在各Sheet把表“粘贴为值”
提示：FRED 需要 FRED_API_KEY；财政部 Fiscal Data API 一般不需要 Key。</t>
  </si>
  <si>
    <t>symbol</t>
  </si>
  <si>
    <t>period</t>
  </si>
  <si>
    <t>revenue</t>
  </si>
  <si>
    <t>capex</t>
  </si>
  <si>
    <t>free_cash_flow</t>
  </si>
  <si>
    <t>net_profit_margin</t>
  </si>
  <si>
    <t>rank</t>
  </si>
  <si>
    <t>actual_eps</t>
  </si>
  <si>
    <t>estimate_eps</t>
  </si>
  <si>
    <t>surprise_pct</t>
  </si>
  <si>
    <t>2025-12-31</t>
  </si>
  <si>
    <t>2025-09-30</t>
  </si>
  <si>
    <t>2025-06-30</t>
  </si>
  <si>
    <t>2025-03-31</t>
  </si>
  <si>
    <t>2025-09-30 00:00:00</t>
  </si>
  <si>
    <t>2025-06-30 00:00:00</t>
  </si>
  <si>
    <t>2025-03-31 00:00:00</t>
  </si>
  <si>
    <t>2024-09-30 00:00:00</t>
  </si>
  <si>
    <t>2024-06-30 00:00:00</t>
  </si>
  <si>
    <t>2024-03-31 00:00:00</t>
  </si>
  <si>
    <t>2023-09-30 00:00:00</t>
  </si>
  <si>
    <t>2023-06-30 00:00:00</t>
  </si>
  <si>
    <t>2023-03-31 00:00:00</t>
  </si>
  <si>
    <t>2022-09-30 00:00:00</t>
  </si>
  <si>
    <t>2022-06-30 00:00:00</t>
  </si>
  <si>
    <t>2022-03-31 00:00:00</t>
  </si>
  <si>
    <t>2021-09-30 00:00:00</t>
  </si>
  <si>
    <t>2021-06-30 00:00:00</t>
  </si>
  <si>
    <t>2021-03-31 00:00:00</t>
  </si>
  <si>
    <t>2020-09-30 00:00:00</t>
  </si>
  <si>
    <t>2020-06-30 00:00:00</t>
  </si>
  <si>
    <t>2020-03-31 00:00:00</t>
  </si>
  <si>
    <t>2019-09-30 00:00:00</t>
  </si>
  <si>
    <t>2019-06-30 00:00:00</t>
  </si>
  <si>
    <t>2019-03-31 00:00:00</t>
  </si>
  <si>
    <t>2018-09-30 00:00:00</t>
  </si>
  <si>
    <t>2018-06-30 00:00:00</t>
  </si>
  <si>
    <t>2018-03-31 00:00:00</t>
  </si>
  <si>
    <t>2017-09-30 00:00:00</t>
  </si>
  <si>
    <t>2017-06-30 00:00:00</t>
  </si>
  <si>
    <t>2017-03-31 00:00:00</t>
  </si>
  <si>
    <t>2016-09-30 00:00:00</t>
  </si>
  <si>
    <t>2016-06-30 00:00:00</t>
  </si>
  <si>
    <t>2016-03-31 00:00:00</t>
  </si>
  <si>
    <t>2015-09-30 00:00:00</t>
  </si>
  <si>
    <t>2015-06-30 00:00:00</t>
  </si>
  <si>
    <t>2015-03-31 00:00:00</t>
  </si>
  <si>
    <t>2014-09-30 00:00:00</t>
  </si>
  <si>
    <t>2014-06-30 00:00:00</t>
  </si>
  <si>
    <t>2014-03-31 00:00:00</t>
  </si>
  <si>
    <t>2013-09-30 00:00:00</t>
  </si>
  <si>
    <t>2013-06-30 00:00:00</t>
  </si>
  <si>
    <t>2013-03-31 00:00:00</t>
  </si>
  <si>
    <t>2012-09-30 00:00:00</t>
  </si>
  <si>
    <t>2012-06-30 00:00:00</t>
  </si>
  <si>
    <t>2012-03-31 00:00:00</t>
  </si>
  <si>
    <t>2011-09-30 00:00:00</t>
  </si>
  <si>
    <t>2011-06-30 00:00:00</t>
  </si>
  <si>
    <t>2011-03-31 00:00:00</t>
  </si>
  <si>
    <t>2010-09-30 00:00:00</t>
  </si>
  <si>
    <t>2010-06-30 00:00:00</t>
  </si>
  <si>
    <t>2010-03-31 00:00:00</t>
  </si>
  <si>
    <t>2025-12-31 00:00:00</t>
  </si>
  <si>
    <t>2024-12-31 00:00:00</t>
  </si>
  <si>
    <t>2022-12-31 00:00:00</t>
  </si>
  <si>
    <t>2021-12-31 00:00:00</t>
  </si>
  <si>
    <t>2020-12-31 00:00:00</t>
  </si>
  <si>
    <t>2019-12-31 00:00:00</t>
  </si>
  <si>
    <t>2018-12-31 00:00:00</t>
  </si>
  <si>
    <t>2017-12-31 00:00:00</t>
  </si>
  <si>
    <t>2016-12-31 00:00:00</t>
  </si>
  <si>
    <t>2015-12-31 00:00:00</t>
  </si>
  <si>
    <t>2014-12-31 00:00:00</t>
  </si>
  <si>
    <t>2013-12-31 00:00:00</t>
  </si>
  <si>
    <t>2012-12-31 00:00:00</t>
  </si>
  <si>
    <t>2010-12-31 00:00:00</t>
  </si>
  <si>
    <t>2025-10-26 00:00:00</t>
  </si>
  <si>
    <t>2025-07-27 00:00:00</t>
  </si>
  <si>
    <t>2025-04-27 00:00:00</t>
  </si>
  <si>
    <t>2024-10-27 00:00:00</t>
  </si>
  <si>
    <t>2024-07-28 00:00:00</t>
  </si>
  <si>
    <t>2024-04-28 00:00:00</t>
  </si>
  <si>
    <t>2023-10-29 00:00:00</t>
  </si>
  <si>
    <t>2023-07-30 00:00:00</t>
  </si>
  <si>
    <t>2022-10-30 00:00:00</t>
  </si>
  <si>
    <t>2022-07-31 00:00:00</t>
  </si>
  <si>
    <t>2022-05-01 00:00:00</t>
  </si>
  <si>
    <t>2021-10-31 00:00:00</t>
  </si>
  <si>
    <t>2021-08-01 00:00:00</t>
  </si>
  <si>
    <t>2021-05-02 00:00:00</t>
  </si>
  <si>
    <t>2020-10-25 00:00:00</t>
  </si>
  <si>
    <t>2020-07-26 00:00:00</t>
  </si>
  <si>
    <t>2020-04-26 00:00:00</t>
  </si>
  <si>
    <t>2019-10-27 00:00:00</t>
  </si>
  <si>
    <t>2019-07-28 00:00:00</t>
  </si>
  <si>
    <t>2019-04-28 00:00:00</t>
  </si>
  <si>
    <t>2018-10-28 00:00:00</t>
  </si>
  <si>
    <t>2018-07-29 00:00:00</t>
  </si>
  <si>
    <t>2018-04-29 00:00:00</t>
  </si>
  <si>
    <t>2017-10-29 00:00:00</t>
  </si>
  <si>
    <t>2017-07-30 00:00:00</t>
  </si>
  <si>
    <t>2017-04-30 00:00:00</t>
  </si>
  <si>
    <t>2016-10-30 00:00:00</t>
  </si>
  <si>
    <t>2016-07-31 00:00:00</t>
  </si>
  <si>
    <t>2016-05-01 00:00:00</t>
  </si>
  <si>
    <t>2015-10-25 00:00:00</t>
  </si>
  <si>
    <t>2015-07-26 00:00:00</t>
  </si>
  <si>
    <t>2015-04-26 00:00:00</t>
  </si>
  <si>
    <t>2014-10-26 00:00:00</t>
  </si>
  <si>
    <t>2014-07-27 00:00:00</t>
  </si>
  <si>
    <t>2014-04-27 00:00:00</t>
  </si>
  <si>
    <t>2013-10-27 00:00:00</t>
  </si>
  <si>
    <t>2013-07-28 00:00:00</t>
  </si>
  <si>
    <t>2013-04-28 00:00:00</t>
  </si>
  <si>
    <t>2012-10-28 00:00:00</t>
  </si>
  <si>
    <t>2012-07-29 00:00:00</t>
  </si>
  <si>
    <t>2012-04-29 00:00:00</t>
  </si>
  <si>
    <t>2011-10-30 00:00:00</t>
  </si>
  <si>
    <t>2011-07-31 00:00:00</t>
  </si>
  <si>
    <t>2011-05-01 00:00:00</t>
  </si>
  <si>
    <t>2010-10-31 00:00:00</t>
  </si>
  <si>
    <t>2010-08-01 00:00:00</t>
  </si>
  <si>
    <t>2010-05-02 00:00:00</t>
  </si>
  <si>
    <t>2025-12-27 00:00:00</t>
  </si>
  <si>
    <t>2025-06-28 00:00:00</t>
  </si>
  <si>
    <t>2025-03-29 00:00:00</t>
  </si>
  <si>
    <t>2024-12-28 00:00:00</t>
  </si>
  <si>
    <t>2024-06-29 00:00:00</t>
  </si>
  <si>
    <t>2024-03-30 00:00:00</t>
  </si>
  <si>
    <t>2023-12-30 00:00:00</t>
  </si>
  <si>
    <t>2023-07-01 00:00:00</t>
  </si>
  <si>
    <t>2023-04-01 00:00:00</t>
  </si>
  <si>
    <t>2022-06-25 00:00:00</t>
  </si>
  <si>
    <t>2022-03-26 00:00:00</t>
  </si>
  <si>
    <t>2021-12-25 00:00:00</t>
  </si>
  <si>
    <t>2021-06-26 00:00:00</t>
  </si>
  <si>
    <t>2021-03-27 00:00:00</t>
  </si>
  <si>
    <t>2020-12-26 00:00:00</t>
  </si>
  <si>
    <t>2020-06-27 00:00:00</t>
  </si>
  <si>
    <t>2020-03-28 00:00:00</t>
  </si>
  <si>
    <t>2019-12-28 00:00:00</t>
  </si>
  <si>
    <t>2019-06-29 00:00:00</t>
  </si>
  <si>
    <t>2019-03-30 00:00:00</t>
  </si>
  <si>
    <t>2018-12-29 00:00:00</t>
  </si>
  <si>
    <t>2017-12-30 00:00:00</t>
  </si>
  <si>
    <t>2017-07-01 00:00:00</t>
  </si>
  <si>
    <t>2017-04-01 00:00:00</t>
  </si>
  <si>
    <t>2016-06-25 00:00:00</t>
  </si>
  <si>
    <t>2016-03-26 00:00:00</t>
  </si>
  <si>
    <t>2015-12-26 00:00:00</t>
  </si>
  <si>
    <t>2015-06-27 00:00:00</t>
  </si>
  <si>
    <t>2015-03-28 00:00:00</t>
  </si>
  <si>
    <t>2014-12-27 00:00:00</t>
  </si>
  <si>
    <t>2014-06-28 00:00:00</t>
  </si>
  <si>
    <t>2014-03-29 00:00:00</t>
  </si>
  <si>
    <t>2013-12-28 00:00:00</t>
  </si>
  <si>
    <t>2013-06-29 00:00:00</t>
  </si>
  <si>
    <t>2013-03-30 00:00:00</t>
  </si>
  <si>
    <t>2012-12-29 00:00:00</t>
  </si>
  <si>
    <t>2011-12-31 00:00:00</t>
  </si>
  <si>
    <t>2011-06-25 00:00:00</t>
  </si>
  <si>
    <t>2011-03-26 00:00:00</t>
  </si>
  <si>
    <t>2010-12-25 00:00:00</t>
  </si>
  <si>
    <t>2010-06-26 00:00:00</t>
  </si>
  <si>
    <t>2010-03-27 00:00:00</t>
  </si>
  <si>
    <t>API Keys / 参数配置</t>
  </si>
  <si>
    <t>Finnhub_API_Key</t>
  </si>
  <si>
    <t>d65ul8pr01qiish14p3gd65ul8pr01qiish14p40</t>
  </si>
  <si>
    <t>Tickers (Mag7)</t>
  </si>
  <si>
    <t>EPS 输入</t>
    <phoneticPr fontId="9" type="noConversion"/>
  </si>
  <si>
    <t>预期EPS 输入</t>
    <phoneticPr fontId="9" type="noConversion"/>
  </si>
  <si>
    <t>Capex/Rev</t>
    <phoneticPr fontId="9" type="noConversion"/>
  </si>
  <si>
    <t>Free_cash_flow_YOY</t>
    <phoneticPr fontId="9" type="noConversion"/>
  </si>
  <si>
    <t>net_profit_margin_yoy</t>
    <phoneticPr fontId="9" type="noConversion"/>
  </si>
  <si>
    <t>Margin YoY(pp) 输入</t>
    <phoneticPr fontId="9" type="noConversion"/>
  </si>
  <si>
    <t>列1</t>
    <phoneticPr fontId="9" type="noConversion"/>
  </si>
  <si>
    <t>https://api.stlouisfed.org/fred/series/observations, API is 216cc2c0220dedeb572e8649f7a0ff0a, 通过美联储的数据来用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</si>
</sst>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b/>
      <sz val="16"/>
      <color rgb="FFFFFFFF"/>
      <name val="宋体"/>
      <family val="3"/>
      <charset val="134"/>
    </font>
    <font>
      <b/>
      <sz val="11"/>
      <color rgb="FF1F4E79"/>
      <name val="宋体"/>
      <family val="3"/>
      <charset val="134"/>
    </font>
    <font>
      <sz val="11"/>
      <color rgb="FF0000FF"/>
      <name val="宋体"/>
      <family val="3"/>
      <charset val="134"/>
    </font>
    <font>
      <b/>
      <sz val="11"/>
      <color rgb="FF9C0006"/>
      <name val="宋体"/>
      <family val="3"/>
      <charset val="134"/>
    </font>
    <font>
      <sz val="11"/>
      <color rgb="FF008000"/>
      <name val="宋体"/>
      <family val="3"/>
      <charset val="134"/>
    </font>
    <font>
      <b/>
      <sz val="14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</borders>
  <cellStyleXfs count="3">
    <xf numFmtId="0" fontId="0" fillId="0" borderId="0"/>
    <xf numFmtId="9" fontId="11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/>
  </cellStyleXfs>
  <cellXfs count="51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0" fontId="0" fillId="0" borderId="1" xfId="0" applyNumberFormat="1" applyBorder="1"/>
    <xf numFmtId="2" fontId="0" fillId="0" borderId="1" xfId="0" applyNumberForma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14" fontId="4" fillId="4" borderId="1" xfId="0" applyNumberFormat="1" applyFont="1" applyFill="1" applyBorder="1"/>
    <xf numFmtId="0" fontId="4" fillId="4" borderId="1" xfId="0" applyFont="1" applyFill="1" applyBorder="1"/>
    <xf numFmtId="0" fontId="0" fillId="0" borderId="1" xfId="0" applyBorder="1"/>
    <xf numFmtId="176" fontId="0" fillId="0" borderId="0" xfId="0" applyNumberFormat="1" applyAlignment="1">
      <alignment horizontal="right"/>
    </xf>
    <xf numFmtId="0" fontId="1" fillId="0" borderId="0" xfId="0" applyFont="1" applyAlignment="1">
      <alignment horizontal="right" vertical="center" wrapText="1"/>
    </xf>
    <xf numFmtId="0" fontId="6" fillId="0" borderId="1" xfId="0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14" fontId="0" fillId="5" borderId="0" xfId="0" applyNumberFormat="1" applyFill="1"/>
    <xf numFmtId="0" fontId="12" fillId="0" borderId="0" xfId="0" applyFont="1"/>
    <xf numFmtId="9" fontId="4" fillId="4" borderId="1" xfId="1" applyFont="1" applyFill="1" applyBorder="1" applyAlignment="1">
      <alignment horizontal="center" vertical="center" wrapText="1"/>
    </xf>
    <xf numFmtId="10" fontId="4" fillId="4" borderId="1" xfId="1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0" fillId="0" borderId="0" xfId="0"/>
    <xf numFmtId="0" fontId="3" fillId="0" borderId="0" xfId="0" applyFont="1" applyAlignment="1">
      <alignment horizontal="left" vertical="center" wrapText="1"/>
    </xf>
    <xf numFmtId="0" fontId="3" fillId="0" borderId="0" xfId="0" applyFont="1"/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/>
    <xf numFmtId="0" fontId="2" fillId="2" borderId="0" xfId="0" applyFont="1" applyFill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3" fillId="0" borderId="0" xfId="2"/>
  </cellXfs>
  <cellStyles count="3">
    <cellStyle name="百分比" xfId="1" builtinId="5"/>
    <cellStyle name="常规" xfId="0" builtinId="0"/>
    <cellStyle name="超链接" xfId="2" builtinId="8"/>
  </cellStyles>
  <dxfs count="37">
    <dxf>
      <numFmt numFmtId="19" formatCode="yyyy/m/d"/>
    </dxf>
    <dxf>
      <numFmt numFmtId="19" formatCode="yyyy/m/d"/>
    </dxf>
    <dxf>
      <numFmt numFmtId="19" formatCode="yyyy/m/d"/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numFmt numFmtId="19" formatCode="yyyy/m/d"/>
    </dxf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connections" Target="connections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10Y TIPS（</a:t>
            </a:r>
            <a:r>
              <a:rPr lang="zh-CN" altLang="en-US"/>
              <a:t>实际利率）走势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'2_RealRate_Valuation'!$B$5</c:f>
              <c:strCache>
                <c:ptCount val="1"/>
                <c:pt idx="0">
                  <c:v>10Y TIPS(%) 输入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Pt>
            <c:idx val="0"/>
            <c:bubble3D val="0"/>
            <c:spPr>
              <a:ln w="28575" cap="rnd" cmpd="sng" algn="ctr">
                <a:solidFill>
                  <a:schemeClr val="accent1">
                    <a:shade val="5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1-06E9-4E6B-BF2B-6D94564E2D19}"/>
              </c:ext>
            </c:extLst>
          </c:dPt>
          <c:dPt>
            <c:idx val="1"/>
            <c:bubble3D val="0"/>
            <c:spPr>
              <a:ln w="28575" cap="rnd" cmpd="sng" algn="ctr">
                <a:solidFill>
                  <a:schemeClr val="accent2">
                    <a:shade val="5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3-06E9-4E6B-BF2B-6D94564E2D19}"/>
              </c:ext>
            </c:extLst>
          </c:dPt>
          <c:dPt>
            <c:idx val="2"/>
            <c:bubble3D val="0"/>
            <c:spPr>
              <a:ln w="28575" cap="rnd" cmpd="sng" algn="ctr">
                <a:solidFill>
                  <a:schemeClr val="accent3">
                    <a:shade val="5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5-06E9-4E6B-BF2B-6D94564E2D19}"/>
              </c:ext>
            </c:extLst>
          </c:dPt>
          <c:dPt>
            <c:idx val="3"/>
            <c:bubble3D val="0"/>
            <c:spPr>
              <a:ln w="28575" cap="rnd" cmpd="sng" algn="ctr">
                <a:solidFill>
                  <a:schemeClr val="accent4">
                    <a:shade val="5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7-06E9-4E6B-BF2B-6D94564E2D19}"/>
              </c:ext>
            </c:extLst>
          </c:dPt>
          <c:dPt>
            <c:idx val="4"/>
            <c:bubble3D val="0"/>
            <c:spPr>
              <a:ln w="28575" cap="rnd" cmpd="sng" algn="ctr">
                <a:solidFill>
                  <a:schemeClr val="accent5">
                    <a:shade val="5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9-06E9-4E6B-BF2B-6D94564E2D19}"/>
              </c:ext>
            </c:extLst>
          </c:dPt>
          <c:dPt>
            <c:idx val="5"/>
            <c:bubble3D val="0"/>
            <c:spPr>
              <a:ln w="28575" cap="rnd" cmpd="sng" algn="ctr">
                <a:solidFill>
                  <a:schemeClr val="accent6">
                    <a:shade val="5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B-06E9-4E6B-BF2B-6D94564E2D19}"/>
              </c:ext>
            </c:extLst>
          </c:dPt>
          <c:dPt>
            <c:idx val="6"/>
            <c:bubble3D val="0"/>
            <c:spPr>
              <a:ln w="28575" cap="rnd" cmpd="sng" algn="ctr">
                <a:solidFill>
                  <a:schemeClr val="accent1">
                    <a:shade val="7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D-06E9-4E6B-BF2B-6D94564E2D19}"/>
              </c:ext>
            </c:extLst>
          </c:dPt>
          <c:dPt>
            <c:idx val="7"/>
            <c:bubble3D val="0"/>
            <c:spPr>
              <a:ln w="28575" cap="rnd" cmpd="sng" algn="ctr">
                <a:solidFill>
                  <a:schemeClr val="accent2">
                    <a:shade val="7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F-06E9-4E6B-BF2B-6D94564E2D19}"/>
              </c:ext>
            </c:extLst>
          </c:dPt>
          <c:dPt>
            <c:idx val="8"/>
            <c:bubble3D val="0"/>
            <c:spPr>
              <a:ln w="28575" cap="rnd" cmpd="sng" algn="ctr">
                <a:solidFill>
                  <a:schemeClr val="accent3">
                    <a:shade val="7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1-06E9-4E6B-BF2B-6D94564E2D19}"/>
              </c:ext>
            </c:extLst>
          </c:dPt>
          <c:dPt>
            <c:idx val="9"/>
            <c:bubble3D val="0"/>
            <c:spPr>
              <a:ln w="28575" cap="rnd" cmpd="sng" algn="ctr">
                <a:solidFill>
                  <a:schemeClr val="accent4">
                    <a:shade val="7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3-06E9-4E6B-BF2B-6D94564E2D19}"/>
              </c:ext>
            </c:extLst>
          </c:dPt>
          <c:dPt>
            <c:idx val="10"/>
            <c:bubble3D val="0"/>
            <c:spPr>
              <a:ln w="28575" cap="rnd" cmpd="sng" algn="ctr">
                <a:solidFill>
                  <a:schemeClr val="accent5">
                    <a:shade val="7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5-06E9-4E6B-BF2B-6D94564E2D19}"/>
              </c:ext>
            </c:extLst>
          </c:dPt>
          <c:dPt>
            <c:idx val="11"/>
            <c:bubble3D val="0"/>
            <c:spPr>
              <a:ln w="28575" cap="rnd" cmpd="sng" algn="ctr">
                <a:solidFill>
                  <a:schemeClr val="accent6">
                    <a:shade val="7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7-06E9-4E6B-BF2B-6D94564E2D19}"/>
              </c:ext>
            </c:extLst>
          </c:dPt>
          <c:dPt>
            <c:idx val="12"/>
            <c:bubble3D val="0"/>
            <c:spPr>
              <a:ln w="28575" cap="rnd" cmpd="sng" algn="ctr">
                <a:solidFill>
                  <a:schemeClr val="accent1">
                    <a:shade val="9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9-06E9-4E6B-BF2B-6D94564E2D19}"/>
              </c:ext>
            </c:extLst>
          </c:dPt>
          <c:dPt>
            <c:idx val="13"/>
            <c:bubble3D val="0"/>
            <c:spPr>
              <a:ln w="28575" cap="rnd" cmpd="sng" algn="ctr">
                <a:solidFill>
                  <a:schemeClr val="accent2">
                    <a:shade val="9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B-06E9-4E6B-BF2B-6D94564E2D19}"/>
              </c:ext>
            </c:extLst>
          </c:dPt>
          <c:dPt>
            <c:idx val="14"/>
            <c:bubble3D val="0"/>
            <c:spPr>
              <a:ln w="28575" cap="rnd" cmpd="sng" algn="ctr">
                <a:solidFill>
                  <a:schemeClr val="accent3">
                    <a:shade val="9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D-06E9-4E6B-BF2B-6D94564E2D19}"/>
              </c:ext>
            </c:extLst>
          </c:dPt>
          <c:dPt>
            <c:idx val="15"/>
            <c:bubble3D val="0"/>
            <c:spPr>
              <a:ln w="28575" cap="rnd" cmpd="sng" algn="ctr">
                <a:solidFill>
                  <a:schemeClr val="accent4">
                    <a:shade val="9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F-06E9-4E6B-BF2B-6D94564E2D19}"/>
              </c:ext>
            </c:extLst>
          </c:dPt>
          <c:dPt>
            <c:idx val="16"/>
            <c:bubble3D val="0"/>
            <c:spPr>
              <a:ln w="28575" cap="rnd" cmpd="sng" algn="ctr">
                <a:solidFill>
                  <a:schemeClr val="accent5">
                    <a:shade val="9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21-06E9-4E6B-BF2B-6D94564E2D19}"/>
              </c:ext>
            </c:extLst>
          </c:dPt>
          <c:dPt>
            <c:idx val="17"/>
            <c:bubble3D val="0"/>
            <c:spPr>
              <a:ln w="28575" cap="rnd" cmpd="sng" algn="ctr">
                <a:solidFill>
                  <a:schemeClr val="accent6">
                    <a:shade val="9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23-06E9-4E6B-BF2B-6D94564E2D19}"/>
              </c:ext>
            </c:extLst>
          </c:dPt>
          <c:dPt>
            <c:idx val="18"/>
            <c:bubble3D val="0"/>
            <c:spPr>
              <a:ln w="28575" cap="rnd" cmpd="sng" algn="ctr">
                <a:solidFill>
                  <a:schemeClr val="accent1">
                    <a:tint val="9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25-06E9-4E6B-BF2B-6D94564E2D19}"/>
              </c:ext>
            </c:extLst>
          </c:dPt>
          <c:dPt>
            <c:idx val="19"/>
            <c:bubble3D val="0"/>
            <c:spPr>
              <a:ln w="28575" cap="rnd" cmpd="sng" algn="ctr">
                <a:solidFill>
                  <a:schemeClr val="accent2">
                    <a:tint val="9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27-06E9-4E6B-BF2B-6D94564E2D19}"/>
              </c:ext>
            </c:extLst>
          </c:dPt>
          <c:dPt>
            <c:idx val="20"/>
            <c:bubble3D val="0"/>
            <c:spPr>
              <a:ln w="28575" cap="rnd" cmpd="sng" algn="ctr">
                <a:solidFill>
                  <a:schemeClr val="accent3">
                    <a:tint val="9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29-06E9-4E6B-BF2B-6D94564E2D19}"/>
              </c:ext>
            </c:extLst>
          </c:dPt>
          <c:dPt>
            <c:idx val="21"/>
            <c:bubble3D val="0"/>
            <c:spPr>
              <a:ln w="28575" cap="rnd" cmpd="sng" algn="ctr">
                <a:solidFill>
                  <a:schemeClr val="accent4">
                    <a:tint val="9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2B-06E9-4E6B-BF2B-6D94564E2D19}"/>
              </c:ext>
            </c:extLst>
          </c:dPt>
          <c:dPt>
            <c:idx val="22"/>
            <c:bubble3D val="0"/>
            <c:spPr>
              <a:ln w="28575" cap="rnd" cmpd="sng" algn="ctr">
                <a:solidFill>
                  <a:schemeClr val="accent5">
                    <a:tint val="9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2D-06E9-4E6B-BF2B-6D94564E2D19}"/>
              </c:ext>
            </c:extLst>
          </c:dPt>
          <c:dPt>
            <c:idx val="23"/>
            <c:bubble3D val="0"/>
            <c:spPr>
              <a:ln w="28575" cap="rnd" cmpd="sng" algn="ctr">
                <a:solidFill>
                  <a:schemeClr val="accent6">
                    <a:tint val="9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2F-06E9-4E6B-BF2B-6D94564E2D19}"/>
              </c:ext>
            </c:extLst>
          </c:dPt>
          <c:dPt>
            <c:idx val="24"/>
            <c:bubble3D val="0"/>
            <c:spPr>
              <a:ln w="28575" cap="rnd" cmpd="sng" algn="ctr">
                <a:solidFill>
                  <a:schemeClr val="accent1">
                    <a:tint val="7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31-06E9-4E6B-BF2B-6D94564E2D19}"/>
              </c:ext>
            </c:extLst>
          </c:dPt>
          <c:dPt>
            <c:idx val="25"/>
            <c:bubble3D val="0"/>
            <c:spPr>
              <a:ln w="28575" cap="rnd" cmpd="sng" algn="ctr">
                <a:solidFill>
                  <a:schemeClr val="accent2">
                    <a:tint val="7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33-06E9-4E6B-BF2B-6D94564E2D19}"/>
              </c:ext>
            </c:extLst>
          </c:dPt>
          <c:dPt>
            <c:idx val="26"/>
            <c:bubble3D val="0"/>
            <c:spPr>
              <a:ln w="28575" cap="rnd" cmpd="sng" algn="ctr">
                <a:solidFill>
                  <a:schemeClr val="accent3">
                    <a:tint val="7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35-06E9-4E6B-BF2B-6D94564E2D19}"/>
              </c:ext>
            </c:extLst>
          </c:dPt>
          <c:dPt>
            <c:idx val="27"/>
            <c:bubble3D val="0"/>
            <c:spPr>
              <a:ln w="28575" cap="rnd" cmpd="sng" algn="ctr">
                <a:solidFill>
                  <a:schemeClr val="accent4">
                    <a:tint val="7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37-06E9-4E6B-BF2B-6D94564E2D19}"/>
              </c:ext>
            </c:extLst>
          </c:dPt>
          <c:dPt>
            <c:idx val="28"/>
            <c:bubble3D val="0"/>
            <c:spPr>
              <a:ln w="28575" cap="rnd" cmpd="sng" algn="ctr">
                <a:solidFill>
                  <a:schemeClr val="accent5">
                    <a:tint val="7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39-06E9-4E6B-BF2B-6D94564E2D19}"/>
              </c:ext>
            </c:extLst>
          </c:dPt>
          <c:dPt>
            <c:idx val="29"/>
            <c:bubble3D val="0"/>
            <c:spPr>
              <a:ln w="28575" cap="rnd" cmpd="sng" algn="ctr">
                <a:solidFill>
                  <a:schemeClr val="accent6">
                    <a:tint val="7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3B-06E9-4E6B-BF2B-6D94564E2D19}"/>
              </c:ext>
            </c:extLst>
          </c:dPt>
          <c:cat>
            <c:numRef>
              <c:f>'2_RealRate_Valuation'!$A$6:$A$35</c:f>
              <c:numCache>
                <c:formatCode>m/d/yyyy</c:formatCode>
                <c:ptCount val="30"/>
                <c:pt idx="0">
                  <c:v>46031</c:v>
                </c:pt>
                <c:pt idx="1">
                  <c:v>46034</c:v>
                </c:pt>
                <c:pt idx="2">
                  <c:v>46035</c:v>
                </c:pt>
                <c:pt idx="3">
                  <c:v>46036</c:v>
                </c:pt>
                <c:pt idx="4">
                  <c:v>46037</c:v>
                </c:pt>
                <c:pt idx="5">
                  <c:v>46038</c:v>
                </c:pt>
                <c:pt idx="6">
                  <c:v>46042</c:v>
                </c:pt>
                <c:pt idx="7">
                  <c:v>46043</c:v>
                </c:pt>
                <c:pt idx="8">
                  <c:v>46044</c:v>
                </c:pt>
                <c:pt idx="9">
                  <c:v>46045</c:v>
                </c:pt>
                <c:pt idx="10">
                  <c:v>46048</c:v>
                </c:pt>
                <c:pt idx="11">
                  <c:v>46049</c:v>
                </c:pt>
                <c:pt idx="12">
                  <c:v>46050</c:v>
                </c:pt>
                <c:pt idx="13">
                  <c:v>46051</c:v>
                </c:pt>
                <c:pt idx="14">
                  <c:v>46052</c:v>
                </c:pt>
                <c:pt idx="15">
                  <c:v>46055</c:v>
                </c:pt>
                <c:pt idx="16">
                  <c:v>46056</c:v>
                </c:pt>
                <c:pt idx="17">
                  <c:v>46057</c:v>
                </c:pt>
                <c:pt idx="18">
                  <c:v>46058</c:v>
                </c:pt>
                <c:pt idx="19">
                  <c:v>46059</c:v>
                </c:pt>
                <c:pt idx="20">
                  <c:v>46062</c:v>
                </c:pt>
                <c:pt idx="21">
                  <c:v>46063</c:v>
                </c:pt>
                <c:pt idx="22">
                  <c:v>46064</c:v>
                </c:pt>
                <c:pt idx="23">
                  <c:v>46065</c:v>
                </c:pt>
                <c:pt idx="24">
                  <c:v>46066</c:v>
                </c:pt>
                <c:pt idx="25">
                  <c:v>46070</c:v>
                </c:pt>
                <c:pt idx="26">
                  <c:v>46071</c:v>
                </c:pt>
                <c:pt idx="27">
                  <c:v>46072</c:v>
                </c:pt>
                <c:pt idx="28">
                  <c:v>46073</c:v>
                </c:pt>
                <c:pt idx="29">
                  <c:v>46076</c:v>
                </c:pt>
              </c:numCache>
            </c:numRef>
          </c:cat>
          <c:val>
            <c:numRef>
              <c:f>'2_RealRate_Valuation'!$B$6:$B$35</c:f>
              <c:numCache>
                <c:formatCode>General</c:formatCode>
                <c:ptCount val="30"/>
                <c:pt idx="0">
                  <c:v>1.9</c:v>
                </c:pt>
                <c:pt idx="1">
                  <c:v>1.9</c:v>
                </c:pt>
                <c:pt idx="2">
                  <c:v>1.88</c:v>
                </c:pt>
                <c:pt idx="3">
                  <c:v>1.86</c:v>
                </c:pt>
                <c:pt idx="4">
                  <c:v>1.88</c:v>
                </c:pt>
                <c:pt idx="5">
                  <c:v>1.91</c:v>
                </c:pt>
                <c:pt idx="6">
                  <c:v>1.97</c:v>
                </c:pt>
                <c:pt idx="7">
                  <c:v>1.92</c:v>
                </c:pt>
                <c:pt idx="8">
                  <c:v>1.95</c:v>
                </c:pt>
                <c:pt idx="9">
                  <c:v>1.92</c:v>
                </c:pt>
                <c:pt idx="10">
                  <c:v>1.9</c:v>
                </c:pt>
                <c:pt idx="11">
                  <c:v>1.9</c:v>
                </c:pt>
                <c:pt idx="12">
                  <c:v>1.9</c:v>
                </c:pt>
                <c:pt idx="13">
                  <c:v>1.89</c:v>
                </c:pt>
                <c:pt idx="14">
                  <c:v>1.9</c:v>
                </c:pt>
                <c:pt idx="15">
                  <c:v>1.94</c:v>
                </c:pt>
                <c:pt idx="16">
                  <c:v>1.92</c:v>
                </c:pt>
                <c:pt idx="17">
                  <c:v>1.94</c:v>
                </c:pt>
                <c:pt idx="18">
                  <c:v>1.89</c:v>
                </c:pt>
                <c:pt idx="19">
                  <c:v>1.88</c:v>
                </c:pt>
                <c:pt idx="20">
                  <c:v>1.87</c:v>
                </c:pt>
                <c:pt idx="21">
                  <c:v>1.84</c:v>
                </c:pt>
                <c:pt idx="22">
                  <c:v>1.86</c:v>
                </c:pt>
                <c:pt idx="23">
                  <c:v>1.8</c:v>
                </c:pt>
                <c:pt idx="24">
                  <c:v>1.77</c:v>
                </c:pt>
                <c:pt idx="25">
                  <c:v>1.79</c:v>
                </c:pt>
                <c:pt idx="26">
                  <c:v>1.8</c:v>
                </c:pt>
                <c:pt idx="27">
                  <c:v>1.79</c:v>
                </c:pt>
                <c:pt idx="28">
                  <c:v>1.8</c:v>
                </c:pt>
                <c:pt idx="29">
                  <c:v>1.77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C-06E9-4E6B-BF2B-6D94564E2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m/d/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实际利率</a:t>
                </a:r>
                <a:r>
                  <a:rPr lang="en-US" altLang="zh-CN"/>
                  <a:t>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 rtl="0"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  <c:extLst>
      <c:ext uri="{0b15fc19-7d7d-44ad-8c2d-2c3a37ce22c3}">
        <chartProps xmlns="https://web.wps.cn/et/2018/main" chartId="{0d0e2612-60a3-418e-96c9-96ee09b47221}"/>
      </c:ext>
    </c:extLst>
  </c:chart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TGA</a:t>
            </a:r>
            <a:r>
              <a:rPr lang="zh-CN" altLang="en-US"/>
              <a:t>余额走势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'3_TGA_RRP'!$B$5</c:f>
              <c:strCache>
                <c:ptCount val="1"/>
                <c:pt idx="0">
                  <c:v>TGA(亿美元) 输入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Pt>
            <c:idx val="0"/>
            <c:bubble3D val="0"/>
            <c:spPr>
              <a:ln w="28575" cap="rnd" cmpd="sng" algn="ctr">
                <a:solidFill>
                  <a:schemeClr val="accent1">
                    <a:shade val="5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1-5628-4D65-8F94-3DF89422D2A7}"/>
              </c:ext>
            </c:extLst>
          </c:dPt>
          <c:dPt>
            <c:idx val="1"/>
            <c:bubble3D val="0"/>
            <c:spPr>
              <a:ln w="28575" cap="rnd" cmpd="sng" algn="ctr">
                <a:solidFill>
                  <a:schemeClr val="accent2">
                    <a:shade val="5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3-5628-4D65-8F94-3DF89422D2A7}"/>
              </c:ext>
            </c:extLst>
          </c:dPt>
          <c:dPt>
            <c:idx val="2"/>
            <c:bubble3D val="0"/>
            <c:spPr>
              <a:ln w="28575" cap="rnd" cmpd="sng" algn="ctr">
                <a:solidFill>
                  <a:schemeClr val="accent3">
                    <a:shade val="5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5-5628-4D65-8F94-3DF89422D2A7}"/>
              </c:ext>
            </c:extLst>
          </c:dPt>
          <c:dPt>
            <c:idx val="3"/>
            <c:bubble3D val="0"/>
            <c:spPr>
              <a:ln w="28575" cap="rnd" cmpd="sng" algn="ctr">
                <a:solidFill>
                  <a:schemeClr val="accent4">
                    <a:shade val="5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7-5628-4D65-8F94-3DF89422D2A7}"/>
              </c:ext>
            </c:extLst>
          </c:dPt>
          <c:dPt>
            <c:idx val="4"/>
            <c:bubble3D val="0"/>
            <c:spPr>
              <a:ln w="28575" cap="rnd" cmpd="sng" algn="ctr">
                <a:solidFill>
                  <a:schemeClr val="accent5">
                    <a:shade val="5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9-5628-4D65-8F94-3DF89422D2A7}"/>
              </c:ext>
            </c:extLst>
          </c:dPt>
          <c:dPt>
            <c:idx val="5"/>
            <c:bubble3D val="0"/>
            <c:spPr>
              <a:ln w="28575" cap="rnd" cmpd="sng" algn="ctr">
                <a:solidFill>
                  <a:schemeClr val="accent6">
                    <a:shade val="5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B-5628-4D65-8F94-3DF89422D2A7}"/>
              </c:ext>
            </c:extLst>
          </c:dPt>
          <c:dPt>
            <c:idx val="6"/>
            <c:bubble3D val="0"/>
            <c:spPr>
              <a:ln w="28575" cap="rnd" cmpd="sng" algn="ctr">
                <a:solidFill>
                  <a:schemeClr val="accent1">
                    <a:shade val="7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D-5628-4D65-8F94-3DF89422D2A7}"/>
              </c:ext>
            </c:extLst>
          </c:dPt>
          <c:dPt>
            <c:idx val="7"/>
            <c:bubble3D val="0"/>
            <c:spPr>
              <a:ln w="28575" cap="rnd" cmpd="sng" algn="ctr">
                <a:solidFill>
                  <a:schemeClr val="accent2">
                    <a:shade val="7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F-5628-4D65-8F94-3DF89422D2A7}"/>
              </c:ext>
            </c:extLst>
          </c:dPt>
          <c:dPt>
            <c:idx val="8"/>
            <c:bubble3D val="0"/>
            <c:spPr>
              <a:ln w="28575" cap="rnd" cmpd="sng" algn="ctr">
                <a:solidFill>
                  <a:schemeClr val="accent3">
                    <a:shade val="7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1-5628-4D65-8F94-3DF89422D2A7}"/>
              </c:ext>
            </c:extLst>
          </c:dPt>
          <c:dPt>
            <c:idx val="9"/>
            <c:bubble3D val="0"/>
            <c:spPr>
              <a:ln w="28575" cap="rnd" cmpd="sng" algn="ctr">
                <a:solidFill>
                  <a:schemeClr val="accent4">
                    <a:shade val="7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3-5628-4D65-8F94-3DF89422D2A7}"/>
              </c:ext>
            </c:extLst>
          </c:dPt>
          <c:dPt>
            <c:idx val="10"/>
            <c:bubble3D val="0"/>
            <c:spPr>
              <a:ln w="28575" cap="rnd" cmpd="sng" algn="ctr">
                <a:solidFill>
                  <a:schemeClr val="accent5">
                    <a:shade val="7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5-5628-4D65-8F94-3DF89422D2A7}"/>
              </c:ext>
            </c:extLst>
          </c:dPt>
          <c:dPt>
            <c:idx val="11"/>
            <c:bubble3D val="0"/>
            <c:spPr>
              <a:ln w="28575" cap="rnd" cmpd="sng" algn="ctr">
                <a:solidFill>
                  <a:schemeClr val="accent6">
                    <a:shade val="7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7-5628-4D65-8F94-3DF89422D2A7}"/>
              </c:ext>
            </c:extLst>
          </c:dPt>
          <c:dPt>
            <c:idx val="12"/>
            <c:bubble3D val="0"/>
            <c:spPr>
              <a:ln w="28575" cap="rnd" cmpd="sng" algn="ctr">
                <a:solidFill>
                  <a:schemeClr val="accent1">
                    <a:shade val="9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9-5628-4D65-8F94-3DF89422D2A7}"/>
              </c:ext>
            </c:extLst>
          </c:dPt>
          <c:dPt>
            <c:idx val="13"/>
            <c:bubble3D val="0"/>
            <c:spPr>
              <a:ln w="28575" cap="rnd" cmpd="sng" algn="ctr">
                <a:solidFill>
                  <a:schemeClr val="accent2">
                    <a:shade val="9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B-5628-4D65-8F94-3DF89422D2A7}"/>
              </c:ext>
            </c:extLst>
          </c:dPt>
          <c:dPt>
            <c:idx val="14"/>
            <c:bubble3D val="0"/>
            <c:spPr>
              <a:ln w="28575" cap="rnd" cmpd="sng" algn="ctr">
                <a:solidFill>
                  <a:schemeClr val="accent3">
                    <a:shade val="9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D-5628-4D65-8F94-3DF89422D2A7}"/>
              </c:ext>
            </c:extLst>
          </c:dPt>
          <c:dPt>
            <c:idx val="15"/>
            <c:bubble3D val="0"/>
            <c:spPr>
              <a:ln w="28575" cap="rnd" cmpd="sng" algn="ctr">
                <a:solidFill>
                  <a:schemeClr val="accent4">
                    <a:shade val="9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F-5628-4D65-8F94-3DF89422D2A7}"/>
              </c:ext>
            </c:extLst>
          </c:dPt>
          <c:dPt>
            <c:idx val="16"/>
            <c:bubble3D val="0"/>
            <c:spPr>
              <a:ln w="28575" cap="rnd" cmpd="sng" algn="ctr">
                <a:solidFill>
                  <a:schemeClr val="accent5">
                    <a:shade val="9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21-5628-4D65-8F94-3DF89422D2A7}"/>
              </c:ext>
            </c:extLst>
          </c:dPt>
          <c:dPt>
            <c:idx val="17"/>
            <c:bubble3D val="0"/>
            <c:spPr>
              <a:ln w="28575" cap="rnd" cmpd="sng" algn="ctr">
                <a:solidFill>
                  <a:schemeClr val="accent6">
                    <a:shade val="9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23-5628-4D65-8F94-3DF89422D2A7}"/>
              </c:ext>
            </c:extLst>
          </c:dPt>
          <c:dPt>
            <c:idx val="18"/>
            <c:bubble3D val="0"/>
            <c:spPr>
              <a:ln w="28575" cap="rnd" cmpd="sng" algn="ctr">
                <a:solidFill>
                  <a:schemeClr val="accent1">
                    <a:tint val="9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25-5628-4D65-8F94-3DF89422D2A7}"/>
              </c:ext>
            </c:extLst>
          </c:dPt>
          <c:dPt>
            <c:idx val="19"/>
            <c:bubble3D val="0"/>
            <c:spPr>
              <a:ln w="28575" cap="rnd" cmpd="sng" algn="ctr">
                <a:solidFill>
                  <a:schemeClr val="accent2">
                    <a:tint val="9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27-5628-4D65-8F94-3DF89422D2A7}"/>
              </c:ext>
            </c:extLst>
          </c:dPt>
          <c:dPt>
            <c:idx val="20"/>
            <c:bubble3D val="0"/>
            <c:spPr>
              <a:ln w="28575" cap="rnd" cmpd="sng" algn="ctr">
                <a:solidFill>
                  <a:schemeClr val="accent3">
                    <a:tint val="9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29-5628-4D65-8F94-3DF89422D2A7}"/>
              </c:ext>
            </c:extLst>
          </c:dPt>
          <c:dPt>
            <c:idx val="21"/>
            <c:bubble3D val="0"/>
            <c:spPr>
              <a:ln w="28575" cap="rnd" cmpd="sng" algn="ctr">
                <a:solidFill>
                  <a:schemeClr val="accent4">
                    <a:tint val="9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2B-5628-4D65-8F94-3DF89422D2A7}"/>
              </c:ext>
            </c:extLst>
          </c:dPt>
          <c:dPt>
            <c:idx val="22"/>
            <c:bubble3D val="0"/>
            <c:spPr>
              <a:ln w="28575" cap="rnd" cmpd="sng" algn="ctr">
                <a:solidFill>
                  <a:schemeClr val="accent5">
                    <a:tint val="9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2D-5628-4D65-8F94-3DF89422D2A7}"/>
              </c:ext>
            </c:extLst>
          </c:dPt>
          <c:dPt>
            <c:idx val="23"/>
            <c:bubble3D val="0"/>
            <c:spPr>
              <a:ln w="28575" cap="rnd" cmpd="sng" algn="ctr">
                <a:solidFill>
                  <a:schemeClr val="accent6">
                    <a:tint val="9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2F-5628-4D65-8F94-3DF89422D2A7}"/>
              </c:ext>
            </c:extLst>
          </c:dPt>
          <c:dPt>
            <c:idx val="24"/>
            <c:bubble3D val="0"/>
            <c:spPr>
              <a:ln w="28575" cap="rnd" cmpd="sng" algn="ctr">
                <a:solidFill>
                  <a:schemeClr val="accent1">
                    <a:tint val="7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31-5628-4D65-8F94-3DF89422D2A7}"/>
              </c:ext>
            </c:extLst>
          </c:dPt>
          <c:dPt>
            <c:idx val="25"/>
            <c:bubble3D val="0"/>
            <c:spPr>
              <a:ln w="28575" cap="rnd" cmpd="sng" algn="ctr">
                <a:solidFill>
                  <a:schemeClr val="accent2">
                    <a:tint val="7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33-5628-4D65-8F94-3DF89422D2A7}"/>
              </c:ext>
            </c:extLst>
          </c:dPt>
          <c:dPt>
            <c:idx val="26"/>
            <c:bubble3D val="0"/>
            <c:spPr>
              <a:ln w="28575" cap="rnd" cmpd="sng" algn="ctr">
                <a:solidFill>
                  <a:schemeClr val="accent3">
                    <a:tint val="7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35-5628-4D65-8F94-3DF89422D2A7}"/>
              </c:ext>
            </c:extLst>
          </c:dPt>
          <c:dPt>
            <c:idx val="27"/>
            <c:bubble3D val="0"/>
            <c:spPr>
              <a:ln w="28575" cap="rnd" cmpd="sng" algn="ctr">
                <a:solidFill>
                  <a:schemeClr val="accent4">
                    <a:tint val="7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37-5628-4D65-8F94-3DF89422D2A7}"/>
              </c:ext>
            </c:extLst>
          </c:dPt>
          <c:dPt>
            <c:idx val="28"/>
            <c:bubble3D val="0"/>
            <c:spPr>
              <a:ln w="28575" cap="rnd" cmpd="sng" algn="ctr">
                <a:solidFill>
                  <a:schemeClr val="accent5">
                    <a:tint val="7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39-5628-4D65-8F94-3DF89422D2A7}"/>
              </c:ext>
            </c:extLst>
          </c:dPt>
          <c:dPt>
            <c:idx val="29"/>
            <c:bubble3D val="0"/>
            <c:spPr>
              <a:ln w="28575" cap="rnd" cmpd="sng" algn="ctr">
                <a:solidFill>
                  <a:schemeClr val="accent6">
                    <a:tint val="70000"/>
                    <a:shade val="95000"/>
                    <a:satMod val="10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3B-5628-4D65-8F94-3DF89422D2A7}"/>
              </c:ext>
            </c:extLst>
          </c:dPt>
          <c:cat>
            <c:numRef>
              <c:f>'3_TGA_RRP'!$A$6:$A$35</c:f>
              <c:numCache>
                <c:formatCode>m/d/yyyy</c:formatCode>
                <c:ptCount val="30"/>
                <c:pt idx="0">
                  <c:v>45868</c:v>
                </c:pt>
                <c:pt idx="1">
                  <c:v>45875</c:v>
                </c:pt>
                <c:pt idx="2">
                  <c:v>45882</c:v>
                </c:pt>
                <c:pt idx="3">
                  <c:v>45889</c:v>
                </c:pt>
                <c:pt idx="4">
                  <c:v>45896</c:v>
                </c:pt>
                <c:pt idx="5">
                  <c:v>45903</c:v>
                </c:pt>
                <c:pt idx="6">
                  <c:v>45910</c:v>
                </c:pt>
                <c:pt idx="7">
                  <c:v>45917</c:v>
                </c:pt>
                <c:pt idx="8">
                  <c:v>45924</c:v>
                </c:pt>
                <c:pt idx="9">
                  <c:v>45931</c:v>
                </c:pt>
                <c:pt idx="10">
                  <c:v>45938</c:v>
                </c:pt>
                <c:pt idx="11">
                  <c:v>45945</c:v>
                </c:pt>
                <c:pt idx="12">
                  <c:v>45952</c:v>
                </c:pt>
                <c:pt idx="13">
                  <c:v>45959</c:v>
                </c:pt>
                <c:pt idx="14">
                  <c:v>45966</c:v>
                </c:pt>
                <c:pt idx="15">
                  <c:v>45973</c:v>
                </c:pt>
                <c:pt idx="16">
                  <c:v>45980</c:v>
                </c:pt>
                <c:pt idx="17">
                  <c:v>45987</c:v>
                </c:pt>
                <c:pt idx="18">
                  <c:v>45994</c:v>
                </c:pt>
                <c:pt idx="19">
                  <c:v>46001</c:v>
                </c:pt>
                <c:pt idx="20">
                  <c:v>46008</c:v>
                </c:pt>
                <c:pt idx="21">
                  <c:v>46015</c:v>
                </c:pt>
                <c:pt idx="22">
                  <c:v>46022</c:v>
                </c:pt>
                <c:pt idx="23">
                  <c:v>46029</c:v>
                </c:pt>
                <c:pt idx="24">
                  <c:v>46036</c:v>
                </c:pt>
                <c:pt idx="25">
                  <c:v>46043</c:v>
                </c:pt>
                <c:pt idx="26">
                  <c:v>46050</c:v>
                </c:pt>
                <c:pt idx="27">
                  <c:v>46057</c:v>
                </c:pt>
                <c:pt idx="28">
                  <c:v>46064</c:v>
                </c:pt>
                <c:pt idx="29">
                  <c:v>46071</c:v>
                </c:pt>
              </c:numCache>
            </c:numRef>
          </c:cat>
          <c:val>
            <c:numRef>
              <c:f>'3_TGA_RRP'!$B$6:$B$35</c:f>
              <c:numCache>
                <c:formatCode>General</c:formatCode>
                <c:ptCount val="30"/>
                <c:pt idx="0">
                  <c:v>3705.07</c:v>
                </c:pt>
                <c:pt idx="1">
                  <c:v>4210.43</c:v>
                </c:pt>
                <c:pt idx="2">
                  <c:v>5043.04</c:v>
                </c:pt>
                <c:pt idx="3">
                  <c:v>5195.34</c:v>
                </c:pt>
                <c:pt idx="4">
                  <c:v>5899.98</c:v>
                </c:pt>
                <c:pt idx="5">
                  <c:v>5975.13</c:v>
                </c:pt>
                <c:pt idx="6">
                  <c:v>6722.74</c:v>
                </c:pt>
                <c:pt idx="7">
                  <c:v>7563.76</c:v>
                </c:pt>
                <c:pt idx="8">
                  <c:v>8048.56</c:v>
                </c:pt>
                <c:pt idx="9">
                  <c:v>8051.39</c:v>
                </c:pt>
                <c:pt idx="10">
                  <c:v>8074.28</c:v>
                </c:pt>
                <c:pt idx="11">
                  <c:v>8095.93</c:v>
                </c:pt>
                <c:pt idx="12">
                  <c:v>9080.01</c:v>
                </c:pt>
                <c:pt idx="13">
                  <c:v>9579.9</c:v>
                </c:pt>
                <c:pt idx="14">
                  <c:v>9409.7900000000009</c:v>
                </c:pt>
                <c:pt idx="15">
                  <c:v>9538.16</c:v>
                </c:pt>
                <c:pt idx="16">
                  <c:v>9419.26</c:v>
                </c:pt>
                <c:pt idx="17">
                  <c:v>9033.94</c:v>
                </c:pt>
                <c:pt idx="18">
                  <c:v>9371.67</c:v>
                </c:pt>
                <c:pt idx="19">
                  <c:v>8589.4599999999991</c:v>
                </c:pt>
                <c:pt idx="20">
                  <c:v>8330.93</c:v>
                </c:pt>
                <c:pt idx="21">
                  <c:v>8371.2000000000007</c:v>
                </c:pt>
                <c:pt idx="22">
                  <c:v>8373.06</c:v>
                </c:pt>
                <c:pt idx="23">
                  <c:v>7961.48</c:v>
                </c:pt>
                <c:pt idx="24">
                  <c:v>7791.75</c:v>
                </c:pt>
                <c:pt idx="25">
                  <c:v>8692.61</c:v>
                </c:pt>
                <c:pt idx="26">
                  <c:v>9230.42</c:v>
                </c:pt>
                <c:pt idx="27">
                  <c:v>9087.73</c:v>
                </c:pt>
                <c:pt idx="28">
                  <c:v>9153.06</c:v>
                </c:pt>
                <c:pt idx="29">
                  <c:v>9127.27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C-5628-4D65-8F94-3DF89422D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m/d/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TGA(</a:t>
                </a:r>
                <a:r>
                  <a:rPr lang="zh-CN" altLang="en-US"/>
                  <a:t>亿美元</a:t>
                </a:r>
                <a:r>
                  <a:rPr lang="en-US" altLang="zh-CN"/>
                  <a:t>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 rtl="0"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  <c:extLst>
      <c:ext uri="{0b15fc19-7d7d-44ad-8c2d-2c3a37ce22c3}">
        <chartProps xmlns="https://web.wps.cn/et/2018/main" chartId="{131daebd-4afc-441a-bb3c-a9ef246421ab}"/>
      </c:ext>
    </c:extLst>
  </c:chart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9</xdr:row>
      <xdr:rowOff>0</xdr:rowOff>
    </xdr:from>
    <xdr:to>
      <xdr:col>19</xdr:col>
      <xdr:colOff>492639</xdr:colOff>
      <xdr:row>16</xdr:row>
      <xdr:rowOff>224488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4C109293-62B6-B2D3-830C-0C26DEB51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49840" y="2377440"/>
          <a:ext cx="6047619" cy="24190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4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4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Wind%5d\DataBrowse\XLA\WindFunc.xla" TargetMode="External"/><Relationship Id="rId1" Type="http://schemas.openxmlformats.org/officeDocument/2006/relationships/externalLinkPath" Target="file:///D:\Wind%5d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TDaysOffset"/>
    </definedNames>
    <sheetDataSet>
      <sheetData sheetId="0"/>
      <sheetData sheetId="1"/>
      <sheetData sheetId="2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1" xr16:uid="{00000000-0016-0000-0700-000000000000}" autoFormatId="16" applyNumberFormats="0" applyBorderFormats="0" applyFontFormats="1" applyPatternFormats="1" applyAlignmentFormats="0" applyWidthHeightFormats="0">
  <queryTableRefresh nextId="12" unboundColumnsRight="4">
    <queryTableFields count="11">
      <queryTableField id="1" name="symbol" tableColumnId="1"/>
      <queryTableField id="2" name="period" tableColumnId="2"/>
      <queryTableField id="3" name="revenue" tableColumnId="3"/>
      <queryTableField id="4" name="capex" tableColumnId="4"/>
      <queryTableField id="5" name="free_cash_flow" tableColumnId="5"/>
      <queryTableField id="6" name="net_profit_margin" tableColumnId="6"/>
      <queryTableField id="7" name="rank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0" xr16:uid="{00000000-0016-0000-0800-000001000000}" autoFormatId="16" applyNumberFormats="0" applyBorderFormats="0" applyFontFormats="1" applyPatternFormats="1" applyAlignmentFormats="0" applyWidthHeightFormats="0">
  <queryTableRefresh nextId="7">
    <queryTableFields count="6">
      <queryTableField id="1" name="symbol" tableColumnId="1"/>
      <queryTableField id="2" name="period" tableColumnId="2"/>
      <queryTableField id="3" name="actual_eps" tableColumnId="3"/>
      <queryTableField id="4" name="estimate_eps" tableColumnId="4"/>
      <queryTableField id="5" name="surprise_pct" tableColumnId="5"/>
      <queryTableField id="6" name="rank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00000000-0016-0000-0900-000002000000}" autoFormatId="16" applyNumberFormats="0" applyBorderFormats="0" applyFontFormats="1" applyPatternFormats="1" applyAlignmentFormats="0" applyWidthHeightFormats="0">
  <queryTableRefresh nextId="6">
    <queryTableFields count="5">
      <queryTableField id="1" name="symbol" tableColumnId="1"/>
      <queryTableField id="2" name="period" tableColumnId="2"/>
      <queryTableField id="3" name="actual_eps" tableColumnId="3"/>
      <queryTableField id="4" name="estimate_eps" tableColumnId="4"/>
      <queryTableField id="5" name="surprise_pct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4" xr16:uid="{00000000-0016-0000-0A00-000003000000}" autoFormatId="16" applyNumberFormats="0" applyBorderFormats="0" applyFontFormats="1" applyPatternFormats="1" applyAlignmentFormats="0" applyWidthHeightFormats="0">
  <queryTableRefresh nextId="6">
    <queryTableFields count="5">
      <queryTableField id="1" name="symbol" tableColumnId="1"/>
      <queryTableField id="2" name="period" tableColumnId="2"/>
      <queryTableField id="3" name="actual_eps" tableColumnId="3"/>
      <queryTableField id="4" name="estimate_eps" tableColumnId="4"/>
      <queryTableField id="5" name="surprise_pct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00000000-0016-0000-0B00-000004000000}" autoFormatId="16" applyNumberFormats="0" applyBorderFormats="0" applyFontFormats="1" applyPatternFormats="1" applyAlignmentFormats="0" applyWidthHeightFormats="0">
  <queryTableRefresh nextId="6">
    <queryTableFields count="5">
      <queryTableField id="1" name="symbol" tableColumnId="1"/>
      <queryTableField id="2" name="period" tableColumnId="2"/>
      <queryTableField id="3" name="actual_eps" tableColumnId="3"/>
      <queryTableField id="4" name="estimate_eps" tableColumnId="4"/>
      <queryTableField id="5" name="surprise_pct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00000000-0016-0000-0C00-000005000000}" autoFormatId="16" applyNumberFormats="0" applyBorderFormats="0" applyFontFormats="1" applyPatternFormats="1" applyAlignmentFormats="0" applyWidthHeightFormats="0">
  <queryTableRefresh nextId="6">
    <queryTableFields count="5">
      <queryTableField id="1" name="symbol" tableColumnId="1"/>
      <queryTableField id="2" name="period" tableColumnId="2"/>
      <queryTableField id="3" name="actual_eps" tableColumnId="3"/>
      <queryTableField id="4" name="estimate_eps" tableColumnId="4"/>
      <queryTableField id="5" name="surprise_pct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00000000-0016-0000-0D00-000006000000}" autoFormatId="16" applyNumberFormats="0" applyBorderFormats="0" applyFontFormats="1" applyPatternFormats="1" applyAlignmentFormats="0" applyWidthHeightFormats="0">
  <queryTableRefresh nextId="6">
    <queryTableFields count="5">
      <queryTableField id="1" name="symbol" tableColumnId="1"/>
      <queryTableField id="2" name="period" tableColumnId="2"/>
      <queryTableField id="3" name="actual_eps" tableColumnId="3"/>
      <queryTableField id="4" name="estimate_eps" tableColumnId="4"/>
      <queryTableField id="5" name="surprise_pct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00000000-0016-0000-0E00-000007000000}" autoFormatId="16" applyNumberFormats="0" applyBorderFormats="0" applyFontFormats="1" applyPatternFormats="1" applyAlignmentFormats="0" applyWidthHeightFormats="0">
  <queryTableRefresh nextId="6">
    <queryTableFields count="5">
      <queryTableField id="1" name="symbol" tableColumnId="1"/>
      <queryTableField id="2" name="period" tableColumnId="2"/>
      <queryTableField id="3" name="actual_eps" tableColumnId="3"/>
      <queryTableField id="4" name="estimate_eps" tableColumnId="4"/>
      <queryTableField id="5" name="surprise_pct" tableColumnId="5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4" xr16:uid="{00000000-0016-0000-0F00-000008000000}" autoFormatId="16" applyNumberFormats="0" applyBorderFormats="0" applyFontFormats="1" applyPatternFormats="1" applyAlignmentFormats="0" applyWidthHeightFormats="0">
  <queryTableRefresh nextId="7">
    <queryTableFields count="6">
      <queryTableField id="1" name="symbol" tableColumnId="1"/>
      <queryTableField id="2" name="period" tableColumnId="2"/>
      <queryTableField id="3" name="revenue" tableColumnId="3"/>
      <queryTableField id="4" name="capex" tableColumnId="4"/>
      <queryTableField id="5" name="free_cash_flow" tableColumnId="5"/>
      <queryTableField id="6" name="net_profit_margin" tableColumnId="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1" xr16:uid="{00000000-0016-0000-1000-000009000000}" autoFormatId="16" applyNumberFormats="0" applyBorderFormats="0" applyFontFormats="1" applyPatternFormats="1" applyAlignmentFormats="0" applyWidthHeightFormats="0">
  <queryTableRefresh nextId="7">
    <queryTableFields count="6">
      <queryTableField id="1" name="symbol" tableColumnId="1"/>
      <queryTableField id="2" name="period" tableColumnId="2"/>
      <queryTableField id="3" name="revenue" tableColumnId="3"/>
      <queryTableField id="4" name="capex" tableColumnId="4"/>
      <queryTableField id="5" name="free_cash_flow" tableColumnId="5"/>
      <queryTableField id="6" name="net_profit_margin" tableColumnId="6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9" xr16:uid="{00000000-0016-0000-1100-00000A000000}" autoFormatId="16" applyNumberFormats="0" applyBorderFormats="0" applyFontFormats="1" applyPatternFormats="1" applyAlignmentFormats="0" applyWidthHeightFormats="0">
  <queryTableRefresh nextId="7">
    <queryTableFields count="6">
      <queryTableField id="1" name="symbol" tableColumnId="1"/>
      <queryTableField id="2" name="period" tableColumnId="2"/>
      <queryTableField id="3" name="revenue" tableColumnId="3"/>
      <queryTableField id="4" name="capex" tableColumnId="4"/>
      <queryTableField id="5" name="free_cash_flow" tableColumnId="5"/>
      <queryTableField id="6" name="net_profit_margin" tableColumnId="6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0" xr16:uid="{00000000-0016-0000-1200-00000B000000}" autoFormatId="16" applyNumberFormats="0" applyBorderFormats="0" applyFontFormats="1" applyPatternFormats="1" applyAlignmentFormats="0" applyWidthHeightFormats="0">
  <queryTableRefresh nextId="7">
    <queryTableFields count="6">
      <queryTableField id="1" name="symbol" tableColumnId="1"/>
      <queryTableField id="2" name="period" tableColumnId="2"/>
      <queryTableField id="3" name="revenue" tableColumnId="3"/>
      <queryTableField id="4" name="capex" tableColumnId="4"/>
      <queryTableField id="5" name="free_cash_flow" tableColumnId="5"/>
      <queryTableField id="6" name="net_profit_margin" tableColumnId="6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2" xr16:uid="{00000000-0016-0000-1300-00000C000000}" autoFormatId="16" applyNumberFormats="0" applyBorderFormats="0" applyFontFormats="1" applyPatternFormats="1" applyAlignmentFormats="0" applyWidthHeightFormats="0">
  <queryTableRefresh nextId="7">
    <queryTableFields count="6">
      <queryTableField id="1" name="symbol" tableColumnId="1"/>
      <queryTableField id="2" name="period" tableColumnId="2"/>
      <queryTableField id="3" name="revenue" tableColumnId="3"/>
      <queryTableField id="4" name="capex" tableColumnId="4"/>
      <queryTableField id="5" name="free_cash_flow" tableColumnId="5"/>
      <queryTableField id="6" name="net_profit_margin" tableColumnId="6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3" xr16:uid="{00000000-0016-0000-1400-00000D000000}" autoFormatId="16" applyNumberFormats="0" applyBorderFormats="0" applyFontFormats="1" applyPatternFormats="1" applyAlignmentFormats="0" applyWidthHeightFormats="0">
  <queryTableRefresh nextId="7">
    <queryTableFields count="6">
      <queryTableField id="1" name="symbol" tableColumnId="1"/>
      <queryTableField id="2" name="period" tableColumnId="2"/>
      <queryTableField id="3" name="revenue" tableColumnId="3"/>
      <queryTableField id="4" name="capex" tableColumnId="4"/>
      <queryTableField id="5" name="free_cash_flow" tableColumnId="5"/>
      <queryTableField id="6" name="net_profit_margin" tableColumnId="6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00000000-0016-0000-1500-00000E000000}" autoFormatId="16" applyNumberFormats="0" applyBorderFormats="0" applyFontFormats="1" applyPatternFormats="1" applyAlignmentFormats="0" applyWidthHeightFormats="0">
  <queryTableRefresh nextId="7">
    <queryTableFields count="6">
      <queryTableField id="1" name="symbol" tableColumnId="1"/>
      <queryTableField id="2" name="period" tableColumnId="2"/>
      <queryTableField id="3" name="revenue" tableColumnId="3"/>
      <queryTableField id="4" name="capex" tableColumnId="4"/>
      <queryTableField id="5" name="free_cash_flow" tableColumnId="5"/>
      <queryTableField id="6" name="net_profit_margin" tableColumnId="6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00000000-0016-0000-1600-00000F000000}" autoFormatId="16" applyNumberFormats="0" applyBorderFormats="0" applyFontFormats="1" applyPatternFormats="1" applyAlignmentFormats="0" applyWidthHeightFormats="0">
  <queryTableRefresh nextId="6">
    <queryTableFields count="5">
      <queryTableField id="1" name="symbol" tableColumnId="1"/>
      <queryTableField id="2" name="period" tableColumnId="2"/>
      <queryTableField id="3" name="actual_eps" tableColumnId="3"/>
      <queryTableField id="4" name="estimate_eps" tableColumnId="4"/>
      <queryTableField id="5" name="surprise_pct" tableColumnId="5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00000000-0016-0000-1800-000010000000}" autoFormatId="16" applyNumberFormats="0" applyBorderFormats="0" applyFontFormats="1" applyPatternFormats="1" applyAlignmentFormats="0" applyWidthHeightFormats="0">
  <queryTableRefresh nextId="3">
    <queryTableFields count="2">
      <queryTableField id="1" name="date" tableColumnId="1"/>
      <queryTableField id="2" name="value" tableColumnId="2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6" xr16:uid="{00000000-0016-0000-1900-000011000000}" autoFormatId="16" applyNumberFormats="0" applyBorderFormats="0" applyFontFormats="1" applyPatternFormats="1" applyAlignmentFormats="0" applyWidthHeightFormats="0">
  <queryTableRefresh nextId="3">
    <queryTableFields count="2">
      <queryTableField id="1" name="date" tableColumnId="1"/>
      <queryTableField id="2" name="value" tableColumnId="2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7" xr16:uid="{00000000-0016-0000-1A00-000012000000}" autoFormatId="16" applyNumberFormats="0" applyBorderFormats="0" applyFontFormats="1" applyPatternFormats="1" applyAlignmentFormats="0" applyWidthHeightFormats="0">
  <queryTableRefresh nextId="3">
    <queryTableFields count="2">
      <queryTableField id="1" name="date" tableColumnId="1"/>
      <queryTableField id="2" name="valu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0000000}" name="查询7" displayName="查询7" ref="A1:K304" tableType="queryTable" totalsRowShown="0">
  <autoFilter ref="A1:K304" xr:uid="{00000000-0009-0000-0100-000013000000}"/>
  <tableColumns count="11">
    <tableColumn id="1" xr3:uid="{00000000-0010-0000-0000-000001000000}" uniqueName="1" name="symbol" queryTableFieldId="1" dataDxfId="36"/>
    <tableColumn id="2" xr3:uid="{00000000-0010-0000-0000-000002000000}" uniqueName="2" name="period" queryTableFieldId="2" dataDxfId="0"/>
    <tableColumn id="3" xr3:uid="{00000000-0010-0000-0000-000003000000}" uniqueName="3" name="revenue" queryTableFieldId="3"/>
    <tableColumn id="4" xr3:uid="{00000000-0010-0000-0000-000004000000}" uniqueName="4" name="capex" queryTableFieldId="4"/>
    <tableColumn id="5" xr3:uid="{00000000-0010-0000-0000-000005000000}" uniqueName="5" name="free_cash_flow" queryTableFieldId="5"/>
    <tableColumn id="6" xr3:uid="{00000000-0010-0000-0000-000006000000}" uniqueName="6" name="net_profit_margin" queryTableFieldId="6"/>
    <tableColumn id="7" xr3:uid="{00000000-0010-0000-0000-000007000000}" uniqueName="7" name="rank" queryTableFieldId="7"/>
    <tableColumn id="8" xr3:uid="{90EFA82F-3CEC-41B8-9705-57D4DF5B62B1}" uniqueName="8" name="Capex/Rev" queryTableFieldId="8" dataDxfId="35">
      <calculatedColumnFormula>查询7[[#This Row],[capex]]/查询7[[#This Row],[revenue]]</calculatedColumnFormula>
    </tableColumn>
    <tableColumn id="9" xr3:uid="{69F52ECA-2EB9-4286-8974-F5D12A476226}" uniqueName="9" name="net_profit_margin_yoy" queryTableFieldId="9" dataDxfId="34">
      <calculatedColumnFormula>查询7[[#This Row],[net_profit_margin]]-F5</calculatedColumnFormula>
    </tableColumn>
    <tableColumn id="10" xr3:uid="{0B862E05-1BFD-43EA-ABDE-82C76C74A83A}" uniqueName="10" name="Free_cash_flow_YOY" queryTableFieldId="10" dataDxfId="33">
      <calculatedColumnFormula>查询7[[#This Row],[free_cash_flow]]/E5-1</calculatedColumnFormula>
    </tableColumn>
    <tableColumn id="11" xr3:uid="{9D6E8447-2992-46D3-83CC-74C9A2BF6822}" uniqueName="11" name="列1" queryTableFieldId="11" dataDxfId="32">
      <calculatedColumnFormula>查询7[[#This Row],[free_cash_flow]]/E5-1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1000000}" name="查询6" displayName="查询6" ref="A1:F29" tableType="queryTable" totalsRowShown="0">
  <autoFilter ref="A1:F29" xr:uid="{00000000-0009-0000-0100-000012000000}"/>
  <tableColumns count="6">
    <tableColumn id="1" xr3:uid="{00000000-0010-0000-0100-000001000000}" uniqueName="1" name="symbol" queryTableFieldId="1" dataDxfId="31"/>
    <tableColumn id="2" xr3:uid="{00000000-0010-0000-0100-000002000000}" uniqueName="2" name="period" queryTableFieldId="2" dataDxfId="1"/>
    <tableColumn id="3" xr3:uid="{00000000-0010-0000-0100-000003000000}" uniqueName="3" name="actual_eps" queryTableFieldId="3"/>
    <tableColumn id="4" xr3:uid="{00000000-0010-0000-0100-000004000000}" uniqueName="4" name="estimate_eps" queryTableFieldId="4"/>
    <tableColumn id="5" xr3:uid="{00000000-0010-0000-0100-000005000000}" uniqueName="5" name="surprise_pct" queryTableFieldId="5"/>
    <tableColumn id="6" xr3:uid="{00000000-0010-0000-0100-000006000000}" uniqueName="6" name="rank" queryTableFieldId="6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fh_earn_TSLA" displayName="fh_earn_TSLA" ref="A1:E5" tableType="queryTable" totalsRowShown="0">
  <autoFilter ref="A1:E5" xr:uid="{00000000-0009-0000-0100-000006000000}"/>
  <tableColumns count="5">
    <tableColumn id="1" xr3:uid="{00000000-0010-0000-0200-000001000000}" uniqueName="1" name="symbol" queryTableFieldId="1" dataDxfId="30"/>
    <tableColumn id="2" xr3:uid="{00000000-0010-0000-0200-000002000000}" uniqueName="2" name="period" queryTableFieldId="2" dataDxfId="29"/>
    <tableColumn id="3" xr3:uid="{00000000-0010-0000-0200-000003000000}" uniqueName="3" name="actual_eps" queryTableFieldId="3"/>
    <tableColumn id="4" xr3:uid="{00000000-0010-0000-0200-000004000000}" uniqueName="4" name="estimate_eps" queryTableFieldId="4"/>
    <tableColumn id="5" xr3:uid="{00000000-0010-0000-0200-000005000000}" uniqueName="5" name="surprise_pct" queryTableFieldId="5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3000000}" name="fh_earn_META" displayName="fh_earn_META" ref="A1:E5" tableType="queryTable" totalsRowShown="0">
  <autoFilter ref="A1:E5" xr:uid="{00000000-0009-0000-0100-00000A000000}"/>
  <tableColumns count="5">
    <tableColumn id="1" xr3:uid="{00000000-0010-0000-0300-000001000000}" uniqueName="1" name="symbol" queryTableFieldId="1" dataDxfId="28"/>
    <tableColumn id="2" xr3:uid="{00000000-0010-0000-0300-000002000000}" uniqueName="2" name="period" queryTableFieldId="2" dataDxfId="27"/>
    <tableColumn id="3" xr3:uid="{00000000-0010-0000-0300-000003000000}" uniqueName="3" name="actual_eps" queryTableFieldId="3"/>
    <tableColumn id="4" xr3:uid="{00000000-0010-0000-0300-000004000000}" uniqueName="4" name="estimate_eps" queryTableFieldId="4"/>
    <tableColumn id="5" xr3:uid="{00000000-0010-0000-0300-000005000000}" uniqueName="5" name="surprise_pct" queryTableFieldId="5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4000000}" name="fh_earn_AMZN" displayName="fh_earn_AMZN" ref="A1:E5" tableType="queryTable" totalsRowShown="0">
  <autoFilter ref="A1:E5" xr:uid="{00000000-0009-0000-0100-000009000000}"/>
  <tableColumns count="5">
    <tableColumn id="1" xr3:uid="{00000000-0010-0000-0400-000001000000}" uniqueName="1" name="symbol" queryTableFieldId="1" dataDxfId="26"/>
    <tableColumn id="2" xr3:uid="{00000000-0010-0000-0400-000002000000}" uniqueName="2" name="period" queryTableFieldId="2" dataDxfId="25"/>
    <tableColumn id="3" xr3:uid="{00000000-0010-0000-0400-000003000000}" uniqueName="3" name="actual_eps" queryTableFieldId="3"/>
    <tableColumn id="4" xr3:uid="{00000000-0010-0000-0400-000004000000}" uniqueName="4" name="estimate_eps" queryTableFieldId="4"/>
    <tableColumn id="5" xr3:uid="{00000000-0010-0000-0400-000005000000}" uniqueName="5" name="surprise_pct" queryTableFieldId="5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fh_earn_GOOGL" displayName="fh_earn_GOOGL" ref="A1:E5" tableType="queryTable" totalsRowShown="0">
  <autoFilter ref="A1:E5" xr:uid="{00000000-0009-0000-0100-000008000000}"/>
  <tableColumns count="5">
    <tableColumn id="1" xr3:uid="{00000000-0010-0000-0500-000001000000}" uniqueName="1" name="symbol" queryTableFieldId="1" dataDxfId="24"/>
    <tableColumn id="2" xr3:uid="{00000000-0010-0000-0500-000002000000}" uniqueName="2" name="period" queryTableFieldId="2" dataDxfId="23"/>
    <tableColumn id="3" xr3:uid="{00000000-0010-0000-0500-000003000000}" uniqueName="3" name="actual_eps" queryTableFieldId="3"/>
    <tableColumn id="4" xr3:uid="{00000000-0010-0000-0500-000004000000}" uniqueName="4" name="estimate_eps" queryTableFieldId="4"/>
    <tableColumn id="5" xr3:uid="{00000000-0010-0000-0500-000005000000}" uniqueName="5" name="surprise_pct" queryTableFieldId="5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h_earn_MSFT" displayName="fh_earn_MSFT" ref="A1:E5" tableType="queryTable" totalsRowShown="0">
  <autoFilter ref="A1:E5" xr:uid="{00000000-0009-0000-0100-000007000000}"/>
  <tableColumns count="5">
    <tableColumn id="1" xr3:uid="{00000000-0010-0000-0600-000001000000}" uniqueName="1" name="symbol" queryTableFieldId="1" dataDxfId="22"/>
    <tableColumn id="2" xr3:uid="{00000000-0010-0000-0600-000002000000}" uniqueName="2" name="period" queryTableFieldId="2" dataDxfId="21"/>
    <tableColumn id="3" xr3:uid="{00000000-0010-0000-0600-000003000000}" uniqueName="3" name="actual_eps" queryTableFieldId="3"/>
    <tableColumn id="4" xr3:uid="{00000000-0010-0000-0600-000004000000}" uniqueName="4" name="estimate_eps" queryTableFieldId="4"/>
    <tableColumn id="5" xr3:uid="{00000000-0010-0000-0600-000005000000}" uniqueName="5" name="surprise_pct" queryTableFieldId="5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7000000}" name="fh_earn_AAPL" displayName="fh_earn_AAPL" ref="A1:E5" tableType="queryTable" totalsRowShown="0">
  <autoFilter ref="A1:E5" xr:uid="{00000000-0009-0000-0100-000005000000}"/>
  <tableColumns count="5">
    <tableColumn id="1" xr3:uid="{00000000-0010-0000-0700-000001000000}" uniqueName="1" name="symbol" queryTableFieldId="1" dataDxfId="20"/>
    <tableColumn id="2" xr3:uid="{00000000-0010-0000-0700-000002000000}" uniqueName="2" name="period" queryTableFieldId="2" dataDxfId="19"/>
    <tableColumn id="3" xr3:uid="{00000000-0010-0000-0700-000003000000}" uniqueName="3" name="actual_eps" queryTableFieldId="3"/>
    <tableColumn id="4" xr3:uid="{00000000-0010-0000-0700-000004000000}" uniqueName="4" name="estimate_eps" queryTableFieldId="4"/>
    <tableColumn id="5" xr3:uid="{00000000-0010-0000-0700-000005000000}" uniqueName="5" name="surprise_pct" queryTableFieldId="5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8000000}" name="fh_fin_TSLA" displayName="fh_fin_TSLA" ref="A1:F45" tableType="queryTable" totalsRowShown="0">
  <autoFilter ref="A1:F45" xr:uid="{00000000-0009-0000-0100-00000F000000}"/>
  <tableColumns count="6">
    <tableColumn id="1" xr3:uid="{00000000-0010-0000-0800-000001000000}" uniqueName="1" name="symbol" queryTableFieldId="1" dataDxfId="18"/>
    <tableColumn id="2" xr3:uid="{00000000-0010-0000-0800-000002000000}" uniqueName="2" name="period" queryTableFieldId="2"/>
    <tableColumn id="3" xr3:uid="{00000000-0010-0000-0800-000003000000}" uniqueName="3" name="revenue" queryTableFieldId="3"/>
    <tableColumn id="4" xr3:uid="{00000000-0010-0000-0800-000004000000}" uniqueName="4" name="capex" queryTableFieldId="4"/>
    <tableColumn id="5" xr3:uid="{00000000-0010-0000-0800-000005000000}" uniqueName="5" name="free_cash_flow" queryTableFieldId="5"/>
    <tableColumn id="6" xr3:uid="{00000000-0010-0000-0800-000006000000}" uniqueName="6" name="net_profit_margin" queryTableFieldId="6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9000000}" name="fh_fin_META" displayName="fh_fin_META" ref="A1:F42" tableType="queryTable" totalsRowShown="0">
  <autoFilter ref="A1:F42" xr:uid="{00000000-0009-0000-0100-000010000000}"/>
  <tableColumns count="6">
    <tableColumn id="1" xr3:uid="{00000000-0010-0000-0900-000001000000}" uniqueName="1" name="symbol" queryTableFieldId="1" dataDxfId="17"/>
    <tableColumn id="2" xr3:uid="{00000000-0010-0000-0900-000002000000}" uniqueName="2" name="period" queryTableFieldId="2"/>
    <tableColumn id="3" xr3:uid="{00000000-0010-0000-0900-000003000000}" uniqueName="3" name="revenue" queryTableFieldId="3"/>
    <tableColumn id="4" xr3:uid="{00000000-0010-0000-0900-000004000000}" uniqueName="4" name="capex" queryTableFieldId="4"/>
    <tableColumn id="5" xr3:uid="{00000000-0010-0000-0900-000005000000}" uniqueName="5" name="free_cash_flow" queryTableFieldId="5"/>
    <tableColumn id="6" xr3:uid="{00000000-0010-0000-0900-000006000000}" uniqueName="6" name="net_profit_margin" queryTableFieldId="6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A000000}" name="fh_fin_AMZN" displayName="fh_fin_AMZN" ref="A1:F48" tableType="queryTable" totalsRowShown="0">
  <autoFilter ref="A1:F48" xr:uid="{00000000-0009-0000-0100-00000E000000}"/>
  <tableColumns count="6">
    <tableColumn id="1" xr3:uid="{00000000-0010-0000-0A00-000001000000}" uniqueName="1" name="symbol" queryTableFieldId="1" dataDxfId="16"/>
    <tableColumn id="2" xr3:uid="{00000000-0010-0000-0A00-000002000000}" uniqueName="2" name="period" queryTableFieldId="2"/>
    <tableColumn id="3" xr3:uid="{00000000-0010-0000-0A00-000003000000}" uniqueName="3" name="revenue" queryTableFieldId="3"/>
    <tableColumn id="4" xr3:uid="{00000000-0010-0000-0A00-000004000000}" uniqueName="4" name="capex" queryTableFieldId="4"/>
    <tableColumn id="5" xr3:uid="{00000000-0010-0000-0A00-000005000000}" uniqueName="5" name="free_cash_flow" queryTableFieldId="5"/>
    <tableColumn id="6" xr3:uid="{00000000-0010-0000-0A00-000006000000}" uniqueName="6" name="net_profit_margin" queryTableFieldId="6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B000000}" name="fh_fin_GOOGL" displayName="fh_fin_GOOGL" ref="A1:F32" tableType="queryTable" totalsRowShown="0">
  <autoFilter ref="A1:F32" xr:uid="{00000000-0009-0000-0100-00000D000000}"/>
  <tableColumns count="6">
    <tableColumn id="1" xr3:uid="{00000000-0010-0000-0B00-000001000000}" uniqueName="1" name="symbol" queryTableFieldId="1" dataDxfId="15"/>
    <tableColumn id="2" xr3:uid="{00000000-0010-0000-0B00-000002000000}" uniqueName="2" name="period" queryTableFieldId="2"/>
    <tableColumn id="3" xr3:uid="{00000000-0010-0000-0B00-000003000000}" uniqueName="3" name="revenue" queryTableFieldId="3"/>
    <tableColumn id="4" xr3:uid="{00000000-0010-0000-0B00-000004000000}" uniqueName="4" name="capex" queryTableFieldId="4"/>
    <tableColumn id="5" xr3:uid="{00000000-0010-0000-0B00-000005000000}" uniqueName="5" name="free_cash_flow" queryTableFieldId="5"/>
    <tableColumn id="6" xr3:uid="{00000000-0010-0000-0B00-000006000000}" uniqueName="6" name="net_profit_margin" queryTableFieldId="6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C000000}" name="fh_fin_MSFT" displayName="fh_fin_MSFT" ref="A1:F46" tableType="queryTable" totalsRowShown="0">
  <autoFilter ref="A1:F46" xr:uid="{00000000-0009-0000-0100-00000C000000}"/>
  <tableColumns count="6">
    <tableColumn id="1" xr3:uid="{00000000-0010-0000-0C00-000001000000}" uniqueName="1" name="symbol" queryTableFieldId="1" dataDxfId="14"/>
    <tableColumn id="2" xr3:uid="{00000000-0010-0000-0C00-000002000000}" uniqueName="2" name="period" queryTableFieldId="2"/>
    <tableColumn id="3" xr3:uid="{00000000-0010-0000-0C00-000003000000}" uniqueName="3" name="revenue" queryTableFieldId="3"/>
    <tableColumn id="4" xr3:uid="{00000000-0010-0000-0C00-000004000000}" uniqueName="4" name="capex" queryTableFieldId="4"/>
    <tableColumn id="5" xr3:uid="{00000000-0010-0000-0C00-000005000000}" uniqueName="5" name="free_cash_flow" queryTableFieldId="5"/>
    <tableColumn id="6" xr3:uid="{00000000-0010-0000-0C00-000006000000}" uniqueName="6" name="net_profit_margin" queryTableFieldId="6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D000000}" name="fh_fin_NVDA" displayName="fh_fin_NVDA" ref="A1:F48" tableType="queryTable" totalsRowShown="0">
  <autoFilter ref="A1:F48" xr:uid="{00000000-0009-0000-0100-000011000000}"/>
  <tableColumns count="6">
    <tableColumn id="1" xr3:uid="{00000000-0010-0000-0D00-000001000000}" uniqueName="1" name="symbol" queryTableFieldId="1" dataDxfId="13"/>
    <tableColumn id="2" xr3:uid="{00000000-0010-0000-0D00-000002000000}" uniqueName="2" name="period" queryTableFieldId="2"/>
    <tableColumn id="3" xr3:uid="{00000000-0010-0000-0D00-000003000000}" uniqueName="3" name="revenue" queryTableFieldId="3"/>
    <tableColumn id="4" xr3:uid="{00000000-0010-0000-0D00-000004000000}" uniqueName="4" name="capex" queryTableFieldId="4"/>
    <tableColumn id="5" xr3:uid="{00000000-0010-0000-0D00-000005000000}" uniqueName="5" name="free_cash_flow" queryTableFieldId="5"/>
    <tableColumn id="6" xr3:uid="{00000000-0010-0000-0D00-000006000000}" uniqueName="6" name="net_profit_margin" queryTableFieldId="6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E000000}" name="fh_fin_AAPL" displayName="fh_fin_AAPL" ref="A1:F49" tableType="queryTable" totalsRowShown="0">
  <autoFilter ref="A1:F49" xr:uid="{00000000-0009-0000-0100-00000B000000}"/>
  <tableColumns count="6">
    <tableColumn id="1" xr3:uid="{00000000-0010-0000-0E00-000001000000}" uniqueName="1" name="symbol" queryTableFieldId="1" dataDxfId="12"/>
    <tableColumn id="2" xr3:uid="{00000000-0010-0000-0E00-000002000000}" uniqueName="2" name="period" queryTableFieldId="2"/>
    <tableColumn id="3" xr3:uid="{00000000-0010-0000-0E00-000003000000}" uniqueName="3" name="revenue" queryTableFieldId="3"/>
    <tableColumn id="4" xr3:uid="{00000000-0010-0000-0E00-000004000000}" uniqueName="4" name="capex" queryTableFieldId="4"/>
    <tableColumn id="5" xr3:uid="{00000000-0010-0000-0E00-000005000000}" uniqueName="5" name="free_cash_flow" queryTableFieldId="5"/>
    <tableColumn id="6" xr3:uid="{00000000-0010-0000-0E00-000006000000}" uniqueName="6" name="net_profit_margin" queryTableFieldId="6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F000000}" name="fh_earn_NVDA" displayName="fh_earn_NVDA" ref="A1:E5" tableType="queryTable" totalsRowShown="0">
  <autoFilter ref="A1:E5" xr:uid="{00000000-0009-0000-0100-000004000000}"/>
  <tableColumns count="5">
    <tableColumn id="1" xr3:uid="{00000000-0010-0000-0F00-000001000000}" uniqueName="1" name="symbol" queryTableFieldId="1" dataDxfId="11"/>
    <tableColumn id="2" xr3:uid="{00000000-0010-0000-0F00-000002000000}" uniqueName="2" name="period" queryTableFieldId="2" dataDxfId="10"/>
    <tableColumn id="3" xr3:uid="{00000000-0010-0000-0F00-000003000000}" uniqueName="3" name="actual_eps" queryTableFieldId="3"/>
    <tableColumn id="4" xr3:uid="{00000000-0010-0000-0F00-000004000000}" uniqueName="4" name="estimate_eps" queryTableFieldId="4"/>
    <tableColumn id="5" xr3:uid="{00000000-0010-0000-0F00-000005000000}" uniqueName="5" name="surprise_pct" queryTableFieldId="5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10000000}" name="查询1" displayName="查询1" ref="A1:B1536" tableType="queryTable" totalsRowShown="0">
  <autoFilter ref="A1:B1536" xr:uid="{00000000-0009-0000-0100-000001000000}"/>
  <tableColumns count="2">
    <tableColumn id="1" xr3:uid="{00000000-0010-0000-1000-000001000000}" uniqueName="1" name="date" queryTableFieldId="1" dataDxfId="9"/>
    <tableColumn id="2" xr3:uid="{00000000-0010-0000-1000-000002000000}" uniqueName="2" name="value" queryTableFieldId="2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11000000}" name="查询2" displayName="查询2" ref="A1:B322" tableType="queryTable" totalsRowShown="0">
  <autoFilter ref="A1:B322" xr:uid="{00000000-0009-0000-0100-000002000000}"/>
  <tableColumns count="2">
    <tableColumn id="1" xr3:uid="{00000000-0010-0000-1100-000001000000}" uniqueName="1" name="date" queryTableFieldId="1" dataDxfId="8"/>
    <tableColumn id="2" xr3:uid="{00000000-0010-0000-1100-000002000000}" uniqueName="2" name="value" queryTableFieldId="2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12000000}" name="查询3" displayName="查询3" ref="A1:B1535" tableType="queryTable" totalsRowShown="0">
  <autoFilter ref="A1:B1535" xr:uid="{00000000-0009-0000-0100-000003000000}"/>
  <tableColumns count="2">
    <tableColumn id="1" xr3:uid="{00000000-0010-0000-1200-000001000000}" uniqueName="1" name="date" queryTableFieldId="1" dataDxfId="2"/>
    <tableColumn id="2" xr3:uid="{00000000-0010-0000-1200-000002000000}" uniqueName="2" name="value" queryTableField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api.stlouisfed.org/fred/series/observations,%20API%20is%20216cc2c0220dedeb572e8649f7a0ff0a,%20&#36890;&#36807;&#32654;&#32852;&#20648;&#30340;&#25968;&#25454;&#26469;&#29992;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showGridLines="0" workbookViewId="0">
      <pane ySplit="4" topLeftCell="A26" activePane="bottomLeft" state="frozen"/>
      <selection pane="bottomLeft" activeCell="F28" sqref="F28"/>
    </sheetView>
  </sheetViews>
  <sheetFormatPr defaultColWidth="9" defaultRowHeight="14.4" x14ac:dyDescent="0.25"/>
  <cols>
    <col min="1" max="1" width="14" customWidth="1"/>
    <col min="2" max="2" width="22" customWidth="1"/>
    <col min="3" max="3" width="14" customWidth="1"/>
    <col min="4" max="4" width="10" customWidth="1"/>
    <col min="5" max="5" width="18" customWidth="1"/>
    <col min="6" max="6" width="12" customWidth="1"/>
    <col min="7" max="7" width="10" customWidth="1"/>
    <col min="8" max="8" width="30" customWidth="1"/>
  </cols>
  <sheetData>
    <row r="1" spans="1:8" x14ac:dyDescent="0.25">
      <c r="A1" s="29" t="s">
        <v>0</v>
      </c>
      <c r="B1" s="30"/>
      <c r="C1" s="30"/>
      <c r="D1" s="30"/>
      <c r="E1" s="30"/>
      <c r="F1" s="30"/>
      <c r="G1" s="30"/>
      <c r="H1" s="30"/>
    </row>
    <row r="2" spans="1:8" x14ac:dyDescent="0.25">
      <c r="A2" s="31" t="s">
        <v>1</v>
      </c>
      <c r="B2" s="30"/>
      <c r="C2" s="30"/>
      <c r="D2" s="30"/>
      <c r="E2" s="30"/>
      <c r="F2" s="30"/>
      <c r="G2" s="30"/>
      <c r="H2" s="30"/>
    </row>
    <row r="5" spans="1:8" ht="28.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ht="28.8" x14ac:dyDescent="0.25">
      <c r="A6" s="4" t="s">
        <v>10</v>
      </c>
      <c r="B6" s="8" t="s">
        <v>11</v>
      </c>
      <c r="C6" s="18">
        <f>'1_Macro_Liquidity'!H11</f>
        <v>0</v>
      </c>
      <c r="D6" s="4"/>
      <c r="E6" s="4" t="s">
        <v>12</v>
      </c>
      <c r="F6" s="4" t="str">
        <f>IF(C6="","",IF(C6&gt;=2,"宽松",IF(C6&gt;=0,"中性","收紧")))</f>
        <v>中性</v>
      </c>
      <c r="G6" s="11">
        <f>IF(C6="","",IF(C6&gt;=2,1,IF(C6&gt;=0,0,-1)))</f>
        <v>0</v>
      </c>
      <c r="H6" s="8" t="s">
        <v>13</v>
      </c>
    </row>
    <row r="7" spans="1:8" ht="28.8" x14ac:dyDescent="0.25">
      <c r="A7" s="4" t="s">
        <v>10</v>
      </c>
      <c r="B7" s="8" t="s">
        <v>14</v>
      </c>
      <c r="C7" s="18">
        <f>'2_RealRate_Valuation'!B37</f>
        <v>-1</v>
      </c>
      <c r="D7" s="4"/>
      <c r="E7" s="4" t="s">
        <v>15</v>
      </c>
      <c r="F7" s="4" t="str">
        <f>IF(C7="","",IF(C7=1,"宽松",IF(C7=0,"中性","收紧")))</f>
        <v>收紧</v>
      </c>
      <c r="G7" s="11">
        <f>C7</f>
        <v>-1</v>
      </c>
      <c r="H7" s="8" t="s">
        <v>16</v>
      </c>
    </row>
    <row r="8" spans="1:8" x14ac:dyDescent="0.25">
      <c r="A8" s="4" t="s">
        <v>10</v>
      </c>
      <c r="B8" s="8" t="s">
        <v>17</v>
      </c>
      <c r="C8" s="18">
        <f>IFERROR(LOOKUP(2,1/('3_TGA_RRP'!F6:F35&lt;&gt;""),'3_TGA_RRP'!F6:F35),"")</f>
        <v>-1</v>
      </c>
      <c r="D8" s="4"/>
      <c r="E8" s="4" t="s">
        <v>18</v>
      </c>
      <c r="F8" s="4" t="str">
        <f>IF(C8="","",IF(C8=1,"释放",IF(C8=0,"中性","收缩")))</f>
        <v>收缩</v>
      </c>
      <c r="G8" s="11">
        <f>C8</f>
        <v>-1</v>
      </c>
      <c r="H8" s="8" t="s">
        <v>19</v>
      </c>
    </row>
    <row r="9" spans="1:8" ht="28.8" x14ac:dyDescent="0.25">
      <c r="A9" s="4" t="s">
        <v>20</v>
      </c>
      <c r="B9" s="8" t="s">
        <v>21</v>
      </c>
      <c r="C9" s="18">
        <f>'4_Micro_Fundamentals'!G25</f>
        <v>0.71450000000000002</v>
      </c>
      <c r="D9" s="4"/>
      <c r="E9" s="4" t="s">
        <v>22</v>
      </c>
      <c r="F9" s="4" t="str">
        <f>IF(C9="","",IF(C9&gt;=0.3,"强",IF(C9&gt;=0,"中","弱")))</f>
        <v>强</v>
      </c>
      <c r="G9" s="11">
        <f>IF(C9="","",IF(C9&gt;=0.3,1,IF(C9&gt;=0,0,-1)))</f>
        <v>1</v>
      </c>
      <c r="H9" s="8" t="s">
        <v>23</v>
      </c>
    </row>
    <row r="10" spans="1:8" ht="28.8" x14ac:dyDescent="0.25">
      <c r="A10" s="4" t="s">
        <v>24</v>
      </c>
      <c r="B10" s="8" t="s">
        <v>25</v>
      </c>
      <c r="C10" s="19">
        <f>'5_Price_Action'!B89</f>
        <v>0</v>
      </c>
      <c r="D10" s="4"/>
      <c r="E10" s="4" t="s">
        <v>26</v>
      </c>
      <c r="F10" s="4" t="str">
        <f>IF(C10="","",IF(C10&lt;0.3,"健康",IF(C10&lt;0.45,"警惕","风险")))</f>
        <v>健康</v>
      </c>
      <c r="G10" s="11">
        <f>IF(C10="","",IF(C10&lt;0.3,1,IF(C10&lt;0.45,0,-1)))</f>
        <v>1</v>
      </c>
      <c r="H10" s="8" t="s">
        <v>27</v>
      </c>
    </row>
    <row r="11" spans="1:8" ht="28.8" x14ac:dyDescent="0.25">
      <c r="A11" s="4" t="s">
        <v>24</v>
      </c>
      <c r="B11" s="8" t="s">
        <v>28</v>
      </c>
      <c r="C11" s="19">
        <f>'5_Price_Action'!B90</f>
        <v>0</v>
      </c>
      <c r="D11" s="4"/>
      <c r="E11" s="4" t="s">
        <v>29</v>
      </c>
      <c r="F11" s="4" t="str">
        <f>IF(C11="","",IF(C11&gt;0.25,"偏底部",IF(C11&gt;0.1,"中性","偏顶部")))</f>
        <v>偏顶部</v>
      </c>
      <c r="G11" s="11">
        <f>IF(C11="","",IF(C11&gt;0.25,1,IF(C11&gt;0.1,0,-1)))</f>
        <v>-1</v>
      </c>
      <c r="H11" s="8" t="s">
        <v>30</v>
      </c>
    </row>
    <row r="12" spans="1:8" ht="28.8" x14ac:dyDescent="0.25">
      <c r="A12" s="4" t="s">
        <v>31</v>
      </c>
      <c r="B12" s="8" t="s">
        <v>32</v>
      </c>
      <c r="C12" s="18" t="str">
        <f>'5_Price_Action'!B91</f>
        <v/>
      </c>
      <c r="D12" s="4"/>
      <c r="E12" s="4" t="s">
        <v>33</v>
      </c>
      <c r="F12" s="4" t="str">
        <f>IF(C12="","",IF(C12&gt;0.6,"良好",IF(C12&gt;0.4,"一般","较差")))</f>
        <v/>
      </c>
      <c r="G12" s="11" t="str">
        <f>IF(C12="","",IF(C12&gt;0.6,1,IF(C12&gt;0.4,0,-1)))</f>
        <v/>
      </c>
      <c r="H12" s="8" t="s">
        <v>34</v>
      </c>
    </row>
    <row r="14" spans="1:8" ht="28.8" x14ac:dyDescent="0.25">
      <c r="A14" s="20" t="s">
        <v>35</v>
      </c>
      <c r="B14" s="21">
        <f>SUM(G6:G12)</f>
        <v>-1</v>
      </c>
    </row>
    <row r="15" spans="1:8" x14ac:dyDescent="0.25">
      <c r="A15" s="20" t="s">
        <v>36</v>
      </c>
      <c r="B15" s="22">
        <f>SUM(G6:G8)</f>
        <v>-2</v>
      </c>
    </row>
    <row r="16" spans="1:8" ht="28.8" x14ac:dyDescent="0.25">
      <c r="A16" s="20" t="s">
        <v>37</v>
      </c>
      <c r="B16" s="22">
        <f>G9</f>
        <v>1</v>
      </c>
    </row>
    <row r="17" spans="1:8" ht="28.8" x14ac:dyDescent="0.25">
      <c r="A17" s="20" t="s">
        <v>38</v>
      </c>
      <c r="B17" s="23" t="e">
        <f ca="1">_xlfn.LET(_xlpm.liq,B15,_xlpm.fund,B16,_xlpm.liqState,IF(_xlpm.liq&gt;=2,"宽松",IF(_xlpm.liq&lt;=0,"收紧","中性")),IF(AND(_xlpm.liqState="宽松",_xlpm.fund=1),"主升浪",IF(AND(_xlpm.liqState="宽松",_xlpm.fund&lt;=0),"震荡",IF(AND(_xlpm.liqState="收紧",_xlpm.fund=1),"分化","双杀"))))</f>
        <v>#NAME?</v>
      </c>
    </row>
    <row r="19" spans="1:8" x14ac:dyDescent="0.25">
      <c r="A19" s="32" t="s">
        <v>39</v>
      </c>
      <c r="B19" s="30"/>
      <c r="C19" s="30"/>
      <c r="D19" s="30"/>
      <c r="E19" s="30"/>
      <c r="F19" s="30"/>
      <c r="G19" s="30"/>
      <c r="H19" s="30"/>
    </row>
    <row r="20" spans="1:8" x14ac:dyDescent="0.25">
      <c r="A20" s="33" t="s">
        <v>40</v>
      </c>
      <c r="B20" s="30"/>
      <c r="C20" s="30"/>
      <c r="D20" s="30"/>
      <c r="E20" s="30"/>
      <c r="F20" s="30"/>
      <c r="G20" s="30"/>
      <c r="H20" s="30"/>
    </row>
    <row r="32" spans="1:8" x14ac:dyDescent="0.25">
      <c r="D32" s="50" t="s">
        <v>376</v>
      </c>
    </row>
  </sheetData>
  <mergeCells count="4">
    <mergeCell ref="A1:H1"/>
    <mergeCell ref="A2:H2"/>
    <mergeCell ref="A19:H19"/>
    <mergeCell ref="A20:H20"/>
  </mergeCells>
  <phoneticPr fontId="9" type="noConversion"/>
  <conditionalFormatting sqref="B17">
    <cfRule type="expression" dxfId="7" priority="1">
      <formula>B17="主升浪"</formula>
    </cfRule>
    <cfRule type="expression" dxfId="6" priority="2">
      <formula>B17="震荡"</formula>
    </cfRule>
    <cfRule type="expression" dxfId="5" priority="3">
      <formula>B17="分化"</formula>
    </cfRule>
    <cfRule type="expression" dxfId="4" priority="4">
      <formula>B17="双杀"</formula>
    </cfRule>
  </conditionalFormatting>
  <hyperlinks>
    <hyperlink ref="D32" r:id="rId1" xr:uid="{37D802D3-CB42-405C-8D2A-57B4457440EF}"/>
  </hyperlinks>
  <pageMargins left="0.75" right="0.75" top="1" bottom="1" header="0.5" footer="0.5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showGridLines="0" workbookViewId="0">
      <pane ySplit="3" topLeftCell="A4" activePane="bottomLeft" state="frozen"/>
      <selection pane="bottomLeft" activeCell="G4" sqref="G4"/>
    </sheetView>
  </sheetViews>
  <sheetFormatPr defaultColWidth="9" defaultRowHeight="14.4" x14ac:dyDescent="0.25"/>
  <cols>
    <col min="1" max="1" width="18" customWidth="1"/>
    <col min="2" max="3" width="14" customWidth="1"/>
    <col min="4" max="4" width="10" customWidth="1"/>
    <col min="5" max="6" width="12" customWidth="1"/>
    <col min="7" max="7" width="34" customWidth="1"/>
    <col min="8" max="8" width="12" customWidth="1"/>
  </cols>
  <sheetData>
    <row r="1" spans="1:8" x14ac:dyDescent="0.25">
      <c r="A1" s="29" t="s">
        <v>41</v>
      </c>
      <c r="B1" s="30"/>
      <c r="C1" s="30"/>
      <c r="D1" s="30"/>
      <c r="E1" s="30"/>
      <c r="F1" s="30"/>
      <c r="G1" s="30"/>
      <c r="H1" s="30"/>
    </row>
    <row r="2" spans="1:8" x14ac:dyDescent="0.25">
      <c r="A2" s="31" t="s">
        <v>42</v>
      </c>
      <c r="B2" s="30"/>
      <c r="C2" s="30"/>
      <c r="D2" s="30"/>
      <c r="E2" s="30"/>
      <c r="F2" s="30"/>
      <c r="G2" s="30"/>
      <c r="H2" s="30"/>
    </row>
    <row r="3" spans="1:8" x14ac:dyDescent="0.25">
      <c r="A3" t="s">
        <v>43</v>
      </c>
      <c r="B3" s="14" t="s">
        <v>44</v>
      </c>
    </row>
    <row r="5" spans="1:8" ht="28.8" x14ac:dyDescent="0.25">
      <c r="A5" s="3" t="s">
        <v>3</v>
      </c>
      <c r="B5" s="3" t="s">
        <v>45</v>
      </c>
      <c r="C5" s="3" t="s">
        <v>46</v>
      </c>
      <c r="D5" s="3" t="s">
        <v>47</v>
      </c>
      <c r="E5" s="3" t="s">
        <v>48</v>
      </c>
      <c r="F5" s="3" t="s">
        <v>49</v>
      </c>
      <c r="G5" s="3" t="s">
        <v>50</v>
      </c>
      <c r="H5" s="3" t="s">
        <v>51</v>
      </c>
    </row>
    <row r="6" spans="1:8" ht="28.8" x14ac:dyDescent="0.25">
      <c r="A6" s="8" t="s">
        <v>52</v>
      </c>
      <c r="B6" s="14"/>
      <c r="C6" s="14"/>
      <c r="D6" s="15" t="str">
        <f>IF(OR(B6="",C6=""),"",B6-C6)</f>
        <v/>
      </c>
      <c r="E6" s="14" t="s">
        <v>53</v>
      </c>
      <c r="F6" s="15" t="str">
        <f>IF(B6="","",IF(D6&lt;0,1,IF(D6&gt;0,-1,0)))</f>
        <v/>
      </c>
      <c r="G6" s="8" t="s">
        <v>54</v>
      </c>
      <c r="H6" s="14"/>
    </row>
    <row r="7" spans="1:8" x14ac:dyDescent="0.25">
      <c r="A7" s="8" t="s">
        <v>55</v>
      </c>
      <c r="B7" s="14"/>
      <c r="C7" s="14"/>
      <c r="D7" s="15" t="str">
        <f>IF(OR(B7="",C7=""),"",B7-C7)</f>
        <v/>
      </c>
      <c r="E7" s="14" t="s">
        <v>56</v>
      </c>
      <c r="F7" s="15" t="str">
        <f>IF(B7="","",IF(D7&gt;0,-1,IF(D7&lt;0,1,0)))</f>
        <v/>
      </c>
      <c r="G7" s="8" t="s">
        <v>57</v>
      </c>
      <c r="H7" s="14"/>
    </row>
    <row r="8" spans="1:8" x14ac:dyDescent="0.25">
      <c r="A8" s="8" t="s">
        <v>58</v>
      </c>
      <c r="B8" s="14"/>
      <c r="C8" s="14"/>
      <c r="D8" s="15" t="str">
        <f>IF(OR(B8="",C8=""),"",B8-C8)</f>
        <v/>
      </c>
      <c r="E8" s="14" t="s">
        <v>59</v>
      </c>
      <c r="F8" s="15" t="str">
        <f>IF(B8="","",IF(D8&gt;0,-1,IF(D8&lt;0,1,0)))</f>
        <v/>
      </c>
      <c r="G8" s="8" t="s">
        <v>60</v>
      </c>
      <c r="H8" s="14"/>
    </row>
    <row r="9" spans="1:8" ht="28.8" x14ac:dyDescent="0.25">
      <c r="A9" s="8" t="s">
        <v>61</v>
      </c>
      <c r="B9" s="14"/>
      <c r="C9" s="14"/>
      <c r="D9" s="15" t="str">
        <f>IF(OR(B9="",C9=""),"",B9-C9)</f>
        <v/>
      </c>
      <c r="E9" s="14" t="s">
        <v>62</v>
      </c>
      <c r="F9" s="15" t="str">
        <f>IF(B9="","",IF(B9&gt;=2,-1,IF(B9=1,0,1)))</f>
        <v/>
      </c>
      <c r="G9" s="8" t="s">
        <v>63</v>
      </c>
      <c r="H9" s="14"/>
    </row>
    <row r="11" spans="1:8" x14ac:dyDescent="0.25">
      <c r="G11" s="17" t="s">
        <v>64</v>
      </c>
      <c r="H11" s="12">
        <f>SUM(F6:F9)</f>
        <v>0</v>
      </c>
    </row>
  </sheetData>
  <mergeCells count="2">
    <mergeCell ref="A1:H1"/>
    <mergeCell ref="A2:H2"/>
  </mergeCells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7"/>
  <sheetViews>
    <sheetView showGridLines="0" workbookViewId="0">
      <pane ySplit="4" topLeftCell="A29" activePane="bottomLeft" state="frozen"/>
      <selection pane="bottomLeft" activeCell="B6" sqref="B6"/>
    </sheetView>
  </sheetViews>
  <sheetFormatPr defaultColWidth="9" defaultRowHeight="14.4" x14ac:dyDescent="0.25"/>
  <cols>
    <col min="1" max="1" width="16" customWidth="1"/>
    <col min="2" max="2" width="30.5546875" customWidth="1"/>
    <col min="3" max="5" width="14" customWidth="1"/>
    <col min="6" max="6" width="12" customWidth="1"/>
    <col min="7" max="7" width="34" customWidth="1"/>
    <col min="8" max="8" width="12" customWidth="1"/>
    <col min="9" max="9" width="12.88671875" customWidth="1"/>
  </cols>
  <sheetData>
    <row r="1" spans="1:9" x14ac:dyDescent="0.25">
      <c r="A1" s="29" t="s">
        <v>65</v>
      </c>
      <c r="B1" s="30"/>
      <c r="C1" s="30"/>
      <c r="D1" s="30"/>
      <c r="E1" s="30"/>
      <c r="F1" s="30"/>
      <c r="G1" s="30"/>
      <c r="H1" s="30"/>
    </row>
    <row r="2" spans="1:9" x14ac:dyDescent="0.25">
      <c r="A2" s="31" t="s">
        <v>66</v>
      </c>
      <c r="B2" s="30"/>
      <c r="C2" s="30"/>
      <c r="D2" s="30"/>
      <c r="E2" s="30"/>
      <c r="F2" s="30"/>
      <c r="G2" s="30"/>
      <c r="H2" s="30"/>
    </row>
    <row r="3" spans="1:9" ht="81" customHeight="1" x14ac:dyDescent="0.25">
      <c r="A3" s="34" t="s">
        <v>67</v>
      </c>
      <c r="B3" s="35"/>
      <c r="C3" s="35"/>
      <c r="D3" s="35"/>
      <c r="E3" s="35"/>
      <c r="F3" s="35"/>
      <c r="G3" s="35"/>
      <c r="H3" s="35"/>
    </row>
    <row r="5" spans="1:9" ht="28.8" x14ac:dyDescent="0.25">
      <c r="A5" s="3" t="s">
        <v>68</v>
      </c>
      <c r="B5" s="3" t="s">
        <v>69</v>
      </c>
      <c r="C5" s="3" t="s">
        <v>70</v>
      </c>
      <c r="D5" s="3" t="s">
        <v>47</v>
      </c>
      <c r="E5" s="3" t="s">
        <v>71</v>
      </c>
      <c r="F5" s="3" t="s">
        <v>49</v>
      </c>
      <c r="G5" s="3" t="s">
        <v>72</v>
      </c>
      <c r="H5" s="3" t="s">
        <v>73</v>
      </c>
    </row>
    <row r="6" spans="1:9" x14ac:dyDescent="0.25">
      <c r="A6" s="13">
        <f>INDEX(pq_tips_dfii10!$A:$A,COUNT(pq_tips_dfii10!$A:$A)-34+ROW())</f>
        <v>46031</v>
      </c>
      <c r="B6" s="14">
        <f>VLOOKUP(A6,查询1[],2,FALSE)</f>
        <v>1.9</v>
      </c>
      <c r="C6" s="14">
        <f>VLOOKUP(I6,查询1[],2,FALSE)</f>
        <v>1.92</v>
      </c>
      <c r="D6" s="15">
        <f t="shared" ref="D6:D35" si="0">IF(OR(B6="",C6=""),"",B6-C6)</f>
        <v>-2.0000000000000018E-2</v>
      </c>
      <c r="E6" s="14">
        <v>1.5</v>
      </c>
      <c r="F6" s="15">
        <f t="shared" ref="F6:F35" si="1">IF(B6="","",IF(B6&lt;=E6,1,IF(B6&lt;=E6+0.25,0,-1)))</f>
        <v>-1</v>
      </c>
      <c r="G6" s="8"/>
      <c r="H6" s="14"/>
      <c r="I6" s="16">
        <f>[1]!TDaysOffset(A6,"Period=M","Offset=-1")</f>
        <v>46000</v>
      </c>
    </row>
    <row r="7" spans="1:9" x14ac:dyDescent="0.25">
      <c r="A7" s="13">
        <f>INDEX(pq_tips_dfii10!$A:$A,COUNT(pq_tips_dfii10!$A:$A)-34+ROW())</f>
        <v>46034</v>
      </c>
      <c r="B7" s="14">
        <f>VLOOKUP(A7,查询1[],2,FALSE)</f>
        <v>1.9</v>
      </c>
      <c r="C7" s="14">
        <f>VLOOKUP(I7,查询1[],2,FALSE)</f>
        <v>1.93</v>
      </c>
      <c r="D7" s="15">
        <f t="shared" si="0"/>
        <v>-3.0000000000000027E-2</v>
      </c>
      <c r="E7" s="14">
        <v>1.5</v>
      </c>
      <c r="F7" s="15">
        <f t="shared" si="1"/>
        <v>-1</v>
      </c>
      <c r="G7" s="8"/>
      <c r="H7" s="14"/>
      <c r="I7" s="16">
        <f>[1]!TDaysOffset(A7,"Period=M","Offset=-1")</f>
        <v>46003</v>
      </c>
    </row>
    <row r="8" spans="1:9" x14ac:dyDescent="0.25">
      <c r="A8" s="13">
        <f>INDEX(pq_tips_dfii10!$A:$A,COUNT(pq_tips_dfii10!$A:$A)-34+ROW())</f>
        <v>46035</v>
      </c>
      <c r="B8" s="14">
        <f>VLOOKUP(A8,查询1[],2,FALSE)</f>
        <v>1.88</v>
      </c>
      <c r="C8" s="14">
        <f>VLOOKUP(I8,查询1[],2,FALSE)</f>
        <v>1.93</v>
      </c>
      <c r="D8" s="15">
        <f t="shared" si="0"/>
        <v>-5.0000000000000044E-2</v>
      </c>
      <c r="E8" s="14">
        <v>1.5</v>
      </c>
      <c r="F8" s="15">
        <f t="shared" si="1"/>
        <v>-1</v>
      </c>
      <c r="G8" s="8"/>
      <c r="H8" s="14"/>
      <c r="I8" s="16">
        <f>[1]!TDaysOffset(A8,"Period=M","Offset=-1")</f>
        <v>46003</v>
      </c>
    </row>
    <row r="9" spans="1:9" x14ac:dyDescent="0.25">
      <c r="A9" s="13">
        <f>INDEX(pq_tips_dfii10!$A:$A,COUNT(pq_tips_dfii10!$A:$A)-34+ROW())</f>
        <v>46036</v>
      </c>
      <c r="B9" s="14">
        <f>VLOOKUP(A9,查询1[],2,FALSE)</f>
        <v>1.86</v>
      </c>
      <c r="C9" s="14">
        <f>VLOOKUP(I9,查询1[],2,FALSE)</f>
        <v>1.93</v>
      </c>
      <c r="D9" s="15">
        <f t="shared" si="0"/>
        <v>-6.999999999999984E-2</v>
      </c>
      <c r="E9" s="14">
        <v>1.5</v>
      </c>
      <c r="F9" s="15">
        <f t="shared" si="1"/>
        <v>-1</v>
      </c>
      <c r="G9" s="8"/>
      <c r="H9" s="14"/>
      <c r="I9" s="16">
        <f>[1]!TDaysOffset(A9,"Period=M","Offset=-1")</f>
        <v>46003</v>
      </c>
    </row>
    <row r="10" spans="1:9" x14ac:dyDescent="0.25">
      <c r="A10" s="13">
        <f>INDEX(pq_tips_dfii10!$A:$A,COUNT(pq_tips_dfii10!$A:$A)-34+ROW())</f>
        <v>46037</v>
      </c>
      <c r="B10" s="14">
        <f>VLOOKUP(A10,查询1[],2,FALSE)</f>
        <v>1.88</v>
      </c>
      <c r="C10" s="14">
        <f>VLOOKUP(I10,查询1[],2,FALSE)</f>
        <v>1.93</v>
      </c>
      <c r="D10" s="15">
        <f t="shared" si="0"/>
        <v>-5.0000000000000044E-2</v>
      </c>
      <c r="E10" s="14">
        <v>1.5</v>
      </c>
      <c r="F10" s="15">
        <f t="shared" si="1"/>
        <v>-1</v>
      </c>
      <c r="G10" s="8"/>
      <c r="H10" s="14"/>
      <c r="I10" s="16">
        <f>[1]!TDaysOffset(A10,"Period=M","Offset=-1")</f>
        <v>46006</v>
      </c>
    </row>
    <row r="11" spans="1:9" x14ac:dyDescent="0.25">
      <c r="A11" s="13">
        <f>INDEX(pq_tips_dfii10!$A:$A,COUNT(pq_tips_dfii10!$A:$A)-34+ROW())</f>
        <v>46038</v>
      </c>
      <c r="B11" s="14">
        <f>VLOOKUP(A11,查询1[],2,FALSE)</f>
        <v>1.91</v>
      </c>
      <c r="C11" s="14">
        <f>VLOOKUP(I11,查询1[],2,FALSE)</f>
        <v>1.92</v>
      </c>
      <c r="D11" s="15">
        <f t="shared" si="0"/>
        <v>-1.0000000000000009E-2</v>
      </c>
      <c r="E11" s="14">
        <v>1.5</v>
      </c>
      <c r="F11" s="15">
        <f t="shared" si="1"/>
        <v>-1</v>
      </c>
      <c r="G11" s="8"/>
      <c r="H11" s="14"/>
      <c r="I11" s="16">
        <f>[1]!TDaysOffset(A11,"Period=M","Offset=-1")</f>
        <v>46007</v>
      </c>
    </row>
    <row r="12" spans="1:9" x14ac:dyDescent="0.25">
      <c r="A12" s="13">
        <f>INDEX(pq_tips_dfii10!$A:$A,COUNT(pq_tips_dfii10!$A:$A)-34+ROW())</f>
        <v>46042</v>
      </c>
      <c r="B12" s="14">
        <f>VLOOKUP(A12,查询1[],2,FALSE)</f>
        <v>1.97</v>
      </c>
      <c r="C12" s="14">
        <f>VLOOKUP(I12,查询1[],2,FALSE)</f>
        <v>1.92</v>
      </c>
      <c r="D12" s="15">
        <f t="shared" si="0"/>
        <v>5.0000000000000044E-2</v>
      </c>
      <c r="E12" s="14">
        <v>1.5</v>
      </c>
      <c r="F12" s="15">
        <f t="shared" si="1"/>
        <v>-1</v>
      </c>
      <c r="G12" s="8"/>
      <c r="H12" s="14"/>
      <c r="I12" s="16">
        <f>[1]!TDaysOffset(A12,"Period=M","Offset=-1")</f>
        <v>46010</v>
      </c>
    </row>
    <row r="13" spans="1:9" x14ac:dyDescent="0.25">
      <c r="A13" s="13">
        <f>INDEX(pq_tips_dfii10!$A:$A,COUNT(pq_tips_dfii10!$A:$A)-34+ROW())</f>
        <v>46043</v>
      </c>
      <c r="B13" s="14">
        <f>VLOOKUP(A13,查询1[],2,FALSE)</f>
        <v>1.92</v>
      </c>
      <c r="C13" s="14">
        <f>VLOOKUP(I13,查询1[],2,FALSE)</f>
        <v>1.92</v>
      </c>
      <c r="D13" s="15">
        <f t="shared" si="0"/>
        <v>0</v>
      </c>
      <c r="E13" s="14">
        <v>1.5</v>
      </c>
      <c r="F13" s="15">
        <f t="shared" si="1"/>
        <v>-1</v>
      </c>
      <c r="G13" s="8"/>
      <c r="H13" s="14"/>
      <c r="I13" s="16">
        <f>[1]!TDaysOffset(A13,"Period=M","Offset=-1")</f>
        <v>46010</v>
      </c>
    </row>
    <row r="14" spans="1:9" x14ac:dyDescent="0.25">
      <c r="A14" s="13">
        <f>INDEX(pq_tips_dfii10!$A:$A,COUNT(pq_tips_dfii10!$A:$A)-34+ROW())</f>
        <v>46044</v>
      </c>
      <c r="B14" s="14">
        <f>VLOOKUP(A14,查询1[],2,FALSE)</f>
        <v>1.95</v>
      </c>
      <c r="C14" s="14">
        <f>VLOOKUP(I14,查询1[],2,FALSE)</f>
        <v>1.94</v>
      </c>
      <c r="D14" s="15">
        <f t="shared" si="0"/>
        <v>1.0000000000000009E-2</v>
      </c>
      <c r="E14" s="14">
        <v>1.5</v>
      </c>
      <c r="F14" s="15">
        <f t="shared" si="1"/>
        <v>-1</v>
      </c>
      <c r="G14" s="8"/>
      <c r="H14" s="14"/>
      <c r="I14" s="16">
        <f>[1]!TDaysOffset(A14,"Period=M","Offset=-1")</f>
        <v>46013</v>
      </c>
    </row>
    <row r="15" spans="1:9" x14ac:dyDescent="0.25">
      <c r="A15" s="13">
        <f>INDEX(pq_tips_dfii10!$A:$A,COUNT(pq_tips_dfii10!$A:$A)-34+ROW())</f>
        <v>46045</v>
      </c>
      <c r="B15" s="14">
        <f>VLOOKUP(A15,查询1[],2,FALSE)</f>
        <v>1.92</v>
      </c>
      <c r="C15" s="14">
        <f>VLOOKUP(I15,查询1[],2,FALSE)</f>
        <v>1.94</v>
      </c>
      <c r="D15" s="15">
        <f t="shared" si="0"/>
        <v>-2.0000000000000018E-2</v>
      </c>
      <c r="E15" s="14">
        <v>1.5</v>
      </c>
      <c r="F15" s="15">
        <f t="shared" si="1"/>
        <v>-1</v>
      </c>
      <c r="G15" s="8"/>
      <c r="H15" s="14"/>
      <c r="I15" s="16">
        <f>[1]!TDaysOffset(A15,"Period=M","Offset=-1")</f>
        <v>46014</v>
      </c>
    </row>
    <row r="16" spans="1:9" x14ac:dyDescent="0.25">
      <c r="A16" s="13">
        <f>INDEX(pq_tips_dfii10!$A:$A,COUNT(pq_tips_dfii10!$A:$A)-34+ROW())</f>
        <v>46048</v>
      </c>
      <c r="B16" s="14">
        <f>VLOOKUP(A16,查询1[],2,FALSE)</f>
        <v>1.9</v>
      </c>
      <c r="C16" s="14">
        <f>VLOOKUP(I16,查询1[],2,FALSE)</f>
        <v>1.91</v>
      </c>
      <c r="D16" s="15">
        <f t="shared" si="0"/>
        <v>-1.0000000000000009E-2</v>
      </c>
      <c r="E16" s="14">
        <v>1.5</v>
      </c>
      <c r="F16" s="15">
        <f t="shared" si="1"/>
        <v>-1</v>
      </c>
      <c r="G16" s="8"/>
      <c r="H16" s="14"/>
      <c r="I16" s="16">
        <f>[1]!TDaysOffset(A16,"Period=M","Offset=-1")</f>
        <v>46017</v>
      </c>
    </row>
    <row r="17" spans="1:9" x14ac:dyDescent="0.25">
      <c r="A17" s="13">
        <f>INDEX(pq_tips_dfii10!$A:$A,COUNT(pq_tips_dfii10!$A:$A)-34+ROW())</f>
        <v>46049</v>
      </c>
      <c r="B17" s="14">
        <f>VLOOKUP(A17,查询1[],2,FALSE)</f>
        <v>1.9</v>
      </c>
      <c r="C17" s="14">
        <f>VLOOKUP(I17,查询1[],2,FALSE)</f>
        <v>1.91</v>
      </c>
      <c r="D17" s="15">
        <f t="shared" si="0"/>
        <v>-1.0000000000000009E-2</v>
      </c>
      <c r="E17" s="14">
        <v>1.5</v>
      </c>
      <c r="F17" s="15">
        <f t="shared" si="1"/>
        <v>-1</v>
      </c>
      <c r="G17" s="8"/>
      <c r="H17" s="14"/>
      <c r="I17" s="16">
        <f>[1]!TDaysOffset(A17,"Period=M","Offset=-1")</f>
        <v>46017</v>
      </c>
    </row>
    <row r="18" spans="1:9" x14ac:dyDescent="0.25">
      <c r="A18" s="13">
        <f>INDEX(pq_tips_dfii10!$A:$A,COUNT(pq_tips_dfii10!$A:$A)-34+ROW())</f>
        <v>46050</v>
      </c>
      <c r="B18" s="14">
        <f>VLOOKUP(A18,查询1[],2,FALSE)</f>
        <v>1.9</v>
      </c>
      <c r="C18" s="14">
        <f>VLOOKUP(I18,查询1[],2,FALSE)</f>
        <v>1.91</v>
      </c>
      <c r="D18" s="15">
        <f t="shared" si="0"/>
        <v>-1.0000000000000009E-2</v>
      </c>
      <c r="E18" s="14">
        <v>1.5</v>
      </c>
      <c r="F18" s="15">
        <f t="shared" si="1"/>
        <v>-1</v>
      </c>
      <c r="G18" s="8"/>
      <c r="H18" s="14"/>
      <c r="I18" s="16">
        <f>[1]!TDaysOffset(A18,"Period=M","Offset=-1")</f>
        <v>46017</v>
      </c>
    </row>
    <row r="19" spans="1:9" x14ac:dyDescent="0.25">
      <c r="A19" s="13">
        <f>INDEX(pq_tips_dfii10!$A:$A,COUNT(pq_tips_dfii10!$A:$A)-34+ROW())</f>
        <v>46051</v>
      </c>
      <c r="B19" s="14">
        <f>VLOOKUP(A19,查询1[],2,FALSE)</f>
        <v>1.89</v>
      </c>
      <c r="C19" s="14">
        <f>VLOOKUP(I19,查询1[],2,FALSE)</f>
        <v>1.9</v>
      </c>
      <c r="D19" s="15">
        <f t="shared" si="0"/>
        <v>-1.0000000000000009E-2</v>
      </c>
      <c r="E19" s="14">
        <v>1.5</v>
      </c>
      <c r="F19" s="15">
        <f t="shared" si="1"/>
        <v>-1</v>
      </c>
      <c r="G19" s="8"/>
      <c r="H19" s="14"/>
      <c r="I19" s="16">
        <f>[1]!TDaysOffset(A19,"Period=M","Offset=-1")</f>
        <v>46020</v>
      </c>
    </row>
    <row r="20" spans="1:9" x14ac:dyDescent="0.25">
      <c r="A20" s="13">
        <f>INDEX(pq_tips_dfii10!$A:$A,COUNT(pq_tips_dfii10!$A:$A)-34+ROW())</f>
        <v>46052</v>
      </c>
      <c r="B20" s="14">
        <f>VLOOKUP(A20,查询1[],2,FALSE)</f>
        <v>1.9</v>
      </c>
      <c r="C20" s="14">
        <f>VLOOKUP(I20,查询1[],2,FALSE)</f>
        <v>1.9</v>
      </c>
      <c r="D20" s="15">
        <f t="shared" si="0"/>
        <v>0</v>
      </c>
      <c r="E20" s="14">
        <v>1.5</v>
      </c>
      <c r="F20" s="15">
        <f t="shared" si="1"/>
        <v>-1</v>
      </c>
      <c r="G20" s="8"/>
      <c r="H20" s="14"/>
      <c r="I20" s="16">
        <f>[1]!TDaysOffset(A20,"Period=M","Offset=-1")</f>
        <v>46021</v>
      </c>
    </row>
    <row r="21" spans="1:9" x14ac:dyDescent="0.25">
      <c r="A21" s="13">
        <f>INDEX(pq_tips_dfii10!$A:$A,COUNT(pq_tips_dfii10!$A:$A)-34+ROW())</f>
        <v>46055</v>
      </c>
      <c r="B21" s="14">
        <f>VLOOKUP(A21,查询1[],2,FALSE)</f>
        <v>1.94</v>
      </c>
      <c r="C21" s="14">
        <f>VLOOKUP(I21,查询1[],2,FALSE)</f>
        <v>1.93</v>
      </c>
      <c r="D21" s="15">
        <f t="shared" si="0"/>
        <v>1.0000000000000009E-2</v>
      </c>
      <c r="E21" s="14">
        <v>1.5</v>
      </c>
      <c r="F21" s="15">
        <f t="shared" si="1"/>
        <v>-1</v>
      </c>
      <c r="G21" s="8"/>
      <c r="H21" s="14"/>
      <c r="I21" s="16">
        <f>[1]!TDaysOffset(A21,"Period=M","Offset=-1")</f>
        <v>46022</v>
      </c>
    </row>
    <row r="22" spans="1:9" x14ac:dyDescent="0.25">
      <c r="A22" s="13">
        <f>INDEX(pq_tips_dfii10!$A:$A,COUNT(pq_tips_dfii10!$A:$A)-34+ROW())</f>
        <v>46056</v>
      </c>
      <c r="B22" s="14">
        <f>VLOOKUP(A22,查询1[],2,FALSE)</f>
        <v>1.92</v>
      </c>
      <c r="C22" s="14">
        <f>VLOOKUP(I22,查询1[],2,FALSE)</f>
        <v>1.93</v>
      </c>
      <c r="D22" s="15">
        <f t="shared" si="0"/>
        <v>-1.0000000000000009E-2</v>
      </c>
      <c r="E22" s="14">
        <v>1.5</v>
      </c>
      <c r="F22" s="15">
        <f t="shared" si="1"/>
        <v>-1</v>
      </c>
      <c r="G22" s="8"/>
      <c r="H22" s="14"/>
      <c r="I22" s="16">
        <f>[1]!TDaysOffset(A22,"Period=M","Offset=-1")</f>
        <v>46022</v>
      </c>
    </row>
    <row r="23" spans="1:9" x14ac:dyDescent="0.25">
      <c r="A23" s="13">
        <f>INDEX(pq_tips_dfii10!$A:$A,COUNT(pq_tips_dfii10!$A:$A)-34+ROW())</f>
        <v>46057</v>
      </c>
      <c r="B23" s="14">
        <f>VLOOKUP(A23,查询1[],2,FALSE)</f>
        <v>1.94</v>
      </c>
      <c r="C23" s="14">
        <f>VLOOKUP(I23,查询1[],2,FALSE)</f>
        <v>1.93</v>
      </c>
      <c r="D23" s="15">
        <f t="shared" si="0"/>
        <v>1.0000000000000009E-2</v>
      </c>
      <c r="E23" s="14">
        <v>1.5</v>
      </c>
      <c r="F23" s="15">
        <f t="shared" si="1"/>
        <v>-1</v>
      </c>
      <c r="G23" s="8"/>
      <c r="H23" s="14"/>
      <c r="I23" s="16">
        <f>[1]!TDaysOffset(A23,"Period=M","Offset=-1")</f>
        <v>46022</v>
      </c>
    </row>
    <row r="24" spans="1:9" x14ac:dyDescent="0.25">
      <c r="A24" s="13">
        <f>INDEX(pq_tips_dfii10!$A:$A,COUNT(pq_tips_dfii10!$A:$A)-34+ROW())</f>
        <v>46058</v>
      </c>
      <c r="B24" s="14">
        <f>VLOOKUP(A24,查询1[],2,FALSE)</f>
        <v>1.89</v>
      </c>
      <c r="C24" s="14">
        <f>VLOOKUP(I24,查询1[],2,FALSE)</f>
        <v>1.91</v>
      </c>
      <c r="D24" s="15">
        <f t="shared" si="0"/>
        <v>-2.0000000000000018E-2</v>
      </c>
      <c r="E24" s="14">
        <v>1.5</v>
      </c>
      <c r="F24" s="15">
        <f t="shared" si="1"/>
        <v>-1</v>
      </c>
      <c r="G24" s="8"/>
      <c r="H24" s="14"/>
      <c r="I24" s="16">
        <f>[1]!TDaysOffset(A24,"Period=M","Offset=-1")</f>
        <v>46027</v>
      </c>
    </row>
    <row r="25" spans="1:9" x14ac:dyDescent="0.25">
      <c r="A25" s="13">
        <f>INDEX(pq_tips_dfii10!$A:$A,COUNT(pq_tips_dfii10!$A:$A)-34+ROW())</f>
        <v>46059</v>
      </c>
      <c r="B25" s="14">
        <f>VLOOKUP(A25,查询1[],2,FALSE)</f>
        <v>1.88</v>
      </c>
      <c r="C25" s="14">
        <f>VLOOKUP(I25,查询1[],2,FALSE)</f>
        <v>1.91</v>
      </c>
      <c r="D25" s="15">
        <f t="shared" si="0"/>
        <v>-3.0000000000000027E-2</v>
      </c>
      <c r="E25" s="14">
        <v>1.5</v>
      </c>
      <c r="F25" s="15">
        <f t="shared" si="1"/>
        <v>-1</v>
      </c>
      <c r="G25" s="8"/>
      <c r="H25" s="14"/>
      <c r="I25" s="16">
        <f>[1]!TDaysOffset(A25,"Period=M","Offset=-1")</f>
        <v>46028</v>
      </c>
    </row>
    <row r="26" spans="1:9" x14ac:dyDescent="0.25">
      <c r="A26" s="13">
        <f>INDEX(pq_tips_dfii10!$A:$A,COUNT(pq_tips_dfii10!$A:$A)-34+ROW())</f>
        <v>46062</v>
      </c>
      <c r="B26" s="14">
        <f>VLOOKUP(A26,查询1[],2,FALSE)</f>
        <v>1.87</v>
      </c>
      <c r="C26" s="14">
        <f>VLOOKUP(I26,查询1[],2,FALSE)</f>
        <v>1.9</v>
      </c>
      <c r="D26" s="15">
        <f t="shared" si="0"/>
        <v>-2.9999999999999805E-2</v>
      </c>
      <c r="E26" s="14">
        <v>1.5</v>
      </c>
      <c r="F26" s="15">
        <f t="shared" si="1"/>
        <v>-1</v>
      </c>
      <c r="G26" s="8"/>
      <c r="H26" s="14"/>
      <c r="I26" s="16">
        <f>[1]!TDaysOffset(A26,"Period=M","Offset=-1")</f>
        <v>46031</v>
      </c>
    </row>
    <row r="27" spans="1:9" x14ac:dyDescent="0.25">
      <c r="A27" s="13">
        <f>INDEX(pq_tips_dfii10!$A:$A,COUNT(pq_tips_dfii10!$A:$A)-34+ROW())</f>
        <v>46063</v>
      </c>
      <c r="B27" s="14">
        <f>VLOOKUP(A27,查询1[],2,FALSE)</f>
        <v>1.84</v>
      </c>
      <c r="C27" s="14">
        <f>VLOOKUP(I27,查询1[],2,FALSE)</f>
        <v>1.9</v>
      </c>
      <c r="D27" s="15">
        <f t="shared" si="0"/>
        <v>-5.9999999999999831E-2</v>
      </c>
      <c r="E27" s="14">
        <v>1.5</v>
      </c>
      <c r="F27" s="15">
        <f t="shared" si="1"/>
        <v>-1</v>
      </c>
      <c r="G27" s="8"/>
      <c r="H27" s="14"/>
      <c r="I27" s="16">
        <f>[1]!TDaysOffset(A27,"Period=M","Offset=-1")</f>
        <v>46031</v>
      </c>
    </row>
    <row r="28" spans="1:9" x14ac:dyDescent="0.25">
      <c r="A28" s="13">
        <f>INDEX(pq_tips_dfii10!$A:$A,COUNT(pq_tips_dfii10!$A:$A)-34+ROW())</f>
        <v>46064</v>
      </c>
      <c r="B28" s="14">
        <f>VLOOKUP(A28,查询1[],2,FALSE)</f>
        <v>1.86</v>
      </c>
      <c r="C28" s="14">
        <f>VLOOKUP(I28,查询1[],2,FALSE)</f>
        <v>1.9</v>
      </c>
      <c r="D28" s="15">
        <f t="shared" si="0"/>
        <v>-3.9999999999999813E-2</v>
      </c>
      <c r="E28" s="14">
        <v>1.5</v>
      </c>
      <c r="F28" s="15">
        <f t="shared" si="1"/>
        <v>-1</v>
      </c>
      <c r="G28" s="8"/>
      <c r="H28" s="14"/>
      <c r="I28" s="16">
        <f>[1]!TDaysOffset(A28,"Period=M","Offset=-1")</f>
        <v>46031</v>
      </c>
    </row>
    <row r="29" spans="1:9" x14ac:dyDescent="0.25">
      <c r="A29" s="13">
        <f>INDEX(pq_tips_dfii10!$A:$A,COUNT(pq_tips_dfii10!$A:$A)-34+ROW())</f>
        <v>46065</v>
      </c>
      <c r="B29" s="14">
        <f>VLOOKUP(A29,查询1[],2,FALSE)</f>
        <v>1.8</v>
      </c>
      <c r="C29" s="14">
        <f>VLOOKUP(I29,查询1[],2,FALSE)</f>
        <v>1.9</v>
      </c>
      <c r="D29" s="15">
        <f t="shared" si="0"/>
        <v>-9.9999999999999867E-2</v>
      </c>
      <c r="E29" s="14">
        <v>1.5</v>
      </c>
      <c r="F29" s="15">
        <f t="shared" si="1"/>
        <v>-1</v>
      </c>
      <c r="G29" s="8"/>
      <c r="H29" s="14"/>
      <c r="I29" s="16">
        <f>[1]!TDaysOffset(A29,"Period=M","Offset=-1")</f>
        <v>46034</v>
      </c>
    </row>
    <row r="30" spans="1:9" x14ac:dyDescent="0.25">
      <c r="A30" s="13">
        <f>INDEX(pq_tips_dfii10!$A:$A,COUNT(pq_tips_dfii10!$A:$A)-34+ROW())</f>
        <v>46066</v>
      </c>
      <c r="B30" s="14">
        <f>VLOOKUP(A30,查询1[],2,FALSE)</f>
        <v>1.77</v>
      </c>
      <c r="C30" s="14">
        <f>VLOOKUP(I30,查询1[],2,FALSE)</f>
        <v>1.88</v>
      </c>
      <c r="D30" s="15">
        <f t="shared" si="0"/>
        <v>-0.10999999999999988</v>
      </c>
      <c r="E30" s="14">
        <v>1.5</v>
      </c>
      <c r="F30" s="15">
        <f t="shared" si="1"/>
        <v>-1</v>
      </c>
      <c r="G30" s="8"/>
      <c r="H30" s="14"/>
      <c r="I30" s="16">
        <f>[1]!TDaysOffset(A30,"Period=M","Offset=-1")</f>
        <v>46035</v>
      </c>
    </row>
    <row r="31" spans="1:9" x14ac:dyDescent="0.25">
      <c r="A31" s="13">
        <f>INDEX(pq_tips_dfii10!$A:$A,COUNT(pq_tips_dfii10!$A:$A)-34+ROW())</f>
        <v>46070</v>
      </c>
      <c r="B31" s="14">
        <f>VLOOKUP(A31,查询1[],2,FALSE)</f>
        <v>1.79</v>
      </c>
      <c r="C31" s="14">
        <f>VLOOKUP(I31,查询1[],2,FALSE)</f>
        <v>1.91</v>
      </c>
      <c r="D31" s="15">
        <f t="shared" si="0"/>
        <v>-0.11999999999999988</v>
      </c>
      <c r="E31" s="14">
        <v>1.5</v>
      </c>
      <c r="F31" s="15">
        <f t="shared" si="1"/>
        <v>-1</v>
      </c>
      <c r="G31" s="8"/>
      <c r="H31" s="14"/>
      <c r="I31" s="16">
        <f>[1]!TDaysOffset(A31,"Period=M","Offset=-1")</f>
        <v>46038</v>
      </c>
    </row>
    <row r="32" spans="1:9" x14ac:dyDescent="0.25">
      <c r="A32" s="13">
        <f>INDEX(pq_tips_dfii10!$A:$A,COUNT(pq_tips_dfii10!$A:$A)-34+ROW())</f>
        <v>46071</v>
      </c>
      <c r="B32" s="14">
        <f>VLOOKUP(A32,查询1[],2,FALSE)</f>
        <v>1.8</v>
      </c>
      <c r="C32" s="14">
        <f>VLOOKUP(I32,查询1[],2,FALSE)</f>
        <v>1.91</v>
      </c>
      <c r="D32" s="15">
        <f t="shared" si="0"/>
        <v>-0.10999999999999988</v>
      </c>
      <c r="E32" s="14">
        <v>1.5</v>
      </c>
      <c r="F32" s="15">
        <f t="shared" si="1"/>
        <v>-1</v>
      </c>
      <c r="G32" s="8"/>
      <c r="H32" s="14"/>
      <c r="I32" s="16">
        <f>[1]!TDaysOffset(A32,"Period=M","Offset=-1")</f>
        <v>46038</v>
      </c>
    </row>
    <row r="33" spans="1:9" x14ac:dyDescent="0.25">
      <c r="A33" s="13">
        <f>INDEX(pq_tips_dfii10!$A:$A,COUNT(pq_tips_dfii10!$A:$A)-34+ROW())</f>
        <v>46072</v>
      </c>
      <c r="B33" s="14">
        <f>VLOOKUP(A33,查询1[],2,FALSE)</f>
        <v>1.79</v>
      </c>
      <c r="C33" s="14" t="e">
        <f>VLOOKUP(I33,查询1[],2,FALSE)</f>
        <v>#N/A</v>
      </c>
      <c r="D33" s="15" t="e">
        <f t="shared" si="0"/>
        <v>#N/A</v>
      </c>
      <c r="E33" s="14">
        <v>1.5</v>
      </c>
      <c r="F33" s="15">
        <f t="shared" si="1"/>
        <v>-1</v>
      </c>
      <c r="G33" s="8"/>
      <c r="H33" s="14"/>
      <c r="I33" s="16">
        <f>[1]!TDaysOffset(A33,"Period=M","Offset=-1")</f>
        <v>46041</v>
      </c>
    </row>
    <row r="34" spans="1:9" x14ac:dyDescent="0.25">
      <c r="A34" s="13">
        <f>INDEX(pq_tips_dfii10!$A:$A,COUNT(pq_tips_dfii10!$A:$A)-34+ROW())</f>
        <v>46073</v>
      </c>
      <c r="B34" s="14">
        <f>VLOOKUP(A34,查询1[],2,FALSE)</f>
        <v>1.8</v>
      </c>
      <c r="C34" s="14">
        <f>VLOOKUP(I34,查询1[],2,FALSE)</f>
        <v>1.97</v>
      </c>
      <c r="D34" s="15">
        <f t="shared" si="0"/>
        <v>-0.16999999999999993</v>
      </c>
      <c r="E34" s="14">
        <v>1.5</v>
      </c>
      <c r="F34" s="15">
        <f t="shared" si="1"/>
        <v>-1</v>
      </c>
      <c r="G34" s="8"/>
      <c r="H34" s="14"/>
      <c r="I34" s="16">
        <f>[1]!TDaysOffset(A34,"Period=M","Offset=-1")</f>
        <v>46042</v>
      </c>
    </row>
    <row r="35" spans="1:9" x14ac:dyDescent="0.25">
      <c r="A35" s="13">
        <f>INDEX(pq_tips_dfii10!$A:$A,COUNT(pq_tips_dfii10!$A:$A)-34+ROW())</f>
        <v>46076</v>
      </c>
      <c r="B35" s="14">
        <f>VLOOKUP(A35,查询1[],2,FALSE)</f>
        <v>1.77</v>
      </c>
      <c r="C35" s="14">
        <f>VLOOKUP(I35,查询1[],2,FALSE)</f>
        <v>1.92</v>
      </c>
      <c r="D35" s="15">
        <f t="shared" si="0"/>
        <v>-0.14999999999999991</v>
      </c>
      <c r="E35" s="14">
        <v>1.5</v>
      </c>
      <c r="F35" s="15">
        <f t="shared" si="1"/>
        <v>-1</v>
      </c>
      <c r="G35" s="8"/>
      <c r="H35" s="14"/>
      <c r="I35" s="16">
        <f>[1]!TDaysOffset(A35,"Period=M","Offset=-1")</f>
        <v>46045</v>
      </c>
    </row>
    <row r="37" spans="1:9" x14ac:dyDescent="0.25">
      <c r="A37" s="2" t="s">
        <v>74</v>
      </c>
      <c r="B37" s="12">
        <f>IFERROR(LOOKUP(2,1/(F6:F35&lt;&gt;""),F6:F35),"")</f>
        <v>-1</v>
      </c>
    </row>
  </sheetData>
  <mergeCells count="3">
    <mergeCell ref="A1:H1"/>
    <mergeCell ref="A2:H2"/>
    <mergeCell ref="A3:H3"/>
  </mergeCells>
  <phoneticPr fontId="9" type="noConversion"/>
  <pageMargins left="0.75" right="0.75" top="1" bottom="1" header="0.5" footer="0.5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8"/>
  <sheetViews>
    <sheetView showGridLines="0" workbookViewId="0">
      <pane ySplit="4" topLeftCell="A50" activePane="bottomLeft" state="frozen"/>
      <selection pane="bottomLeft" activeCell="C33" sqref="C33"/>
    </sheetView>
  </sheetViews>
  <sheetFormatPr defaultColWidth="9" defaultRowHeight="14.4" x14ac:dyDescent="0.25"/>
  <cols>
    <col min="1" max="1" width="14" customWidth="1"/>
    <col min="2" max="3" width="16" customWidth="1"/>
    <col min="4" max="5" width="14" customWidth="1"/>
    <col min="6" max="6" width="12" customWidth="1"/>
    <col min="7" max="7" width="36" customWidth="1"/>
    <col min="8" max="8" width="12" customWidth="1"/>
  </cols>
  <sheetData>
    <row r="1" spans="1:8" x14ac:dyDescent="0.25">
      <c r="A1" s="29" t="s">
        <v>75</v>
      </c>
      <c r="B1" s="30"/>
      <c r="C1" s="30"/>
      <c r="D1" s="30"/>
      <c r="E1" s="30"/>
      <c r="F1" s="30"/>
      <c r="G1" s="30"/>
      <c r="H1" s="30"/>
    </row>
    <row r="2" spans="1:8" x14ac:dyDescent="0.25">
      <c r="A2" s="31" t="s">
        <v>76</v>
      </c>
      <c r="B2" s="30"/>
      <c r="C2" s="30"/>
      <c r="D2" s="30"/>
      <c r="E2" s="30"/>
      <c r="F2" s="30"/>
      <c r="G2" s="30"/>
      <c r="H2" s="30"/>
    </row>
    <row r="5" spans="1:8" ht="28.8" x14ac:dyDescent="0.25">
      <c r="A5" s="3" t="s">
        <v>68</v>
      </c>
      <c r="B5" s="3" t="s">
        <v>77</v>
      </c>
      <c r="C5" s="3" t="s">
        <v>78</v>
      </c>
      <c r="D5" s="3" t="s">
        <v>79</v>
      </c>
      <c r="E5" s="3" t="s">
        <v>80</v>
      </c>
      <c r="F5" s="3" t="s">
        <v>49</v>
      </c>
      <c r="G5" s="3" t="s">
        <v>72</v>
      </c>
      <c r="H5" s="3" t="s">
        <v>73</v>
      </c>
    </row>
    <row r="6" spans="1:8" x14ac:dyDescent="0.25">
      <c r="A6" s="13">
        <f>INDEX(pq_tga_wtregen!$A:$A,COUNT(pq_tga_wtregen!$A:$A)-34+ROW())</f>
        <v>45868</v>
      </c>
      <c r="B6" s="14">
        <f>VLOOKUP(A6,pq_tga_wtregen!$A:$B,2,FALSE)</f>
        <v>3705.07</v>
      </c>
      <c r="C6" s="14"/>
      <c r="D6" s="15" t="str">
        <f t="shared" ref="D6:D35" si="0">IF(OR(B6="",C6=""),"",B6-C6)</f>
        <v/>
      </c>
      <c r="E6" s="14">
        <v>8500</v>
      </c>
      <c r="F6" s="15">
        <f t="shared" ref="F6:F35" si="1">IF(B6="","",IF(B6&lt;=E6,1,IF(B6&lt;=E6+300,0,-1)))</f>
        <v>1</v>
      </c>
      <c r="G6" s="8"/>
      <c r="H6" s="14"/>
    </row>
    <row r="7" spans="1:8" x14ac:dyDescent="0.25">
      <c r="A7" s="13">
        <f>INDEX(pq_tga_wtregen!$A:$A,COUNT(pq_tga_wtregen!$A:$A)-34+ROW())</f>
        <v>45875</v>
      </c>
      <c r="B7" s="14">
        <f>VLOOKUP(A7,pq_tga_wtregen!$A:$B,2,FALSE)</f>
        <v>4210.43</v>
      </c>
      <c r="C7" s="14"/>
      <c r="D7" s="15" t="str">
        <f t="shared" si="0"/>
        <v/>
      </c>
      <c r="E7" s="14">
        <v>8500</v>
      </c>
      <c r="F7" s="15">
        <f t="shared" si="1"/>
        <v>1</v>
      </c>
      <c r="G7" s="8"/>
      <c r="H7" s="14"/>
    </row>
    <row r="8" spans="1:8" x14ac:dyDescent="0.25">
      <c r="A8" s="13">
        <f>INDEX(pq_tga_wtregen!$A:$A,COUNT(pq_tga_wtregen!$A:$A)-34+ROW())</f>
        <v>45882</v>
      </c>
      <c r="B8" s="14">
        <f>VLOOKUP(A8,pq_tga_wtregen!$A:$B,2,FALSE)</f>
        <v>5043.04</v>
      </c>
      <c r="C8" s="14"/>
      <c r="D8" s="15" t="str">
        <f t="shared" si="0"/>
        <v/>
      </c>
      <c r="E8" s="14">
        <v>8500</v>
      </c>
      <c r="F8" s="15">
        <f t="shared" si="1"/>
        <v>1</v>
      </c>
      <c r="G8" s="8"/>
      <c r="H8" s="14"/>
    </row>
    <row r="9" spans="1:8" x14ac:dyDescent="0.25">
      <c r="A9" s="13">
        <f>INDEX(pq_tga_wtregen!$A:$A,COUNT(pq_tga_wtregen!$A:$A)-34+ROW())</f>
        <v>45889</v>
      </c>
      <c r="B9" s="14">
        <f>VLOOKUP(A9,pq_tga_wtregen!$A:$B,2,FALSE)</f>
        <v>5195.34</v>
      </c>
      <c r="C9" s="14"/>
      <c r="D9" s="15" t="str">
        <f t="shared" si="0"/>
        <v/>
      </c>
      <c r="E9" s="14">
        <v>8500</v>
      </c>
      <c r="F9" s="15">
        <f t="shared" si="1"/>
        <v>1</v>
      </c>
      <c r="G9" s="8"/>
      <c r="H9" s="14"/>
    </row>
    <row r="10" spans="1:8" x14ac:dyDescent="0.25">
      <c r="A10" s="13">
        <f>INDEX(pq_tga_wtregen!$A:$A,COUNT(pq_tga_wtregen!$A:$A)-34+ROW())</f>
        <v>45896</v>
      </c>
      <c r="B10" s="14">
        <f>VLOOKUP(A10,pq_tga_wtregen!$A:$B,2,FALSE)</f>
        <v>5899.98</v>
      </c>
      <c r="C10" s="14"/>
      <c r="D10" s="15" t="str">
        <f t="shared" si="0"/>
        <v/>
      </c>
      <c r="E10" s="14">
        <v>8500</v>
      </c>
      <c r="F10" s="15">
        <f t="shared" si="1"/>
        <v>1</v>
      </c>
      <c r="G10" s="8"/>
      <c r="H10" s="14"/>
    </row>
    <row r="11" spans="1:8" x14ac:dyDescent="0.25">
      <c r="A11" s="13">
        <f>INDEX(pq_tga_wtregen!$A:$A,COUNT(pq_tga_wtregen!$A:$A)-34+ROW())</f>
        <v>45903</v>
      </c>
      <c r="B11" s="14">
        <f>VLOOKUP(A11,pq_tga_wtregen!$A:$B,2,FALSE)</f>
        <v>5975.13</v>
      </c>
      <c r="C11" s="14"/>
      <c r="D11" s="15" t="str">
        <f t="shared" si="0"/>
        <v/>
      </c>
      <c r="E11" s="14">
        <v>8500</v>
      </c>
      <c r="F11" s="15">
        <f t="shared" si="1"/>
        <v>1</v>
      </c>
      <c r="G11" s="8"/>
      <c r="H11" s="14"/>
    </row>
    <row r="12" spans="1:8" x14ac:dyDescent="0.25">
      <c r="A12" s="13">
        <f>INDEX(pq_tga_wtregen!$A:$A,COUNT(pq_tga_wtregen!$A:$A)-34+ROW())</f>
        <v>45910</v>
      </c>
      <c r="B12" s="14">
        <f>VLOOKUP(A12,pq_tga_wtregen!$A:$B,2,FALSE)</f>
        <v>6722.74</v>
      </c>
      <c r="C12" s="14"/>
      <c r="D12" s="15" t="str">
        <f t="shared" si="0"/>
        <v/>
      </c>
      <c r="E12" s="14">
        <v>8500</v>
      </c>
      <c r="F12" s="15">
        <f t="shared" si="1"/>
        <v>1</v>
      </c>
      <c r="G12" s="8"/>
      <c r="H12" s="14"/>
    </row>
    <row r="13" spans="1:8" x14ac:dyDescent="0.25">
      <c r="A13" s="13">
        <f>INDEX(pq_tga_wtregen!$A:$A,COUNT(pq_tga_wtregen!$A:$A)-34+ROW())</f>
        <v>45917</v>
      </c>
      <c r="B13" s="14">
        <f>VLOOKUP(A13,pq_tga_wtregen!$A:$B,2,FALSE)</f>
        <v>7563.76</v>
      </c>
      <c r="C13" s="14"/>
      <c r="D13" s="15" t="str">
        <f t="shared" si="0"/>
        <v/>
      </c>
      <c r="E13" s="14">
        <v>8500</v>
      </c>
      <c r="F13" s="15">
        <f t="shared" si="1"/>
        <v>1</v>
      </c>
      <c r="G13" s="8"/>
      <c r="H13" s="14"/>
    </row>
    <row r="14" spans="1:8" x14ac:dyDescent="0.25">
      <c r="A14" s="13">
        <f>INDEX(pq_tga_wtregen!$A:$A,COUNT(pq_tga_wtregen!$A:$A)-34+ROW())</f>
        <v>45924</v>
      </c>
      <c r="B14" s="14">
        <f>VLOOKUP(A14,pq_tga_wtregen!$A:$B,2,FALSE)</f>
        <v>8048.56</v>
      </c>
      <c r="C14" s="14"/>
      <c r="D14" s="15" t="str">
        <f t="shared" si="0"/>
        <v/>
      </c>
      <c r="E14" s="14">
        <v>8500</v>
      </c>
      <c r="F14" s="15">
        <f t="shared" si="1"/>
        <v>1</v>
      </c>
      <c r="G14" s="8"/>
      <c r="H14" s="14"/>
    </row>
    <row r="15" spans="1:8" x14ac:dyDescent="0.25">
      <c r="A15" s="13">
        <f>INDEX(pq_tga_wtregen!$A:$A,COUNT(pq_tga_wtregen!$A:$A)-34+ROW())</f>
        <v>45931</v>
      </c>
      <c r="B15" s="14">
        <f>VLOOKUP(A15,pq_tga_wtregen!$A:$B,2,FALSE)</f>
        <v>8051.39</v>
      </c>
      <c r="C15" s="14"/>
      <c r="D15" s="15" t="str">
        <f t="shared" si="0"/>
        <v/>
      </c>
      <c r="E15" s="14">
        <v>8500</v>
      </c>
      <c r="F15" s="15">
        <f t="shared" si="1"/>
        <v>1</v>
      </c>
      <c r="G15" s="8"/>
      <c r="H15" s="14"/>
    </row>
    <row r="16" spans="1:8" x14ac:dyDescent="0.25">
      <c r="A16" s="13">
        <f>INDEX(pq_tga_wtregen!$A:$A,COUNT(pq_tga_wtregen!$A:$A)-34+ROW())</f>
        <v>45938</v>
      </c>
      <c r="B16" s="14">
        <f>VLOOKUP(A16,pq_tga_wtregen!$A:$B,2,FALSE)</f>
        <v>8074.28</v>
      </c>
      <c r="C16" s="14"/>
      <c r="D16" s="15" t="str">
        <f t="shared" si="0"/>
        <v/>
      </c>
      <c r="E16" s="14">
        <v>8500</v>
      </c>
      <c r="F16" s="15">
        <f t="shared" si="1"/>
        <v>1</v>
      </c>
      <c r="G16" s="8"/>
      <c r="H16" s="14"/>
    </row>
    <row r="17" spans="1:8" x14ac:dyDescent="0.25">
      <c r="A17" s="13">
        <f>INDEX(pq_tga_wtregen!$A:$A,COUNT(pq_tga_wtregen!$A:$A)-34+ROW())</f>
        <v>45945</v>
      </c>
      <c r="B17" s="14">
        <f>VLOOKUP(A17,pq_tga_wtregen!$A:$B,2,FALSE)</f>
        <v>8095.93</v>
      </c>
      <c r="C17" s="14"/>
      <c r="D17" s="15" t="str">
        <f t="shared" si="0"/>
        <v/>
      </c>
      <c r="E17" s="14">
        <v>8500</v>
      </c>
      <c r="F17" s="15">
        <f t="shared" si="1"/>
        <v>1</v>
      </c>
      <c r="G17" s="8"/>
      <c r="H17" s="14"/>
    </row>
    <row r="18" spans="1:8" x14ac:dyDescent="0.25">
      <c r="A18" s="13">
        <f>INDEX(pq_tga_wtregen!$A:$A,COUNT(pq_tga_wtregen!$A:$A)-34+ROW())</f>
        <v>45952</v>
      </c>
      <c r="B18" s="14">
        <f>VLOOKUP(A18,pq_tga_wtregen!$A:$B,2,FALSE)</f>
        <v>9080.01</v>
      </c>
      <c r="C18" s="14"/>
      <c r="D18" s="15" t="str">
        <f t="shared" si="0"/>
        <v/>
      </c>
      <c r="E18" s="14">
        <v>8500</v>
      </c>
      <c r="F18" s="15">
        <f t="shared" si="1"/>
        <v>-1</v>
      </c>
      <c r="G18" s="8"/>
      <c r="H18" s="14"/>
    </row>
    <row r="19" spans="1:8" x14ac:dyDescent="0.25">
      <c r="A19" s="13">
        <f>INDEX(pq_tga_wtregen!$A:$A,COUNT(pq_tga_wtregen!$A:$A)-34+ROW())</f>
        <v>45959</v>
      </c>
      <c r="B19" s="14">
        <f>VLOOKUP(A19,pq_tga_wtregen!$A:$B,2,FALSE)</f>
        <v>9579.9</v>
      </c>
      <c r="C19" s="14"/>
      <c r="D19" s="15" t="str">
        <f t="shared" si="0"/>
        <v/>
      </c>
      <c r="E19" s="14">
        <v>8500</v>
      </c>
      <c r="F19" s="15">
        <f t="shared" si="1"/>
        <v>-1</v>
      </c>
      <c r="G19" s="8"/>
      <c r="H19" s="14"/>
    </row>
    <row r="20" spans="1:8" x14ac:dyDescent="0.25">
      <c r="A20" s="13">
        <f>INDEX(pq_tga_wtregen!$A:$A,COUNT(pq_tga_wtregen!$A:$A)-34+ROW())</f>
        <v>45966</v>
      </c>
      <c r="B20" s="14">
        <f>VLOOKUP(A20,pq_tga_wtregen!$A:$B,2,FALSE)</f>
        <v>9409.7900000000009</v>
      </c>
      <c r="C20" s="14"/>
      <c r="D20" s="15" t="str">
        <f t="shared" si="0"/>
        <v/>
      </c>
      <c r="E20" s="14">
        <v>8500</v>
      </c>
      <c r="F20" s="15">
        <f t="shared" si="1"/>
        <v>-1</v>
      </c>
      <c r="G20" s="8"/>
      <c r="H20" s="14"/>
    </row>
    <row r="21" spans="1:8" x14ac:dyDescent="0.25">
      <c r="A21" s="13">
        <f>INDEX(pq_tga_wtregen!$A:$A,COUNT(pq_tga_wtregen!$A:$A)-34+ROW())</f>
        <v>45973</v>
      </c>
      <c r="B21" s="14">
        <f>VLOOKUP(A21,pq_tga_wtregen!$A:$B,2,FALSE)</f>
        <v>9538.16</v>
      </c>
      <c r="C21" s="14"/>
      <c r="D21" s="15" t="str">
        <f t="shared" si="0"/>
        <v/>
      </c>
      <c r="E21" s="14">
        <v>8500</v>
      </c>
      <c r="F21" s="15">
        <f t="shared" si="1"/>
        <v>-1</v>
      </c>
      <c r="G21" s="8"/>
      <c r="H21" s="14"/>
    </row>
    <row r="22" spans="1:8" x14ac:dyDescent="0.25">
      <c r="A22" s="13">
        <f>INDEX(pq_tga_wtregen!$A:$A,COUNT(pq_tga_wtregen!$A:$A)-34+ROW())</f>
        <v>45980</v>
      </c>
      <c r="B22" s="14">
        <f>VLOOKUP(A22,pq_tga_wtregen!$A:$B,2,FALSE)</f>
        <v>9419.26</v>
      </c>
      <c r="C22" s="14"/>
      <c r="D22" s="15" t="str">
        <f t="shared" si="0"/>
        <v/>
      </c>
      <c r="E22" s="14">
        <v>8500</v>
      </c>
      <c r="F22" s="15">
        <f t="shared" si="1"/>
        <v>-1</v>
      </c>
      <c r="G22" s="8"/>
      <c r="H22" s="14"/>
    </row>
    <row r="23" spans="1:8" x14ac:dyDescent="0.25">
      <c r="A23" s="13">
        <f>INDEX(pq_tga_wtregen!$A:$A,COUNT(pq_tga_wtregen!$A:$A)-34+ROW())</f>
        <v>45987</v>
      </c>
      <c r="B23" s="14">
        <f>VLOOKUP(A23,pq_tga_wtregen!$A:$B,2,FALSE)</f>
        <v>9033.94</v>
      </c>
      <c r="C23" s="14"/>
      <c r="D23" s="15" t="str">
        <f t="shared" si="0"/>
        <v/>
      </c>
      <c r="E23" s="14">
        <v>8500</v>
      </c>
      <c r="F23" s="15">
        <f t="shared" si="1"/>
        <v>-1</v>
      </c>
      <c r="G23" s="8"/>
      <c r="H23" s="14"/>
    </row>
    <row r="24" spans="1:8" x14ac:dyDescent="0.25">
      <c r="A24" s="13">
        <f>INDEX(pq_tga_wtregen!$A:$A,COUNT(pq_tga_wtregen!$A:$A)-34+ROW())</f>
        <v>45994</v>
      </c>
      <c r="B24" s="14">
        <f>VLOOKUP(A24,pq_tga_wtregen!$A:$B,2,FALSE)</f>
        <v>9371.67</v>
      </c>
      <c r="C24" s="14"/>
      <c r="D24" s="15" t="str">
        <f t="shared" si="0"/>
        <v/>
      </c>
      <c r="E24" s="14">
        <v>8500</v>
      </c>
      <c r="F24" s="15">
        <f t="shared" si="1"/>
        <v>-1</v>
      </c>
      <c r="G24" s="8"/>
      <c r="H24" s="14"/>
    </row>
    <row r="25" spans="1:8" x14ac:dyDescent="0.25">
      <c r="A25" s="13">
        <f>INDEX(pq_tga_wtregen!$A:$A,COUNT(pq_tga_wtregen!$A:$A)-34+ROW())</f>
        <v>46001</v>
      </c>
      <c r="B25" s="14">
        <f>VLOOKUP(A25,pq_tga_wtregen!$A:$B,2,FALSE)</f>
        <v>8589.4599999999991</v>
      </c>
      <c r="C25" s="14"/>
      <c r="D25" s="15" t="str">
        <f t="shared" si="0"/>
        <v/>
      </c>
      <c r="E25" s="14">
        <v>8500</v>
      </c>
      <c r="F25" s="15">
        <f t="shared" si="1"/>
        <v>0</v>
      </c>
      <c r="G25" s="8"/>
      <c r="H25" s="14"/>
    </row>
    <row r="26" spans="1:8" x14ac:dyDescent="0.25">
      <c r="A26" s="13">
        <f>INDEX(pq_tga_wtregen!$A:$A,COUNT(pq_tga_wtregen!$A:$A)-34+ROW())</f>
        <v>46008</v>
      </c>
      <c r="B26" s="14">
        <f>VLOOKUP(A26,pq_tga_wtregen!$A:$B,2,FALSE)</f>
        <v>8330.93</v>
      </c>
      <c r="C26" s="14"/>
      <c r="D26" s="15" t="str">
        <f t="shared" si="0"/>
        <v/>
      </c>
      <c r="E26" s="14">
        <v>8500</v>
      </c>
      <c r="F26" s="15">
        <f t="shared" si="1"/>
        <v>1</v>
      </c>
      <c r="G26" s="8"/>
      <c r="H26" s="14"/>
    </row>
    <row r="27" spans="1:8" x14ac:dyDescent="0.25">
      <c r="A27" s="13">
        <f>INDEX(pq_tga_wtregen!$A:$A,COUNT(pq_tga_wtregen!$A:$A)-34+ROW())</f>
        <v>46015</v>
      </c>
      <c r="B27" s="14">
        <f>VLOOKUP(A27,pq_tga_wtregen!$A:$B,2,FALSE)</f>
        <v>8371.2000000000007</v>
      </c>
      <c r="C27" s="14"/>
      <c r="D27" s="15" t="str">
        <f t="shared" si="0"/>
        <v/>
      </c>
      <c r="E27" s="14">
        <v>8500</v>
      </c>
      <c r="F27" s="15">
        <f t="shared" si="1"/>
        <v>1</v>
      </c>
      <c r="G27" s="8"/>
      <c r="H27" s="14"/>
    </row>
    <row r="28" spans="1:8" x14ac:dyDescent="0.25">
      <c r="A28" s="13">
        <f>INDEX(pq_tga_wtregen!$A:$A,COUNT(pq_tga_wtregen!$A:$A)-34+ROW())</f>
        <v>46022</v>
      </c>
      <c r="B28" s="14">
        <f>VLOOKUP(A28,pq_tga_wtregen!$A:$B,2,FALSE)</f>
        <v>8373.06</v>
      </c>
      <c r="C28" s="14"/>
      <c r="D28" s="15" t="str">
        <f t="shared" si="0"/>
        <v/>
      </c>
      <c r="E28" s="14">
        <v>8500</v>
      </c>
      <c r="F28" s="15">
        <f t="shared" si="1"/>
        <v>1</v>
      </c>
      <c r="G28" s="8"/>
      <c r="H28" s="14"/>
    </row>
    <row r="29" spans="1:8" x14ac:dyDescent="0.25">
      <c r="A29" s="13">
        <f>INDEX(pq_tga_wtregen!$A:$A,COUNT(pq_tga_wtregen!$A:$A)-34+ROW())</f>
        <v>46029</v>
      </c>
      <c r="B29" s="14">
        <f>VLOOKUP(A29,pq_tga_wtregen!$A:$B,2,FALSE)</f>
        <v>7961.48</v>
      </c>
      <c r="C29" s="14"/>
      <c r="D29" s="15" t="str">
        <f t="shared" si="0"/>
        <v/>
      </c>
      <c r="E29" s="14">
        <v>8500</v>
      </c>
      <c r="F29" s="15">
        <f t="shared" si="1"/>
        <v>1</v>
      </c>
      <c r="G29" s="8"/>
      <c r="H29" s="14"/>
    </row>
    <row r="30" spans="1:8" x14ac:dyDescent="0.25">
      <c r="A30" s="13">
        <f>INDEX(pq_tga_wtregen!$A:$A,COUNT(pq_tga_wtregen!$A:$A)-34+ROW())</f>
        <v>46036</v>
      </c>
      <c r="B30" s="14">
        <f>VLOOKUP(A30,pq_tga_wtregen!$A:$B,2,FALSE)</f>
        <v>7791.75</v>
      </c>
      <c r="C30" s="14"/>
      <c r="D30" s="15" t="str">
        <f t="shared" si="0"/>
        <v/>
      </c>
      <c r="E30" s="14">
        <v>8500</v>
      </c>
      <c r="F30" s="15">
        <f t="shared" si="1"/>
        <v>1</v>
      </c>
      <c r="G30" s="8"/>
      <c r="H30" s="14"/>
    </row>
    <row r="31" spans="1:8" x14ac:dyDescent="0.25">
      <c r="A31" s="13">
        <f>INDEX(pq_tga_wtregen!$A:$A,COUNT(pq_tga_wtregen!$A:$A)-34+ROW())</f>
        <v>46043</v>
      </c>
      <c r="B31" s="14">
        <f>VLOOKUP(A31,pq_tga_wtregen!$A:$B,2,FALSE)</f>
        <v>8692.61</v>
      </c>
      <c r="C31" s="14"/>
      <c r="D31" s="15" t="str">
        <f t="shared" si="0"/>
        <v/>
      </c>
      <c r="E31" s="14">
        <v>8500</v>
      </c>
      <c r="F31" s="15">
        <f t="shared" si="1"/>
        <v>0</v>
      </c>
      <c r="G31" s="8"/>
      <c r="H31" s="14"/>
    </row>
    <row r="32" spans="1:8" x14ac:dyDescent="0.25">
      <c r="A32" s="13">
        <f>INDEX(pq_tga_wtregen!$A:$A,COUNT(pq_tga_wtregen!$A:$A)-34+ROW())</f>
        <v>46050</v>
      </c>
      <c r="B32" s="14">
        <f>VLOOKUP(A32,pq_tga_wtregen!$A:$B,2,FALSE)</f>
        <v>9230.42</v>
      </c>
      <c r="C32" s="14"/>
      <c r="D32" s="15" t="str">
        <f t="shared" si="0"/>
        <v/>
      </c>
      <c r="E32" s="14">
        <v>8500</v>
      </c>
      <c r="F32" s="15">
        <f t="shared" si="1"/>
        <v>-1</v>
      </c>
      <c r="G32" s="8"/>
      <c r="H32" s="14"/>
    </row>
    <row r="33" spans="1:8" x14ac:dyDescent="0.25">
      <c r="A33" s="13">
        <f>INDEX(pq_tga_wtregen!$A:$A,COUNT(pq_tga_wtregen!$A:$A)-34+ROW())</f>
        <v>46057</v>
      </c>
      <c r="B33" s="14">
        <f>VLOOKUP(A33,pq_tga_wtregen!$A:$B,2,FALSE)</f>
        <v>9087.73</v>
      </c>
      <c r="C33" s="14"/>
      <c r="D33" s="15" t="str">
        <f t="shared" si="0"/>
        <v/>
      </c>
      <c r="E33" s="14">
        <v>8500</v>
      </c>
      <c r="F33" s="15">
        <f t="shared" si="1"/>
        <v>-1</v>
      </c>
      <c r="G33" s="8"/>
      <c r="H33" s="14"/>
    </row>
    <row r="34" spans="1:8" x14ac:dyDescent="0.25">
      <c r="A34" s="13">
        <f>INDEX(pq_tga_wtregen!$A:$A,COUNT(pq_tga_wtregen!$A:$A)-34+ROW())</f>
        <v>46064</v>
      </c>
      <c r="B34" s="14">
        <f>VLOOKUP(A34,pq_tga_wtregen!$A:$B,2,FALSE)</f>
        <v>9153.06</v>
      </c>
      <c r="C34" s="14"/>
      <c r="D34" s="15" t="str">
        <f t="shared" si="0"/>
        <v/>
      </c>
      <c r="E34" s="14">
        <v>8500</v>
      </c>
      <c r="F34" s="15">
        <f t="shared" si="1"/>
        <v>-1</v>
      </c>
      <c r="G34" s="8"/>
      <c r="H34" s="14"/>
    </row>
    <row r="35" spans="1:8" x14ac:dyDescent="0.25">
      <c r="A35" s="13">
        <f>INDEX(pq_tga_wtregen!$A:$A,COUNT(pq_tga_wtregen!$A:$A)-34+ROW())</f>
        <v>46071</v>
      </c>
      <c r="B35" s="14">
        <f>VLOOKUP(A35,pq_tga_wtregen!$A:$B,2,FALSE)</f>
        <v>9127.27</v>
      </c>
      <c r="C35" s="14"/>
      <c r="D35" s="15" t="str">
        <f t="shared" si="0"/>
        <v/>
      </c>
      <c r="E35" s="14">
        <v>8500</v>
      </c>
      <c r="F35" s="15">
        <f t="shared" si="1"/>
        <v>-1</v>
      </c>
      <c r="G35" s="8"/>
      <c r="H35" s="14"/>
    </row>
    <row r="37" spans="1:8" x14ac:dyDescent="0.25">
      <c r="A37" s="32" t="s">
        <v>81</v>
      </c>
      <c r="B37" s="30"/>
      <c r="C37" s="30"/>
      <c r="D37" s="30"/>
      <c r="E37" s="30"/>
      <c r="F37" s="30"/>
      <c r="G37" s="30"/>
      <c r="H37" s="30"/>
    </row>
    <row r="38" spans="1:8" ht="43.2" x14ac:dyDescent="0.25">
      <c r="A38" s="3" t="s">
        <v>68</v>
      </c>
      <c r="B38" s="3" t="s">
        <v>82</v>
      </c>
      <c r="C38" s="3" t="s">
        <v>83</v>
      </c>
      <c r="D38" s="3" t="s">
        <v>84</v>
      </c>
      <c r="E38" s="3" t="s">
        <v>85</v>
      </c>
      <c r="F38" s="3" t="s">
        <v>49</v>
      </c>
      <c r="G38" s="3" t="s">
        <v>72</v>
      </c>
      <c r="H38" s="3" t="s">
        <v>73</v>
      </c>
    </row>
    <row r="39" spans="1:8" x14ac:dyDescent="0.25">
      <c r="A39" s="13">
        <f>INDEX(pq_rrp_rrpontsyd!$A:$A,COUNT(pq_rrp_rrpontsyd!$A:$A)-20+ROW()-37)</f>
        <v>46049</v>
      </c>
      <c r="B39" s="14">
        <f>VLOOKUP(A39,查询3[#All],2,FALSE)</f>
        <v>1.2529999999999999E-8</v>
      </c>
      <c r="C39" s="14"/>
      <c r="D39" s="15" t="str">
        <f t="shared" ref="D39:D58" si="2">IF(OR(B39="",C39=""),"",B39-C39)</f>
        <v/>
      </c>
      <c r="E39" s="14">
        <v>1000</v>
      </c>
      <c r="F39" s="15">
        <f t="shared" ref="F39:F58" si="3">IF(B39="","",IF(B39&lt;=E39,1,0))</f>
        <v>1</v>
      </c>
      <c r="G39" s="8"/>
      <c r="H39" s="14"/>
    </row>
    <row r="40" spans="1:8" x14ac:dyDescent="0.25">
      <c r="A40" s="13">
        <f>INDEX(pq_rrp_rrpontsyd!$A:$A,COUNT(pq_rrp_rrpontsyd!$A:$A)-20+ROW()-37)</f>
        <v>46050</v>
      </c>
      <c r="B40" s="14">
        <f>VLOOKUP(A40,查询3[#All],2,FALSE)</f>
        <v>1.103E-8</v>
      </c>
      <c r="C40" s="14"/>
      <c r="D40" s="15" t="str">
        <f t="shared" si="2"/>
        <v/>
      </c>
      <c r="E40" s="14">
        <v>1000</v>
      </c>
      <c r="F40" s="15">
        <f t="shared" si="3"/>
        <v>1</v>
      </c>
      <c r="G40" s="8"/>
      <c r="H40" s="14"/>
    </row>
    <row r="41" spans="1:8" x14ac:dyDescent="0.25">
      <c r="A41" s="13">
        <f>INDEX(pq_rrp_rrpontsyd!$A:$A,COUNT(pq_rrp_rrpontsyd!$A:$A)-20+ROW()-37)</f>
        <v>46051</v>
      </c>
      <c r="B41" s="14">
        <f>VLOOKUP(A41,查询3[#All],2,FALSE)</f>
        <v>2.852E-8</v>
      </c>
      <c r="C41" s="14"/>
      <c r="D41" s="15" t="str">
        <f t="shared" si="2"/>
        <v/>
      </c>
      <c r="E41" s="14">
        <v>1000</v>
      </c>
      <c r="F41" s="15">
        <f t="shared" si="3"/>
        <v>1</v>
      </c>
      <c r="G41" s="8"/>
      <c r="H41" s="14"/>
    </row>
    <row r="42" spans="1:8" x14ac:dyDescent="0.25">
      <c r="A42" s="13">
        <f>INDEX(pq_rrp_rrpontsyd!$A:$A,COUNT(pq_rrp_rrpontsyd!$A:$A)-20+ROW()-37)</f>
        <v>46052</v>
      </c>
      <c r="B42" s="14">
        <f>VLOOKUP(A42,查询3[#All],2,FALSE)</f>
        <v>9.6289999999999997E-8</v>
      </c>
      <c r="C42" s="14"/>
      <c r="D42" s="15" t="str">
        <f t="shared" si="2"/>
        <v/>
      </c>
      <c r="E42" s="14">
        <v>1000</v>
      </c>
      <c r="F42" s="15">
        <f t="shared" si="3"/>
        <v>1</v>
      </c>
      <c r="G42" s="8"/>
      <c r="H42" s="14"/>
    </row>
    <row r="43" spans="1:8" x14ac:dyDescent="0.25">
      <c r="A43" s="13">
        <f>INDEX(pq_rrp_rrpontsyd!$A:$A,COUNT(pq_rrp_rrpontsyd!$A:$A)-20+ROW()-37)</f>
        <v>46055</v>
      </c>
      <c r="B43" s="14">
        <f>VLOOKUP(A43,查询3[#All],2,FALSE)</f>
        <v>1.0414999999999999E-7</v>
      </c>
      <c r="C43" s="14"/>
      <c r="D43" s="15" t="str">
        <f t="shared" si="2"/>
        <v/>
      </c>
      <c r="E43" s="14">
        <v>1000</v>
      </c>
      <c r="F43" s="15">
        <f t="shared" si="3"/>
        <v>1</v>
      </c>
      <c r="G43" s="8"/>
      <c r="H43" s="14"/>
    </row>
    <row r="44" spans="1:8" x14ac:dyDescent="0.25">
      <c r="A44" s="13">
        <f>INDEX(pq_rrp_rrpontsyd!$A:$A,COUNT(pq_rrp_rrpontsyd!$A:$A)-20+ROW()-37)</f>
        <v>46056</v>
      </c>
      <c r="B44" s="14">
        <f>VLOOKUP(A44,查询3[#All],2,FALSE)</f>
        <v>1.7849999999999998E-8</v>
      </c>
      <c r="C44" s="14"/>
      <c r="D44" s="15" t="str">
        <f t="shared" si="2"/>
        <v/>
      </c>
      <c r="E44" s="14">
        <v>1000</v>
      </c>
      <c r="F44" s="15">
        <f t="shared" si="3"/>
        <v>1</v>
      </c>
      <c r="G44" s="8"/>
      <c r="H44" s="14"/>
    </row>
    <row r="45" spans="1:8" x14ac:dyDescent="0.25">
      <c r="A45" s="13">
        <f>INDEX(pq_rrp_rrpontsyd!$A:$A,COUNT(pq_rrp_rrpontsyd!$A:$A)-20+ROW()-37)</f>
        <v>46057</v>
      </c>
      <c r="B45" s="14">
        <f>VLOOKUP(A45,查询3[#All],2,FALSE)</f>
        <v>2.4140000000000003E-8</v>
      </c>
      <c r="C45" s="14"/>
      <c r="D45" s="15" t="str">
        <f t="shared" si="2"/>
        <v/>
      </c>
      <c r="E45" s="14">
        <v>1000</v>
      </c>
      <c r="F45" s="15">
        <f t="shared" si="3"/>
        <v>1</v>
      </c>
      <c r="G45" s="8"/>
      <c r="H45" s="14"/>
    </row>
    <row r="46" spans="1:8" x14ac:dyDescent="0.25">
      <c r="A46" s="13">
        <f>INDEX(pq_rrp_rrpontsyd!$A:$A,COUNT(pq_rrp_rrpontsyd!$A:$A)-20+ROW()-37)</f>
        <v>46058</v>
      </c>
      <c r="B46" s="14">
        <f>VLOOKUP(A46,查询3[#All],2,FALSE)</f>
        <v>1.7479999999999998E-8</v>
      </c>
      <c r="C46" s="14"/>
      <c r="D46" s="15" t="str">
        <f t="shared" si="2"/>
        <v/>
      </c>
      <c r="E46" s="14">
        <v>1000</v>
      </c>
      <c r="F46" s="15">
        <f t="shared" si="3"/>
        <v>1</v>
      </c>
      <c r="G46" s="8"/>
      <c r="H46" s="14"/>
    </row>
    <row r="47" spans="1:8" x14ac:dyDescent="0.25">
      <c r="A47" s="13">
        <f>INDEX(pq_rrp_rrpontsyd!$A:$A,COUNT(pq_rrp_rrpontsyd!$A:$A)-20+ROW()-37)</f>
        <v>46059</v>
      </c>
      <c r="B47" s="14">
        <f>VLOOKUP(A47,查询3[#All],2,FALSE)</f>
        <v>3.1110000000000005E-8</v>
      </c>
      <c r="C47" s="14"/>
      <c r="D47" s="15" t="str">
        <f t="shared" si="2"/>
        <v/>
      </c>
      <c r="E47" s="14">
        <v>1000</v>
      </c>
      <c r="F47" s="15">
        <f t="shared" si="3"/>
        <v>1</v>
      </c>
      <c r="G47" s="8"/>
      <c r="H47" s="14"/>
    </row>
    <row r="48" spans="1:8" x14ac:dyDescent="0.25">
      <c r="A48" s="13">
        <f>INDEX(pq_rrp_rrpontsyd!$A:$A,COUNT(pq_rrp_rrpontsyd!$A:$A)-20+ROW()-37)</f>
        <v>46062</v>
      </c>
      <c r="B48" s="14">
        <f>VLOOKUP(A48,查询3[#All],2,FALSE)</f>
        <v>1.3060000000000001E-8</v>
      </c>
      <c r="C48" s="14"/>
      <c r="D48" s="15" t="str">
        <f t="shared" si="2"/>
        <v/>
      </c>
      <c r="E48" s="14">
        <v>1000</v>
      </c>
      <c r="F48" s="15">
        <f t="shared" si="3"/>
        <v>1</v>
      </c>
      <c r="G48" s="8"/>
      <c r="H48" s="14"/>
    </row>
    <row r="49" spans="1:8" x14ac:dyDescent="0.25">
      <c r="A49" s="13">
        <f>INDEX(pq_rrp_rrpontsyd!$A:$A,COUNT(pq_rrp_rrpontsyd!$A:$A)-20+ROW()-37)</f>
        <v>46063</v>
      </c>
      <c r="B49" s="14">
        <f>VLOOKUP(A49,查询3[#All],2,FALSE)</f>
        <v>1.447E-8</v>
      </c>
      <c r="C49" s="14"/>
      <c r="D49" s="15" t="str">
        <f t="shared" si="2"/>
        <v/>
      </c>
      <c r="E49" s="14">
        <v>1000</v>
      </c>
      <c r="F49" s="15">
        <f t="shared" si="3"/>
        <v>1</v>
      </c>
      <c r="G49" s="8"/>
      <c r="H49" s="14"/>
    </row>
    <row r="50" spans="1:8" x14ac:dyDescent="0.25">
      <c r="A50" s="13">
        <f>INDEX(pq_rrp_rrpontsyd!$A:$A,COUNT(pq_rrp_rrpontsyd!$A:$A)-20+ROW()-37)</f>
        <v>46064</v>
      </c>
      <c r="B50" s="14">
        <f>VLOOKUP(A50,查询3[#All],2,FALSE)</f>
        <v>1.048E-8</v>
      </c>
      <c r="C50" s="14"/>
      <c r="D50" s="15" t="str">
        <f t="shared" si="2"/>
        <v/>
      </c>
      <c r="E50" s="14">
        <v>1000</v>
      </c>
      <c r="F50" s="15">
        <f t="shared" si="3"/>
        <v>1</v>
      </c>
      <c r="G50" s="8"/>
      <c r="H50" s="14"/>
    </row>
    <row r="51" spans="1:8" x14ac:dyDescent="0.25">
      <c r="A51" s="13">
        <f>INDEX(pq_rrp_rrpontsyd!$A:$A,COUNT(pq_rrp_rrpontsyd!$A:$A)-20+ROW()-37)</f>
        <v>46065</v>
      </c>
      <c r="B51" s="14">
        <f>VLOOKUP(A51,查询3[#All],2,FALSE)</f>
        <v>2.8439999999999999E-8</v>
      </c>
      <c r="C51" s="14"/>
      <c r="D51" s="15" t="str">
        <f t="shared" si="2"/>
        <v/>
      </c>
      <c r="E51" s="14">
        <v>1000</v>
      </c>
      <c r="F51" s="15">
        <f t="shared" si="3"/>
        <v>1</v>
      </c>
      <c r="G51" s="8"/>
      <c r="H51" s="14"/>
    </row>
    <row r="52" spans="1:8" x14ac:dyDescent="0.25">
      <c r="A52" s="13">
        <f>INDEX(pq_rrp_rrpontsyd!$A:$A,COUNT(pq_rrp_rrpontsyd!$A:$A)-20+ROW()-37)</f>
        <v>46066</v>
      </c>
      <c r="B52" s="14">
        <f>VLOOKUP(A52,查询3[#All],2,FALSE)</f>
        <v>3.77E-9</v>
      </c>
      <c r="C52" s="14"/>
      <c r="D52" s="15" t="str">
        <f t="shared" si="2"/>
        <v/>
      </c>
      <c r="E52" s="14">
        <v>1000</v>
      </c>
      <c r="F52" s="15">
        <f t="shared" si="3"/>
        <v>1</v>
      </c>
      <c r="G52" s="8"/>
      <c r="H52" s="14"/>
    </row>
    <row r="53" spans="1:8" x14ac:dyDescent="0.25">
      <c r="A53" s="13">
        <f>INDEX(pq_rrp_rrpontsyd!$A:$A,COUNT(pq_rrp_rrpontsyd!$A:$A)-20+ROW()-37)</f>
        <v>46070</v>
      </c>
      <c r="B53" s="14">
        <f>VLOOKUP(A53,查询3[#All],2,FALSE)</f>
        <v>4.4100000000000003E-9</v>
      </c>
      <c r="C53" s="14"/>
      <c r="D53" s="15" t="str">
        <f t="shared" si="2"/>
        <v/>
      </c>
      <c r="E53" s="14">
        <v>1000</v>
      </c>
      <c r="F53" s="15">
        <f t="shared" si="3"/>
        <v>1</v>
      </c>
      <c r="G53" s="8"/>
      <c r="H53" s="14"/>
    </row>
    <row r="54" spans="1:8" x14ac:dyDescent="0.25">
      <c r="A54" s="13">
        <f>INDEX(pq_rrp_rrpontsyd!$A:$A,COUNT(pq_rrp_rrpontsyd!$A:$A)-20+ROW()-37)</f>
        <v>46071</v>
      </c>
      <c r="B54" s="14">
        <f>VLOOKUP(A54,查询3[#All],2,FALSE)</f>
        <v>8.5600000000000002E-9</v>
      </c>
      <c r="C54" s="14"/>
      <c r="D54" s="15" t="str">
        <f t="shared" si="2"/>
        <v/>
      </c>
      <c r="E54" s="14">
        <v>1000</v>
      </c>
      <c r="F54" s="15">
        <f t="shared" si="3"/>
        <v>1</v>
      </c>
      <c r="G54" s="8"/>
      <c r="H54" s="14"/>
    </row>
    <row r="55" spans="1:8" x14ac:dyDescent="0.25">
      <c r="A55" s="13">
        <f>INDEX(pq_rrp_rrpontsyd!$A:$A,COUNT(pq_rrp_rrpontsyd!$A:$A)-20+ROW()-37)</f>
        <v>46072</v>
      </c>
      <c r="B55" s="14">
        <f>VLOOKUP(A55,查询3[#All],2,FALSE)</f>
        <v>6.3199999999999997E-9</v>
      </c>
      <c r="C55" s="14"/>
      <c r="D55" s="15" t="str">
        <f t="shared" si="2"/>
        <v/>
      </c>
      <c r="E55" s="14">
        <v>1000</v>
      </c>
      <c r="F55" s="15">
        <f t="shared" si="3"/>
        <v>1</v>
      </c>
      <c r="G55" s="8"/>
      <c r="H55" s="14"/>
    </row>
    <row r="56" spans="1:8" x14ac:dyDescent="0.25">
      <c r="A56" s="13">
        <f>INDEX(pq_rrp_rrpontsyd!$A:$A,COUNT(pq_rrp_rrpontsyd!$A:$A)-20+ROW()-37)</f>
        <v>46073</v>
      </c>
      <c r="B56" s="14">
        <f>VLOOKUP(A56,查询3[#All],2,FALSE)</f>
        <v>4.9600000000000002E-9</v>
      </c>
      <c r="C56" s="14"/>
      <c r="D56" s="15" t="str">
        <f t="shared" si="2"/>
        <v/>
      </c>
      <c r="E56" s="14">
        <v>1000</v>
      </c>
      <c r="F56" s="15">
        <f t="shared" si="3"/>
        <v>1</v>
      </c>
      <c r="G56" s="8"/>
      <c r="H56" s="14"/>
    </row>
    <row r="57" spans="1:8" x14ac:dyDescent="0.25">
      <c r="A57" s="13">
        <f>INDEX(pq_rrp_rrpontsyd!$A:$A,COUNT(pq_rrp_rrpontsyd!$A:$A)-20+ROW()-37)</f>
        <v>46076</v>
      </c>
      <c r="B57" s="14">
        <f>VLOOKUP(A57,查询3[#All],2,FALSE)</f>
        <v>8.7700000000000001E-9</v>
      </c>
      <c r="C57" s="14"/>
      <c r="D57" s="15" t="str">
        <f t="shared" si="2"/>
        <v/>
      </c>
      <c r="E57" s="14">
        <v>1000</v>
      </c>
      <c r="F57" s="15">
        <f t="shared" si="3"/>
        <v>1</v>
      </c>
      <c r="G57" s="8"/>
      <c r="H57" s="14"/>
    </row>
    <row r="58" spans="1:8" x14ac:dyDescent="0.25">
      <c r="A58" s="13">
        <f>INDEX(pq_rrp_rrpontsyd!$A:$A,COUNT(pq_rrp_rrpontsyd!$A:$A)-20+ROW()-37)</f>
        <v>46077</v>
      </c>
      <c r="B58" s="14">
        <f>VLOOKUP(A58,查询3[#All],2,FALSE)</f>
        <v>9.1700000000000004E-9</v>
      </c>
      <c r="C58" s="14"/>
      <c r="D58" s="15" t="str">
        <f t="shared" si="2"/>
        <v/>
      </c>
      <c r="E58" s="14">
        <v>1000</v>
      </c>
      <c r="F58" s="15">
        <f t="shared" si="3"/>
        <v>1</v>
      </c>
      <c r="G58" s="8"/>
      <c r="H58" s="14"/>
    </row>
  </sheetData>
  <mergeCells count="3">
    <mergeCell ref="A1:H1"/>
    <mergeCell ref="A2:H2"/>
    <mergeCell ref="A37:H37"/>
  </mergeCells>
  <phoneticPr fontId="9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8"/>
  <sheetViews>
    <sheetView showGridLines="0" tabSelected="1" workbookViewId="0">
      <pane ySplit="5" topLeftCell="A6" activePane="bottomLeft" state="frozen"/>
      <selection pane="bottomLeft" activeCell="J8" sqref="J8"/>
    </sheetView>
  </sheetViews>
  <sheetFormatPr defaultColWidth="9" defaultRowHeight="14.4" x14ac:dyDescent="0.25"/>
  <cols>
    <col min="1" max="1" width="10" customWidth="1"/>
    <col min="2" max="2" width="18" customWidth="1"/>
    <col min="3" max="5" width="14" customWidth="1"/>
    <col min="6" max="6" width="20.6640625" customWidth="1"/>
    <col min="7" max="7" width="14" customWidth="1"/>
    <col min="8" max="8" width="18" customWidth="1"/>
    <col min="9" max="9" width="26" customWidth="1"/>
    <col min="11" max="11" width="12.88671875" bestFit="1" customWidth="1"/>
  </cols>
  <sheetData>
    <row r="1" spans="1:11" x14ac:dyDescent="0.25">
      <c r="A1" s="29" t="s">
        <v>86</v>
      </c>
      <c r="B1" s="30"/>
      <c r="C1" s="30"/>
      <c r="D1" s="30"/>
      <c r="E1" s="30"/>
      <c r="F1" s="30"/>
      <c r="G1" s="30"/>
      <c r="H1" s="30"/>
    </row>
    <row r="2" spans="1:11" x14ac:dyDescent="0.25">
      <c r="A2" s="31" t="s">
        <v>87</v>
      </c>
      <c r="B2" s="30"/>
      <c r="C2" s="30"/>
      <c r="D2" s="30"/>
      <c r="E2" s="30"/>
      <c r="F2" s="30"/>
      <c r="G2" s="30"/>
      <c r="H2" s="30"/>
      <c r="K2" s="25">
        <f>MAX(IF(pq_fh_earnings!$A:$A=A6,pq_fh_earnings!$B:$B))</f>
        <v>46022</v>
      </c>
    </row>
    <row r="3" spans="1:11" x14ac:dyDescent="0.25">
      <c r="A3" s="36" t="s">
        <v>88</v>
      </c>
      <c r="B3" s="30"/>
      <c r="C3" s="30"/>
      <c r="D3" s="30"/>
      <c r="E3" s="30"/>
      <c r="F3" s="30"/>
      <c r="G3" s="30"/>
      <c r="H3" s="30"/>
      <c r="I3" s="30"/>
    </row>
    <row r="5" spans="1:11" ht="28.8" x14ac:dyDescent="0.25">
      <c r="A5" s="3" t="s">
        <v>89</v>
      </c>
      <c r="B5" s="3" t="s">
        <v>90</v>
      </c>
      <c r="C5" s="24" t="s">
        <v>369</v>
      </c>
      <c r="D5" s="24" t="s">
        <v>370</v>
      </c>
      <c r="E5" s="3" t="s">
        <v>91</v>
      </c>
      <c r="F5" s="3" t="s">
        <v>92</v>
      </c>
      <c r="G5" s="3" t="s">
        <v>93</v>
      </c>
      <c r="H5" s="24" t="s">
        <v>374</v>
      </c>
      <c r="I5" s="3" t="s">
        <v>94</v>
      </c>
    </row>
    <row r="6" spans="1:11" x14ac:dyDescent="0.25">
      <c r="A6" s="11" t="s">
        <v>95</v>
      </c>
      <c r="B6" s="8" t="s">
        <v>96</v>
      </c>
      <c r="C6" s="7">
        <f t="array" ref="C6">INDEX(pq_fh_earnings!$C:$C,
MATCH(1,(pq_fh_earnings!$A:$A=$A6)*(pq_fh_earnings!$B:$B=$K$2),0))</f>
        <v>2.84</v>
      </c>
      <c r="D6" s="7">
        <f t="array" ref="D6">INDEX(pq_fh_earnings!$D:$D,
MATCH(1,(pq_fh_earnings!$A:$A=$A6)*(pq_fh_earnings!$B:$B=$K$2),0))</f>
        <v>2.7256999999999998</v>
      </c>
      <c r="E6" s="4">
        <f t="shared" ref="E6:E12" si="0">IF(OR(C6="",D6=""),"",C6-D6)</f>
        <v>0.11430000000000007</v>
      </c>
      <c r="F6" s="7"/>
      <c r="G6" s="27">
        <f>VLOOKUP(A6,查询7[#All],8,FALSE)</f>
        <v>1.6507137093408276E-2</v>
      </c>
      <c r="H6" s="28">
        <f>VLOOKUP(A6,pq_fh_financials!$A$1:$I$264,9,FALSE)</f>
        <v>5.5972311356128346E-4</v>
      </c>
      <c r="I6" s="27">
        <f>VLOOKUP(A6,查询7[#All],10,FALSE)</f>
        <v>0.90968697907019824</v>
      </c>
    </row>
    <row r="7" spans="1:11" x14ac:dyDescent="0.25">
      <c r="A7" s="11" t="s">
        <v>97</v>
      </c>
      <c r="B7" s="8" t="s">
        <v>98</v>
      </c>
      <c r="C7" s="7">
        <f t="array" ref="C7">INDEX(pq_fh_earnings!$C:$C,
MATCH(1,(pq_fh_earnings!$A:$A=$A7)*(pq_fh_earnings!$B:$B=$K$2),0))</f>
        <v>4.1399999999999997</v>
      </c>
      <c r="D7" s="7">
        <f t="array" ref="D7">INDEX(pq_fh_earnings!$D:$D,
MATCH(1,(pq_fh_earnings!$A:$A=$A7)*(pq_fh_earnings!$B:$B=$K$2),0))</f>
        <v>4.0345000000000004</v>
      </c>
      <c r="E7" s="4">
        <f t="shared" si="0"/>
        <v>0.10549999999999926</v>
      </c>
      <c r="F7" s="7"/>
      <c r="G7" s="27">
        <f>VLOOKUP(A7,查询7[#All],8,FALSE)</f>
        <v>0.30997948988964807</v>
      </c>
      <c r="H7" s="28">
        <f>VLOOKUP(A7,pq_fh_financials!$A$1:$I$264,9,FALSE)</f>
        <v>5.5808631198915604E-2</v>
      </c>
      <c r="I7" s="27">
        <f>VLOOKUP(A7,查询7[#All],10,FALSE)</f>
        <v>0.22533405842137966</v>
      </c>
    </row>
    <row r="8" spans="1:11" x14ac:dyDescent="0.25">
      <c r="A8" s="11" t="s">
        <v>99</v>
      </c>
      <c r="B8" s="8" t="s">
        <v>100</v>
      </c>
      <c r="C8" s="7">
        <f t="array" ref="C8">INDEX(pq_fh_earnings!$C:$C,
MATCH(1,(pq_fh_earnings!$A:$A=$A8)*(pq_fh_earnings!$B:$B=$K$2),0))</f>
        <v>1.3</v>
      </c>
      <c r="D8" s="7">
        <f t="array" ref="D8">INDEX(pq_fh_earnings!$D:$D,
MATCH(1,(pq_fh_earnings!$A:$A=$A8)*(pq_fh_earnings!$B:$B=$K$2),0))</f>
        <v>1.2746</v>
      </c>
      <c r="E8" s="4">
        <f t="shared" si="0"/>
        <v>2.5400000000000089E-2</v>
      </c>
      <c r="F8" s="7"/>
      <c r="G8" s="27">
        <f>VLOOKUP(A8,查询7[#All],8,FALSE)</f>
        <v>3.2189755836845704E-2</v>
      </c>
      <c r="H8" s="28">
        <f>VLOOKUP(A8,pq_fh_financials!$A$1:$I$264,9,FALSE)</f>
        <v>-3.5445205920364042E-2</v>
      </c>
      <c r="I8" s="27">
        <f>VLOOKUP(A8,查询7[#All],10,FALSE)</f>
        <v>0.36359020772168393</v>
      </c>
    </row>
    <row r="9" spans="1:11" x14ac:dyDescent="0.25">
      <c r="A9" s="11" t="s">
        <v>101</v>
      </c>
      <c r="B9" s="8" t="s">
        <v>102</v>
      </c>
      <c r="C9" s="7">
        <f t="array" ref="C9">INDEX(pq_fh_earnings!$C:$C,
MATCH(1,(pq_fh_earnings!$A:$A=$A9)*(pq_fh_earnings!$B:$B=$K$2),0))</f>
        <v>2.82</v>
      </c>
      <c r="D9" s="7">
        <f t="array" ref="D9">INDEX(pq_fh_earnings!$D:$D,
MATCH(1,(pq_fh_earnings!$A:$A=$A9)*(pq_fh_earnings!$B:$B=$K$2),0))</f>
        <v>2.7063000000000001</v>
      </c>
      <c r="E9" s="4">
        <f t="shared" si="0"/>
        <v>0.11369999999999969</v>
      </c>
      <c r="F9" s="7"/>
      <c r="G9" s="27">
        <f>VLOOKUP(A9,查询7[#All],8,FALSE)</f>
        <v>0.22005003339019469</v>
      </c>
      <c r="H9" s="28">
        <f>VLOOKUP(A9,pq_fh_financials!$A$1:$I$264,9,FALSE)</f>
        <v>4.7897793101275454E-2</v>
      </c>
      <c r="I9" s="27">
        <f>VLOOKUP(A9,查询7[#All],10,FALSE)</f>
        <v>1.6441671709057415E-2</v>
      </c>
    </row>
    <row r="10" spans="1:11" x14ac:dyDescent="0.25">
      <c r="A10" s="11" t="s">
        <v>103</v>
      </c>
      <c r="B10" s="8" t="s">
        <v>104</v>
      </c>
      <c r="C10" s="7">
        <f t="array" ref="C10">INDEX(pq_fh_earnings!$C:$C,
MATCH(1,(pq_fh_earnings!$A:$A=$A10)*(pq_fh_earnings!$B:$B=$K$2),0))</f>
        <v>1.95</v>
      </c>
      <c r="D10" s="7">
        <f t="array" ref="D10">INDEX(pq_fh_earnings!$D:$D,
MATCH(1,(pq_fh_earnings!$A:$A=$A10)*(pq_fh_earnings!$B:$B=$K$2),0))</f>
        <v>2.0110000000000001</v>
      </c>
      <c r="E10" s="4">
        <f t="shared" si="0"/>
        <v>-6.1000000000000165E-2</v>
      </c>
      <c r="F10" s="7"/>
      <c r="G10" s="27">
        <f>VLOOKUP(A10,查询7[#All],8,FALSE)</f>
        <v>0.18329699049525558</v>
      </c>
      <c r="H10" s="28">
        <f>VLOOKUP(A10,pq_fh_financials!$A$1:$I$264,9,FALSE)</f>
        <v>3.0058593878847809E-2</v>
      </c>
      <c r="I10" s="27">
        <f>VLOOKUP(A10,查询7[#All],10,FALSE)</f>
        <v>-1.6176545842217482</v>
      </c>
    </row>
    <row r="11" spans="1:11" x14ac:dyDescent="0.25">
      <c r="A11" s="11" t="s">
        <v>105</v>
      </c>
      <c r="B11" s="8" t="s">
        <v>106</v>
      </c>
      <c r="C11" s="7">
        <f t="array" ref="C11">INDEX(pq_fh_earnings!$C:$C,
MATCH(1,(pq_fh_earnings!$A:$A=$A11)*(pq_fh_earnings!$B:$B=$K$2),0))</f>
        <v>8.8800000000000008</v>
      </c>
      <c r="D11" s="7">
        <f t="array" ref="D11">INDEX(pq_fh_earnings!$D:$D,
MATCH(1,(pq_fh_earnings!$A:$A=$A11)*(pq_fh_earnings!$B:$B=$K$2),0))</f>
        <v>8.3992000000000004</v>
      </c>
      <c r="E11" s="4">
        <f t="shared" si="0"/>
        <v>0.48080000000000034</v>
      </c>
      <c r="F11" s="7"/>
      <c r="G11" s="27">
        <f>VLOOKUP(A11,查询7[#All],8,FALSE)</f>
        <v>0.34243264125665435</v>
      </c>
      <c r="H11" s="28">
        <f>VLOOKUP(A11,pq_fh_financials!$A$1:$I$264,9,FALSE)</f>
        <v>-9.0424040957232776E-2</v>
      </c>
      <c r="I11" s="27">
        <f>VLOOKUP(A11,查询7[#All],10,FALSE)</f>
        <v>-0.2278752869732652</v>
      </c>
    </row>
    <row r="12" spans="1:11" x14ac:dyDescent="0.25">
      <c r="A12" s="11" t="s">
        <v>107</v>
      </c>
      <c r="B12" s="8" t="s">
        <v>108</v>
      </c>
      <c r="C12" s="7">
        <f t="array" ref="C12">INDEX(pq_fh_earnings!$C:$C,
MATCH(1,(pq_fh_earnings!$A:$A=$A12)*(pq_fh_earnings!$B:$B=$K$2),0))</f>
        <v>0.5</v>
      </c>
      <c r="D12" s="7">
        <f t="array" ref="D12">INDEX(pq_fh_earnings!$D:$D,
MATCH(1,(pq_fh_earnings!$A:$A=$A12)*(pq_fh_earnings!$B:$B=$K$2),0))</f>
        <v>0.45590000000000003</v>
      </c>
      <c r="E12" s="4">
        <f t="shared" si="0"/>
        <v>4.4099999999999973E-2</v>
      </c>
      <c r="F12" s="7"/>
      <c r="G12" s="27">
        <f>VLOOKUP(A12,查询7[#All],8,FALSE)</f>
        <v>8.7721305379973108E-2</v>
      </c>
      <c r="H12" s="28">
        <f>VLOOKUP(A12,pq_fh_financials!$A$1:$I$264,9,FALSE)</f>
        <v>-2.407655609212319E-2</v>
      </c>
      <c r="I12" s="27">
        <f>VLOOKUP(A12,查询7[#All],10,FALSE)</f>
        <v>2.0907920154539599</v>
      </c>
    </row>
    <row r="15" spans="1:11" x14ac:dyDescent="0.25">
      <c r="A15" s="32" t="s">
        <v>109</v>
      </c>
      <c r="B15" s="30"/>
      <c r="C15" s="30"/>
      <c r="D15" s="30"/>
      <c r="E15" s="30"/>
      <c r="F15" s="30"/>
      <c r="G15" s="30"/>
      <c r="H15" s="30"/>
      <c r="I15" s="30"/>
    </row>
    <row r="16" spans="1:11" ht="28.8" x14ac:dyDescent="0.25">
      <c r="A16" s="3" t="s">
        <v>89</v>
      </c>
      <c r="B16" s="3" t="s">
        <v>110</v>
      </c>
      <c r="C16" s="3" t="s">
        <v>111</v>
      </c>
      <c r="D16" s="3" t="s">
        <v>112</v>
      </c>
      <c r="E16" s="3" t="s">
        <v>113</v>
      </c>
      <c r="F16" s="3" t="s">
        <v>114</v>
      </c>
      <c r="G16" s="3" t="s">
        <v>115</v>
      </c>
      <c r="H16" s="3" t="s">
        <v>72</v>
      </c>
      <c r="I16" s="3"/>
    </row>
    <row r="17" spans="1:11" x14ac:dyDescent="0.25">
      <c r="A17" s="11" t="s">
        <v>95</v>
      </c>
      <c r="B17" s="4">
        <f t="shared" ref="B17:B23" si="1">E6</f>
        <v>0.11430000000000007</v>
      </c>
      <c r="C17" s="4">
        <f t="shared" ref="C17:D23" si="2">H6</f>
        <v>5.5972311356128346E-4</v>
      </c>
      <c r="D17" s="4">
        <f t="shared" si="2"/>
        <v>0.90968697907019824</v>
      </c>
      <c r="E17" s="4">
        <f t="shared" ref="E17:E23" si="3">IFERROR(SIGN((IF(B17&gt;0,1,0)+IF(C17&gt;0,1,0)+IF(D17&gt;0,1,0))-1),"")</f>
        <v>1</v>
      </c>
      <c r="F17" s="7">
        <v>0.1429</v>
      </c>
      <c r="G17" s="4">
        <f t="shared" ref="G17:G23" si="4">IF(OR(E17="",F17=""),"",E17*F17)</f>
        <v>0.1429</v>
      </c>
      <c r="H17" s="8"/>
    </row>
    <row r="18" spans="1:11" x14ac:dyDescent="0.25">
      <c r="A18" s="11" t="s">
        <v>97</v>
      </c>
      <c r="B18" s="4">
        <f t="shared" si="1"/>
        <v>0.10549999999999926</v>
      </c>
      <c r="C18" s="4">
        <f t="shared" si="2"/>
        <v>5.5808631198915604E-2</v>
      </c>
      <c r="D18" s="4">
        <f t="shared" si="2"/>
        <v>0.22533405842137966</v>
      </c>
      <c r="E18" s="4">
        <f t="shared" si="3"/>
        <v>1</v>
      </c>
      <c r="F18" s="7">
        <v>0.1429</v>
      </c>
      <c r="G18" s="4">
        <f t="shared" si="4"/>
        <v>0.1429</v>
      </c>
      <c r="H18" s="8"/>
    </row>
    <row r="19" spans="1:11" x14ac:dyDescent="0.25">
      <c r="A19" s="11" t="s">
        <v>99</v>
      </c>
      <c r="B19" s="4">
        <f t="shared" si="1"/>
        <v>2.5400000000000089E-2</v>
      </c>
      <c r="C19" s="4">
        <f t="shared" si="2"/>
        <v>-3.5445205920364042E-2</v>
      </c>
      <c r="D19" s="4">
        <f t="shared" si="2"/>
        <v>0.36359020772168393</v>
      </c>
      <c r="E19" s="4">
        <f t="shared" si="3"/>
        <v>1</v>
      </c>
      <c r="F19" s="7">
        <v>0.1429</v>
      </c>
      <c r="G19" s="4">
        <f t="shared" si="4"/>
        <v>0.1429</v>
      </c>
      <c r="H19" s="8"/>
    </row>
    <row r="20" spans="1:11" x14ac:dyDescent="0.25">
      <c r="A20" s="11" t="s">
        <v>101</v>
      </c>
      <c r="B20" s="4">
        <f t="shared" si="1"/>
        <v>0.11369999999999969</v>
      </c>
      <c r="C20" s="4">
        <f t="shared" si="2"/>
        <v>4.7897793101275454E-2</v>
      </c>
      <c r="D20" s="4">
        <f t="shared" si="2"/>
        <v>1.6441671709057415E-2</v>
      </c>
      <c r="E20" s="4">
        <f t="shared" si="3"/>
        <v>1</v>
      </c>
      <c r="F20" s="7">
        <v>0.1429</v>
      </c>
      <c r="G20" s="4">
        <f t="shared" si="4"/>
        <v>0.1429</v>
      </c>
      <c r="H20" s="8"/>
    </row>
    <row r="21" spans="1:11" x14ac:dyDescent="0.25">
      <c r="A21" s="11" t="s">
        <v>103</v>
      </c>
      <c r="B21" s="4">
        <f t="shared" si="1"/>
        <v>-6.1000000000000165E-2</v>
      </c>
      <c r="C21" s="4">
        <f t="shared" si="2"/>
        <v>3.0058593878847809E-2</v>
      </c>
      <c r="D21" s="4">
        <f t="shared" si="2"/>
        <v>-1.6176545842217482</v>
      </c>
      <c r="E21" s="4">
        <f t="shared" si="3"/>
        <v>0</v>
      </c>
      <c r="F21" s="7">
        <v>0.1429</v>
      </c>
      <c r="G21" s="4">
        <f t="shared" si="4"/>
        <v>0</v>
      </c>
      <c r="H21" s="8"/>
    </row>
    <row r="22" spans="1:11" x14ac:dyDescent="0.25">
      <c r="A22" s="11" t="s">
        <v>105</v>
      </c>
      <c r="B22" s="4">
        <f t="shared" si="1"/>
        <v>0.48080000000000034</v>
      </c>
      <c r="C22" s="4">
        <f t="shared" si="2"/>
        <v>-9.0424040957232776E-2</v>
      </c>
      <c r="D22" s="4">
        <f t="shared" si="2"/>
        <v>-0.2278752869732652</v>
      </c>
      <c r="E22" s="4">
        <f t="shared" si="3"/>
        <v>0</v>
      </c>
      <c r="F22" s="7">
        <v>0.1429</v>
      </c>
      <c r="G22" s="4">
        <f t="shared" si="4"/>
        <v>0</v>
      </c>
      <c r="H22" s="8"/>
    </row>
    <row r="23" spans="1:11" x14ac:dyDescent="0.25">
      <c r="A23" s="11" t="s">
        <v>107</v>
      </c>
      <c r="B23" s="4">
        <f t="shared" si="1"/>
        <v>4.4099999999999973E-2</v>
      </c>
      <c r="C23" s="4">
        <f t="shared" si="2"/>
        <v>-2.407655609212319E-2</v>
      </c>
      <c r="D23" s="4">
        <f t="shared" si="2"/>
        <v>2.0907920154539599</v>
      </c>
      <c r="E23" s="4">
        <f t="shared" si="3"/>
        <v>1</v>
      </c>
      <c r="F23" s="7">
        <v>0.1429</v>
      </c>
      <c r="G23" s="4">
        <f t="shared" si="4"/>
        <v>0.1429</v>
      </c>
      <c r="H23" s="8"/>
    </row>
    <row r="24" spans="1:11" x14ac:dyDescent="0.25">
      <c r="F24" s="2" t="s">
        <v>116</v>
      </c>
      <c r="G24" s="12">
        <f>SUM(F17:F23)</f>
        <v>1.0003</v>
      </c>
    </row>
    <row r="25" spans="1:11" x14ac:dyDescent="0.25">
      <c r="F25" s="2" t="s">
        <v>117</v>
      </c>
      <c r="G25" s="12">
        <f>SUM(G17:G23)</f>
        <v>0.71450000000000002</v>
      </c>
    </row>
    <row r="28" spans="1:11" x14ac:dyDescent="0.25">
      <c r="K28" s="1">
        <v>46022</v>
      </c>
    </row>
  </sheetData>
  <mergeCells count="4">
    <mergeCell ref="A1:H1"/>
    <mergeCell ref="A2:H2"/>
    <mergeCell ref="A3:I3"/>
    <mergeCell ref="A15:I15"/>
  </mergeCells>
  <phoneticPr fontId="9" type="noConversion"/>
  <conditionalFormatting sqref="H6:H12">
    <cfRule type="cellIs" dxfId="3" priority="1" operator="lessThan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1"/>
  <sheetViews>
    <sheetView showGridLines="0" workbookViewId="0">
      <pane ySplit="5" topLeftCell="A6" activePane="bottomLeft" state="frozen"/>
      <selection pane="bottomLeft" activeCell="G10" sqref="G10"/>
    </sheetView>
  </sheetViews>
  <sheetFormatPr defaultColWidth="9" defaultRowHeight="14.4" x14ac:dyDescent="0.25"/>
  <cols>
    <col min="1" max="1" width="12" customWidth="1"/>
    <col min="2" max="2" width="10" customWidth="1"/>
    <col min="3" max="5" width="12" customWidth="1"/>
    <col min="6" max="7" width="14" customWidth="1"/>
    <col min="8" max="8" width="18" customWidth="1"/>
    <col min="9" max="9" width="24" customWidth="1"/>
  </cols>
  <sheetData>
    <row r="1" spans="1:9" x14ac:dyDescent="0.25">
      <c r="A1" s="29" t="s">
        <v>118</v>
      </c>
      <c r="B1" s="30"/>
      <c r="C1" s="30"/>
      <c r="D1" s="30"/>
      <c r="E1" s="30"/>
      <c r="F1" s="30"/>
      <c r="G1" s="30"/>
      <c r="H1" s="30"/>
    </row>
    <row r="2" spans="1:9" x14ac:dyDescent="0.25">
      <c r="A2" s="31" t="s">
        <v>119</v>
      </c>
      <c r="B2" s="30"/>
      <c r="C2" s="30"/>
      <c r="D2" s="30"/>
      <c r="E2" s="30"/>
      <c r="F2" s="30"/>
      <c r="G2" s="30"/>
      <c r="H2" s="30"/>
    </row>
    <row r="5" spans="1:9" ht="28.8" x14ac:dyDescent="0.25">
      <c r="A5" s="3" t="s">
        <v>68</v>
      </c>
      <c r="B5" s="3" t="s">
        <v>89</v>
      </c>
      <c r="C5" s="3" t="s">
        <v>120</v>
      </c>
      <c r="D5" s="3" t="s">
        <v>121</v>
      </c>
      <c r="E5" s="3" t="s">
        <v>122</v>
      </c>
      <c r="F5" s="3" t="s">
        <v>123</v>
      </c>
      <c r="G5" s="3" t="s">
        <v>124</v>
      </c>
      <c r="H5" s="3" t="s">
        <v>125</v>
      </c>
      <c r="I5" s="3" t="s">
        <v>72</v>
      </c>
    </row>
    <row r="6" spans="1:9" x14ac:dyDescent="0.25">
      <c r="A6" s="7"/>
      <c r="B6" s="7"/>
      <c r="C6" s="7"/>
      <c r="D6" s="7"/>
      <c r="E6" s="7"/>
      <c r="F6" s="7"/>
      <c r="G6" s="4" t="str">
        <f t="shared" ref="G6:G37" si="0">IF(OR(C6="",F6=""),"",IF(AND(OR(C6="Beat",D6="上修"),OR(F6="回落",F6="收跌")),"利好不涨",IF(AND(OR(C6="Miss",D6="下修"),OR(F6="反弹",F6="震荡")),"利空不跌","正常")))</f>
        <v/>
      </c>
      <c r="H6" s="7"/>
      <c r="I6" s="8"/>
    </row>
    <row r="7" spans="1:9" x14ac:dyDescent="0.25">
      <c r="A7" s="7"/>
      <c r="B7" s="7"/>
      <c r="C7" s="7"/>
      <c r="D7" s="7"/>
      <c r="E7" s="7"/>
      <c r="F7" s="7"/>
      <c r="G7" s="4" t="str">
        <f t="shared" si="0"/>
        <v/>
      </c>
      <c r="H7" s="7"/>
      <c r="I7" s="8"/>
    </row>
    <row r="8" spans="1:9" x14ac:dyDescent="0.25">
      <c r="A8" s="7"/>
      <c r="B8" s="7"/>
      <c r="C8" s="7"/>
      <c r="D8" s="7"/>
      <c r="E8" s="7"/>
      <c r="F8" s="7"/>
      <c r="G8" s="4" t="str">
        <f t="shared" si="0"/>
        <v/>
      </c>
      <c r="H8" s="7"/>
      <c r="I8" s="8"/>
    </row>
    <row r="9" spans="1:9" x14ac:dyDescent="0.25">
      <c r="A9" s="7"/>
      <c r="B9" s="7"/>
      <c r="C9" s="7"/>
      <c r="D9" s="7"/>
      <c r="E9" s="7"/>
      <c r="F9" s="7"/>
      <c r="G9" s="4" t="str">
        <f t="shared" si="0"/>
        <v/>
      </c>
      <c r="H9" s="7"/>
      <c r="I9" s="8"/>
    </row>
    <row r="10" spans="1:9" x14ac:dyDescent="0.25">
      <c r="A10" s="7"/>
      <c r="B10" s="7"/>
      <c r="C10" s="7"/>
      <c r="D10" s="7"/>
      <c r="E10" s="7"/>
      <c r="F10" s="7"/>
      <c r="G10" s="4" t="str">
        <f t="shared" si="0"/>
        <v/>
      </c>
      <c r="H10" s="7"/>
      <c r="I10" s="8"/>
    </row>
    <row r="11" spans="1:9" x14ac:dyDescent="0.25">
      <c r="A11" s="7"/>
      <c r="B11" s="7"/>
      <c r="C11" s="7"/>
      <c r="D11" s="7"/>
      <c r="E11" s="7"/>
      <c r="F11" s="7"/>
      <c r="G11" s="4" t="str">
        <f t="shared" si="0"/>
        <v/>
      </c>
      <c r="H11" s="7"/>
      <c r="I11" s="8"/>
    </row>
    <row r="12" spans="1:9" x14ac:dyDescent="0.25">
      <c r="A12" s="7"/>
      <c r="B12" s="7"/>
      <c r="C12" s="7"/>
      <c r="D12" s="7"/>
      <c r="E12" s="7"/>
      <c r="F12" s="7"/>
      <c r="G12" s="4" t="str">
        <f t="shared" si="0"/>
        <v/>
      </c>
      <c r="H12" s="7"/>
      <c r="I12" s="8"/>
    </row>
    <row r="13" spans="1:9" x14ac:dyDescent="0.25">
      <c r="A13" s="7"/>
      <c r="B13" s="7"/>
      <c r="C13" s="7"/>
      <c r="D13" s="7"/>
      <c r="E13" s="7"/>
      <c r="F13" s="7"/>
      <c r="G13" s="4" t="str">
        <f t="shared" si="0"/>
        <v/>
      </c>
      <c r="H13" s="7"/>
      <c r="I13" s="8"/>
    </row>
    <row r="14" spans="1:9" x14ac:dyDescent="0.25">
      <c r="A14" s="7"/>
      <c r="B14" s="7"/>
      <c r="C14" s="7"/>
      <c r="D14" s="7"/>
      <c r="E14" s="7"/>
      <c r="F14" s="7"/>
      <c r="G14" s="4" t="str">
        <f t="shared" si="0"/>
        <v/>
      </c>
      <c r="H14" s="7"/>
      <c r="I14" s="8"/>
    </row>
    <row r="15" spans="1:9" x14ac:dyDescent="0.25">
      <c r="A15" s="7"/>
      <c r="B15" s="7"/>
      <c r="C15" s="7"/>
      <c r="D15" s="7"/>
      <c r="E15" s="7"/>
      <c r="F15" s="7"/>
      <c r="G15" s="4" t="str">
        <f t="shared" si="0"/>
        <v/>
      </c>
      <c r="H15" s="7"/>
      <c r="I15" s="8"/>
    </row>
    <row r="16" spans="1:9" x14ac:dyDescent="0.25">
      <c r="A16" s="7"/>
      <c r="B16" s="7"/>
      <c r="C16" s="7"/>
      <c r="D16" s="7"/>
      <c r="E16" s="7"/>
      <c r="F16" s="7"/>
      <c r="G16" s="4" t="str">
        <f t="shared" si="0"/>
        <v/>
      </c>
      <c r="H16" s="7"/>
      <c r="I16" s="8"/>
    </row>
    <row r="17" spans="1:9" x14ac:dyDescent="0.25">
      <c r="A17" s="7"/>
      <c r="B17" s="7"/>
      <c r="C17" s="7"/>
      <c r="D17" s="7"/>
      <c r="E17" s="7"/>
      <c r="F17" s="7"/>
      <c r="G17" s="4" t="str">
        <f t="shared" si="0"/>
        <v/>
      </c>
      <c r="H17" s="7"/>
      <c r="I17" s="8"/>
    </row>
    <row r="18" spans="1:9" x14ac:dyDescent="0.25">
      <c r="A18" s="7"/>
      <c r="B18" s="7"/>
      <c r="C18" s="7"/>
      <c r="D18" s="7"/>
      <c r="E18" s="7"/>
      <c r="F18" s="7"/>
      <c r="G18" s="4" t="str">
        <f t="shared" si="0"/>
        <v/>
      </c>
      <c r="H18" s="7"/>
      <c r="I18" s="8"/>
    </row>
    <row r="19" spans="1:9" x14ac:dyDescent="0.25">
      <c r="A19" s="7"/>
      <c r="B19" s="7"/>
      <c r="C19" s="7"/>
      <c r="D19" s="7"/>
      <c r="E19" s="7"/>
      <c r="F19" s="7"/>
      <c r="G19" s="4" t="str">
        <f t="shared" si="0"/>
        <v/>
      </c>
      <c r="H19" s="7"/>
      <c r="I19" s="8"/>
    </row>
    <row r="20" spans="1:9" x14ac:dyDescent="0.25">
      <c r="A20" s="7"/>
      <c r="B20" s="7"/>
      <c r="C20" s="7"/>
      <c r="D20" s="7"/>
      <c r="E20" s="7"/>
      <c r="F20" s="7"/>
      <c r="G20" s="4" t="str">
        <f t="shared" si="0"/>
        <v/>
      </c>
      <c r="H20" s="7"/>
      <c r="I20" s="8"/>
    </row>
    <row r="21" spans="1:9" x14ac:dyDescent="0.25">
      <c r="A21" s="7"/>
      <c r="B21" s="7"/>
      <c r="C21" s="7"/>
      <c r="D21" s="7"/>
      <c r="E21" s="7"/>
      <c r="F21" s="7"/>
      <c r="G21" s="4" t="str">
        <f t="shared" si="0"/>
        <v/>
      </c>
      <c r="H21" s="7"/>
      <c r="I21" s="8"/>
    </row>
    <row r="22" spans="1:9" x14ac:dyDescent="0.25">
      <c r="A22" s="7"/>
      <c r="B22" s="7"/>
      <c r="C22" s="7"/>
      <c r="D22" s="7"/>
      <c r="E22" s="7"/>
      <c r="F22" s="7"/>
      <c r="G22" s="4" t="str">
        <f t="shared" si="0"/>
        <v/>
      </c>
      <c r="H22" s="7"/>
      <c r="I22" s="8"/>
    </row>
    <row r="23" spans="1:9" x14ac:dyDescent="0.25">
      <c r="A23" s="7"/>
      <c r="B23" s="7"/>
      <c r="C23" s="7"/>
      <c r="D23" s="7"/>
      <c r="E23" s="7"/>
      <c r="F23" s="7"/>
      <c r="G23" s="4" t="str">
        <f t="shared" si="0"/>
        <v/>
      </c>
      <c r="H23" s="7"/>
      <c r="I23" s="8"/>
    </row>
    <row r="24" spans="1:9" x14ac:dyDescent="0.25">
      <c r="A24" s="7"/>
      <c r="B24" s="7"/>
      <c r="C24" s="7"/>
      <c r="D24" s="7"/>
      <c r="E24" s="7"/>
      <c r="F24" s="7"/>
      <c r="G24" s="4" t="str">
        <f t="shared" si="0"/>
        <v/>
      </c>
      <c r="H24" s="7"/>
      <c r="I24" s="8"/>
    </row>
    <row r="25" spans="1:9" x14ac:dyDescent="0.25">
      <c r="A25" s="7"/>
      <c r="B25" s="7"/>
      <c r="C25" s="7"/>
      <c r="D25" s="7"/>
      <c r="E25" s="7"/>
      <c r="F25" s="7"/>
      <c r="G25" s="4" t="str">
        <f t="shared" si="0"/>
        <v/>
      </c>
      <c r="H25" s="7"/>
      <c r="I25" s="8"/>
    </row>
    <row r="26" spans="1:9" x14ac:dyDescent="0.25">
      <c r="A26" s="7"/>
      <c r="B26" s="7"/>
      <c r="C26" s="7"/>
      <c r="D26" s="7"/>
      <c r="E26" s="7"/>
      <c r="F26" s="7"/>
      <c r="G26" s="4" t="str">
        <f t="shared" si="0"/>
        <v/>
      </c>
      <c r="H26" s="7"/>
      <c r="I26" s="8"/>
    </row>
    <row r="27" spans="1:9" x14ac:dyDescent="0.25">
      <c r="A27" s="7"/>
      <c r="B27" s="7"/>
      <c r="C27" s="7"/>
      <c r="D27" s="7"/>
      <c r="E27" s="7"/>
      <c r="F27" s="7"/>
      <c r="G27" s="4" t="str">
        <f t="shared" si="0"/>
        <v/>
      </c>
      <c r="H27" s="7"/>
      <c r="I27" s="8"/>
    </row>
    <row r="28" spans="1:9" x14ac:dyDescent="0.25">
      <c r="A28" s="7"/>
      <c r="B28" s="7"/>
      <c r="C28" s="7"/>
      <c r="D28" s="7"/>
      <c r="E28" s="7"/>
      <c r="F28" s="7"/>
      <c r="G28" s="4" t="str">
        <f t="shared" si="0"/>
        <v/>
      </c>
      <c r="H28" s="7"/>
      <c r="I28" s="8"/>
    </row>
    <row r="29" spans="1:9" x14ac:dyDescent="0.25">
      <c r="A29" s="7"/>
      <c r="B29" s="7"/>
      <c r="C29" s="7"/>
      <c r="D29" s="7"/>
      <c r="E29" s="7"/>
      <c r="F29" s="7"/>
      <c r="G29" s="4" t="str">
        <f t="shared" si="0"/>
        <v/>
      </c>
      <c r="H29" s="7"/>
      <c r="I29" s="8"/>
    </row>
    <row r="30" spans="1:9" x14ac:dyDescent="0.25">
      <c r="A30" s="7"/>
      <c r="B30" s="7"/>
      <c r="C30" s="7"/>
      <c r="D30" s="7"/>
      <c r="E30" s="7"/>
      <c r="F30" s="7"/>
      <c r="G30" s="4" t="str">
        <f t="shared" si="0"/>
        <v/>
      </c>
      <c r="H30" s="7"/>
      <c r="I30" s="8"/>
    </row>
    <row r="31" spans="1:9" x14ac:dyDescent="0.25">
      <c r="A31" s="7"/>
      <c r="B31" s="7"/>
      <c r="C31" s="7"/>
      <c r="D31" s="7"/>
      <c r="E31" s="7"/>
      <c r="F31" s="7"/>
      <c r="G31" s="4" t="str">
        <f t="shared" si="0"/>
        <v/>
      </c>
      <c r="H31" s="7"/>
      <c r="I31" s="8"/>
    </row>
    <row r="32" spans="1:9" x14ac:dyDescent="0.25">
      <c r="A32" s="7"/>
      <c r="B32" s="7"/>
      <c r="C32" s="7"/>
      <c r="D32" s="7"/>
      <c r="E32" s="7"/>
      <c r="F32" s="7"/>
      <c r="G32" s="4" t="str">
        <f t="shared" si="0"/>
        <v/>
      </c>
      <c r="H32" s="7"/>
      <c r="I32" s="8"/>
    </row>
    <row r="33" spans="1:9" x14ac:dyDescent="0.25">
      <c r="A33" s="7"/>
      <c r="B33" s="7"/>
      <c r="C33" s="7"/>
      <c r="D33" s="7"/>
      <c r="E33" s="7"/>
      <c r="F33" s="7"/>
      <c r="G33" s="4" t="str">
        <f t="shared" si="0"/>
        <v/>
      </c>
      <c r="H33" s="7"/>
      <c r="I33" s="8"/>
    </row>
    <row r="34" spans="1:9" x14ac:dyDescent="0.25">
      <c r="A34" s="7"/>
      <c r="B34" s="7"/>
      <c r="C34" s="7"/>
      <c r="D34" s="7"/>
      <c r="E34" s="7"/>
      <c r="F34" s="7"/>
      <c r="G34" s="4" t="str">
        <f t="shared" si="0"/>
        <v/>
      </c>
      <c r="H34" s="7"/>
      <c r="I34" s="8"/>
    </row>
    <row r="35" spans="1:9" x14ac:dyDescent="0.25">
      <c r="A35" s="7"/>
      <c r="B35" s="7"/>
      <c r="C35" s="7"/>
      <c r="D35" s="7"/>
      <c r="E35" s="7"/>
      <c r="F35" s="7"/>
      <c r="G35" s="4" t="str">
        <f t="shared" si="0"/>
        <v/>
      </c>
      <c r="H35" s="7"/>
      <c r="I35" s="8"/>
    </row>
    <row r="36" spans="1:9" x14ac:dyDescent="0.25">
      <c r="A36" s="7"/>
      <c r="B36" s="7"/>
      <c r="C36" s="7"/>
      <c r="D36" s="7"/>
      <c r="E36" s="7"/>
      <c r="F36" s="7"/>
      <c r="G36" s="4" t="str">
        <f t="shared" si="0"/>
        <v/>
      </c>
      <c r="H36" s="7"/>
      <c r="I36" s="8"/>
    </row>
    <row r="37" spans="1:9" x14ac:dyDescent="0.25">
      <c r="A37" s="7"/>
      <c r="B37" s="7"/>
      <c r="C37" s="7"/>
      <c r="D37" s="7"/>
      <c r="E37" s="7"/>
      <c r="F37" s="7"/>
      <c r="G37" s="4" t="str">
        <f t="shared" si="0"/>
        <v/>
      </c>
      <c r="H37" s="7"/>
      <c r="I37" s="8"/>
    </row>
    <row r="38" spans="1:9" x14ac:dyDescent="0.25">
      <c r="A38" s="7"/>
      <c r="B38" s="7"/>
      <c r="C38" s="7"/>
      <c r="D38" s="7"/>
      <c r="E38" s="7"/>
      <c r="F38" s="7"/>
      <c r="G38" s="4" t="str">
        <f t="shared" ref="G38:G69" si="1">IF(OR(C38="",F38=""),"",IF(AND(OR(C38="Beat",D38="上修"),OR(F38="回落",F38="收跌")),"利好不涨",IF(AND(OR(C38="Miss",D38="下修"),OR(F38="反弹",F38="震荡")),"利空不跌","正常")))</f>
        <v/>
      </c>
      <c r="H38" s="7"/>
      <c r="I38" s="8"/>
    </row>
    <row r="39" spans="1:9" x14ac:dyDescent="0.25">
      <c r="A39" s="7"/>
      <c r="B39" s="7"/>
      <c r="C39" s="7"/>
      <c r="D39" s="7"/>
      <c r="E39" s="7"/>
      <c r="F39" s="7"/>
      <c r="G39" s="4" t="str">
        <f t="shared" si="1"/>
        <v/>
      </c>
      <c r="H39" s="7"/>
      <c r="I39" s="8"/>
    </row>
    <row r="40" spans="1:9" x14ac:dyDescent="0.25">
      <c r="A40" s="7"/>
      <c r="B40" s="7"/>
      <c r="C40" s="7"/>
      <c r="D40" s="7"/>
      <c r="E40" s="7"/>
      <c r="F40" s="7"/>
      <c r="G40" s="4" t="str">
        <f t="shared" si="1"/>
        <v/>
      </c>
      <c r="H40" s="7"/>
      <c r="I40" s="8"/>
    </row>
    <row r="41" spans="1:9" x14ac:dyDescent="0.25">
      <c r="A41" s="7"/>
      <c r="B41" s="7"/>
      <c r="C41" s="7"/>
      <c r="D41" s="7"/>
      <c r="E41" s="7"/>
      <c r="F41" s="7"/>
      <c r="G41" s="4" t="str">
        <f t="shared" si="1"/>
        <v/>
      </c>
      <c r="H41" s="7"/>
      <c r="I41" s="8"/>
    </row>
    <row r="42" spans="1:9" x14ac:dyDescent="0.25">
      <c r="A42" s="7"/>
      <c r="B42" s="7"/>
      <c r="C42" s="7"/>
      <c r="D42" s="7"/>
      <c r="E42" s="7"/>
      <c r="F42" s="7"/>
      <c r="G42" s="4" t="str">
        <f t="shared" si="1"/>
        <v/>
      </c>
      <c r="H42" s="7"/>
      <c r="I42" s="8"/>
    </row>
    <row r="43" spans="1:9" x14ac:dyDescent="0.25">
      <c r="A43" s="7"/>
      <c r="B43" s="7"/>
      <c r="C43" s="7"/>
      <c r="D43" s="7"/>
      <c r="E43" s="7"/>
      <c r="F43" s="7"/>
      <c r="G43" s="4" t="str">
        <f t="shared" si="1"/>
        <v/>
      </c>
      <c r="H43" s="7"/>
      <c r="I43" s="8"/>
    </row>
    <row r="44" spans="1:9" x14ac:dyDescent="0.25">
      <c r="A44" s="7"/>
      <c r="B44" s="7"/>
      <c r="C44" s="7"/>
      <c r="D44" s="7"/>
      <c r="E44" s="7"/>
      <c r="F44" s="7"/>
      <c r="G44" s="4" t="str">
        <f t="shared" si="1"/>
        <v/>
      </c>
      <c r="H44" s="7"/>
      <c r="I44" s="8"/>
    </row>
    <row r="45" spans="1:9" x14ac:dyDescent="0.25">
      <c r="A45" s="7"/>
      <c r="B45" s="7"/>
      <c r="C45" s="7"/>
      <c r="D45" s="7"/>
      <c r="E45" s="7"/>
      <c r="F45" s="7"/>
      <c r="G45" s="4" t="str">
        <f t="shared" si="1"/>
        <v/>
      </c>
      <c r="H45" s="7"/>
      <c r="I45" s="8"/>
    </row>
    <row r="46" spans="1:9" x14ac:dyDescent="0.25">
      <c r="A46" s="7"/>
      <c r="B46" s="7"/>
      <c r="C46" s="7"/>
      <c r="D46" s="7"/>
      <c r="E46" s="7"/>
      <c r="F46" s="7"/>
      <c r="G46" s="4" t="str">
        <f t="shared" si="1"/>
        <v/>
      </c>
      <c r="H46" s="7"/>
      <c r="I46" s="8"/>
    </row>
    <row r="47" spans="1:9" x14ac:dyDescent="0.25">
      <c r="A47" s="7"/>
      <c r="B47" s="7"/>
      <c r="C47" s="7"/>
      <c r="D47" s="7"/>
      <c r="E47" s="7"/>
      <c r="F47" s="7"/>
      <c r="G47" s="4" t="str">
        <f t="shared" si="1"/>
        <v/>
      </c>
      <c r="H47" s="7"/>
      <c r="I47" s="8"/>
    </row>
    <row r="48" spans="1:9" x14ac:dyDescent="0.25">
      <c r="A48" s="7"/>
      <c r="B48" s="7"/>
      <c r="C48" s="7"/>
      <c r="D48" s="7"/>
      <c r="E48" s="7"/>
      <c r="F48" s="7"/>
      <c r="G48" s="4" t="str">
        <f t="shared" si="1"/>
        <v/>
      </c>
      <c r="H48" s="7"/>
      <c r="I48" s="8"/>
    </row>
    <row r="49" spans="1:9" x14ac:dyDescent="0.25">
      <c r="A49" s="7"/>
      <c r="B49" s="7"/>
      <c r="C49" s="7"/>
      <c r="D49" s="7"/>
      <c r="E49" s="7"/>
      <c r="F49" s="7"/>
      <c r="G49" s="4" t="str">
        <f t="shared" si="1"/>
        <v/>
      </c>
      <c r="H49" s="7"/>
      <c r="I49" s="8"/>
    </row>
    <row r="50" spans="1:9" x14ac:dyDescent="0.25">
      <c r="A50" s="7"/>
      <c r="B50" s="7"/>
      <c r="C50" s="7"/>
      <c r="D50" s="7"/>
      <c r="E50" s="7"/>
      <c r="F50" s="7"/>
      <c r="G50" s="4" t="str">
        <f t="shared" si="1"/>
        <v/>
      </c>
      <c r="H50" s="7"/>
      <c r="I50" s="8"/>
    </row>
    <row r="51" spans="1:9" x14ac:dyDescent="0.25">
      <c r="A51" s="7"/>
      <c r="B51" s="7"/>
      <c r="C51" s="7"/>
      <c r="D51" s="7"/>
      <c r="E51" s="7"/>
      <c r="F51" s="7"/>
      <c r="G51" s="4" t="str">
        <f t="shared" si="1"/>
        <v/>
      </c>
      <c r="H51" s="7"/>
      <c r="I51" s="8"/>
    </row>
    <row r="52" spans="1:9" x14ac:dyDescent="0.25">
      <c r="A52" s="7"/>
      <c r="B52" s="7"/>
      <c r="C52" s="7"/>
      <c r="D52" s="7"/>
      <c r="E52" s="7"/>
      <c r="F52" s="7"/>
      <c r="G52" s="4" t="str">
        <f t="shared" si="1"/>
        <v/>
      </c>
      <c r="H52" s="7"/>
      <c r="I52" s="8"/>
    </row>
    <row r="53" spans="1:9" x14ac:dyDescent="0.25">
      <c r="A53" s="7"/>
      <c r="B53" s="7"/>
      <c r="C53" s="7"/>
      <c r="D53" s="7"/>
      <c r="E53" s="7"/>
      <c r="F53" s="7"/>
      <c r="G53" s="4" t="str">
        <f t="shared" si="1"/>
        <v/>
      </c>
      <c r="H53" s="7"/>
      <c r="I53" s="8"/>
    </row>
    <row r="54" spans="1:9" x14ac:dyDescent="0.25">
      <c r="A54" s="7"/>
      <c r="B54" s="7"/>
      <c r="C54" s="7"/>
      <c r="D54" s="7"/>
      <c r="E54" s="7"/>
      <c r="F54" s="7"/>
      <c r="G54" s="4" t="str">
        <f t="shared" si="1"/>
        <v/>
      </c>
      <c r="H54" s="7"/>
      <c r="I54" s="8"/>
    </row>
    <row r="55" spans="1:9" x14ac:dyDescent="0.25">
      <c r="A55" s="7"/>
      <c r="B55" s="7"/>
      <c r="C55" s="7"/>
      <c r="D55" s="7"/>
      <c r="E55" s="7"/>
      <c r="F55" s="7"/>
      <c r="G55" s="4" t="str">
        <f t="shared" si="1"/>
        <v/>
      </c>
      <c r="H55" s="7"/>
      <c r="I55" s="8"/>
    </row>
    <row r="56" spans="1:9" x14ac:dyDescent="0.25">
      <c r="A56" s="7"/>
      <c r="B56" s="7"/>
      <c r="C56" s="7"/>
      <c r="D56" s="7"/>
      <c r="E56" s="7"/>
      <c r="F56" s="7"/>
      <c r="G56" s="4" t="str">
        <f t="shared" si="1"/>
        <v/>
      </c>
      <c r="H56" s="7"/>
      <c r="I56" s="8"/>
    </row>
    <row r="57" spans="1:9" x14ac:dyDescent="0.25">
      <c r="A57" s="7"/>
      <c r="B57" s="7"/>
      <c r="C57" s="7"/>
      <c r="D57" s="7"/>
      <c r="E57" s="7"/>
      <c r="F57" s="7"/>
      <c r="G57" s="4" t="str">
        <f t="shared" si="1"/>
        <v/>
      </c>
      <c r="H57" s="7"/>
      <c r="I57" s="8"/>
    </row>
    <row r="58" spans="1:9" x14ac:dyDescent="0.25">
      <c r="A58" s="7"/>
      <c r="B58" s="7"/>
      <c r="C58" s="7"/>
      <c r="D58" s="7"/>
      <c r="E58" s="7"/>
      <c r="F58" s="7"/>
      <c r="G58" s="4" t="str">
        <f t="shared" si="1"/>
        <v/>
      </c>
      <c r="H58" s="7"/>
      <c r="I58" s="8"/>
    </row>
    <row r="59" spans="1:9" x14ac:dyDescent="0.25">
      <c r="A59" s="7"/>
      <c r="B59" s="7"/>
      <c r="C59" s="7"/>
      <c r="D59" s="7"/>
      <c r="E59" s="7"/>
      <c r="F59" s="7"/>
      <c r="G59" s="4" t="str">
        <f t="shared" si="1"/>
        <v/>
      </c>
      <c r="H59" s="7"/>
      <c r="I59" s="8"/>
    </row>
    <row r="60" spans="1:9" x14ac:dyDescent="0.25">
      <c r="A60" s="7"/>
      <c r="B60" s="7"/>
      <c r="C60" s="7"/>
      <c r="D60" s="7"/>
      <c r="E60" s="7"/>
      <c r="F60" s="7"/>
      <c r="G60" s="4" t="str">
        <f t="shared" si="1"/>
        <v/>
      </c>
      <c r="H60" s="7"/>
      <c r="I60" s="8"/>
    </row>
    <row r="61" spans="1:9" x14ac:dyDescent="0.25">
      <c r="A61" s="7"/>
      <c r="B61" s="7"/>
      <c r="C61" s="7"/>
      <c r="D61" s="7"/>
      <c r="E61" s="7"/>
      <c r="F61" s="7"/>
      <c r="G61" s="4" t="str">
        <f t="shared" si="1"/>
        <v/>
      </c>
      <c r="H61" s="7"/>
      <c r="I61" s="8"/>
    </row>
    <row r="62" spans="1:9" x14ac:dyDescent="0.25">
      <c r="A62" s="7"/>
      <c r="B62" s="7"/>
      <c r="C62" s="7"/>
      <c r="D62" s="7"/>
      <c r="E62" s="7"/>
      <c r="F62" s="7"/>
      <c r="G62" s="4" t="str">
        <f t="shared" si="1"/>
        <v/>
      </c>
      <c r="H62" s="7"/>
      <c r="I62" s="8"/>
    </row>
    <row r="63" spans="1:9" x14ac:dyDescent="0.25">
      <c r="A63" s="7"/>
      <c r="B63" s="7"/>
      <c r="C63" s="7"/>
      <c r="D63" s="7"/>
      <c r="E63" s="7"/>
      <c r="F63" s="7"/>
      <c r="G63" s="4" t="str">
        <f t="shared" si="1"/>
        <v/>
      </c>
      <c r="H63" s="7"/>
      <c r="I63" s="8"/>
    </row>
    <row r="64" spans="1:9" x14ac:dyDescent="0.25">
      <c r="A64" s="7"/>
      <c r="B64" s="7"/>
      <c r="C64" s="7"/>
      <c r="D64" s="7"/>
      <c r="E64" s="7"/>
      <c r="F64" s="7"/>
      <c r="G64" s="4" t="str">
        <f t="shared" si="1"/>
        <v/>
      </c>
      <c r="H64" s="7"/>
      <c r="I64" s="8"/>
    </row>
    <row r="65" spans="1:9" x14ac:dyDescent="0.25">
      <c r="A65" s="7"/>
      <c r="B65" s="7"/>
      <c r="C65" s="7"/>
      <c r="D65" s="7"/>
      <c r="E65" s="7"/>
      <c r="F65" s="7"/>
      <c r="G65" s="4" t="str">
        <f t="shared" si="1"/>
        <v/>
      </c>
      <c r="H65" s="7"/>
      <c r="I65" s="8"/>
    </row>
    <row r="66" spans="1:9" x14ac:dyDescent="0.25">
      <c r="A66" s="7"/>
      <c r="B66" s="7"/>
      <c r="C66" s="7"/>
      <c r="D66" s="7"/>
      <c r="E66" s="7"/>
      <c r="F66" s="7"/>
      <c r="G66" s="4" t="str">
        <f t="shared" si="1"/>
        <v/>
      </c>
      <c r="H66" s="7"/>
      <c r="I66" s="8"/>
    </row>
    <row r="67" spans="1:9" x14ac:dyDescent="0.25">
      <c r="A67" s="7"/>
      <c r="B67" s="7"/>
      <c r="C67" s="7"/>
      <c r="D67" s="7"/>
      <c r="E67" s="7"/>
      <c r="F67" s="7"/>
      <c r="G67" s="4" t="str">
        <f t="shared" si="1"/>
        <v/>
      </c>
      <c r="H67" s="7"/>
      <c r="I67" s="8"/>
    </row>
    <row r="68" spans="1:9" x14ac:dyDescent="0.25">
      <c r="A68" s="7"/>
      <c r="B68" s="7"/>
      <c r="C68" s="7"/>
      <c r="D68" s="7"/>
      <c r="E68" s="7"/>
      <c r="F68" s="7"/>
      <c r="G68" s="4" t="str">
        <f t="shared" si="1"/>
        <v/>
      </c>
      <c r="H68" s="7"/>
      <c r="I68" s="8"/>
    </row>
    <row r="69" spans="1:9" x14ac:dyDescent="0.25">
      <c r="A69" s="7"/>
      <c r="B69" s="7"/>
      <c r="C69" s="7"/>
      <c r="D69" s="7"/>
      <c r="E69" s="7"/>
      <c r="F69" s="7"/>
      <c r="G69" s="4" t="str">
        <f t="shared" si="1"/>
        <v/>
      </c>
      <c r="H69" s="7"/>
      <c r="I69" s="8"/>
    </row>
    <row r="70" spans="1:9" x14ac:dyDescent="0.25">
      <c r="A70" s="7"/>
      <c r="B70" s="7"/>
      <c r="C70" s="7"/>
      <c r="D70" s="7"/>
      <c r="E70" s="7"/>
      <c r="F70" s="7"/>
      <c r="G70" s="4" t="str">
        <f t="shared" ref="G70:G85" si="2">IF(OR(C70="",F70=""),"",IF(AND(OR(C70="Beat",D70="上修"),OR(F70="回落",F70="收跌")),"利好不涨",IF(AND(OR(C70="Miss",D70="下修"),OR(F70="反弹",F70="震荡")),"利空不跌","正常")))</f>
        <v/>
      </c>
      <c r="H70" s="7"/>
      <c r="I70" s="8"/>
    </row>
    <row r="71" spans="1:9" x14ac:dyDescent="0.25">
      <c r="A71" s="7"/>
      <c r="B71" s="7"/>
      <c r="C71" s="7"/>
      <c r="D71" s="7"/>
      <c r="E71" s="7"/>
      <c r="F71" s="7"/>
      <c r="G71" s="4" t="str">
        <f t="shared" si="2"/>
        <v/>
      </c>
      <c r="H71" s="7"/>
      <c r="I71" s="8"/>
    </row>
    <row r="72" spans="1:9" x14ac:dyDescent="0.25">
      <c r="A72" s="7"/>
      <c r="B72" s="7"/>
      <c r="C72" s="7"/>
      <c r="D72" s="7"/>
      <c r="E72" s="7"/>
      <c r="F72" s="7"/>
      <c r="G72" s="4" t="str">
        <f t="shared" si="2"/>
        <v/>
      </c>
      <c r="H72" s="7"/>
      <c r="I72" s="8"/>
    </row>
    <row r="73" spans="1:9" x14ac:dyDescent="0.25">
      <c r="A73" s="7"/>
      <c r="B73" s="7"/>
      <c r="C73" s="7"/>
      <c r="D73" s="7"/>
      <c r="E73" s="7"/>
      <c r="F73" s="7"/>
      <c r="G73" s="4" t="str">
        <f t="shared" si="2"/>
        <v/>
      </c>
      <c r="H73" s="7"/>
      <c r="I73" s="8"/>
    </row>
    <row r="74" spans="1:9" x14ac:dyDescent="0.25">
      <c r="A74" s="7"/>
      <c r="B74" s="7"/>
      <c r="C74" s="7"/>
      <c r="D74" s="7"/>
      <c r="E74" s="7"/>
      <c r="F74" s="7"/>
      <c r="G74" s="4" t="str">
        <f t="shared" si="2"/>
        <v/>
      </c>
      <c r="H74" s="7"/>
      <c r="I74" s="8"/>
    </row>
    <row r="75" spans="1:9" x14ac:dyDescent="0.25">
      <c r="A75" s="7"/>
      <c r="B75" s="7"/>
      <c r="C75" s="7"/>
      <c r="D75" s="7"/>
      <c r="E75" s="7"/>
      <c r="F75" s="7"/>
      <c r="G75" s="4" t="str">
        <f t="shared" si="2"/>
        <v/>
      </c>
      <c r="H75" s="7"/>
      <c r="I75" s="8"/>
    </row>
    <row r="76" spans="1:9" x14ac:dyDescent="0.25">
      <c r="A76" s="7"/>
      <c r="B76" s="7"/>
      <c r="C76" s="7"/>
      <c r="D76" s="7"/>
      <c r="E76" s="7"/>
      <c r="F76" s="7"/>
      <c r="G76" s="4" t="str">
        <f t="shared" si="2"/>
        <v/>
      </c>
      <c r="H76" s="7"/>
      <c r="I76" s="8"/>
    </row>
    <row r="77" spans="1:9" x14ac:dyDescent="0.25">
      <c r="A77" s="7"/>
      <c r="B77" s="7"/>
      <c r="C77" s="7"/>
      <c r="D77" s="7"/>
      <c r="E77" s="7"/>
      <c r="F77" s="7"/>
      <c r="G77" s="4" t="str">
        <f t="shared" si="2"/>
        <v/>
      </c>
      <c r="H77" s="7"/>
      <c r="I77" s="8"/>
    </row>
    <row r="78" spans="1:9" x14ac:dyDescent="0.25">
      <c r="A78" s="7"/>
      <c r="B78" s="7"/>
      <c r="C78" s="7"/>
      <c r="D78" s="7"/>
      <c r="E78" s="7"/>
      <c r="F78" s="7"/>
      <c r="G78" s="4" t="str">
        <f t="shared" si="2"/>
        <v/>
      </c>
      <c r="H78" s="7"/>
      <c r="I78" s="8"/>
    </row>
    <row r="79" spans="1:9" x14ac:dyDescent="0.25">
      <c r="A79" s="7"/>
      <c r="B79" s="7"/>
      <c r="C79" s="7"/>
      <c r="D79" s="7"/>
      <c r="E79" s="7"/>
      <c r="F79" s="7"/>
      <c r="G79" s="4" t="str">
        <f t="shared" si="2"/>
        <v/>
      </c>
      <c r="H79" s="7"/>
      <c r="I79" s="8"/>
    </row>
    <row r="80" spans="1:9" x14ac:dyDescent="0.25">
      <c r="A80" s="7"/>
      <c r="B80" s="7"/>
      <c r="C80" s="7"/>
      <c r="D80" s="7"/>
      <c r="E80" s="7"/>
      <c r="F80" s="7"/>
      <c r="G80" s="4" t="str">
        <f t="shared" si="2"/>
        <v/>
      </c>
      <c r="H80" s="7"/>
      <c r="I80" s="8"/>
    </row>
    <row r="81" spans="1:9" x14ac:dyDescent="0.25">
      <c r="A81" s="7"/>
      <c r="B81" s="7"/>
      <c r="C81" s="7"/>
      <c r="D81" s="7"/>
      <c r="E81" s="7"/>
      <c r="F81" s="7"/>
      <c r="G81" s="4" t="str">
        <f t="shared" si="2"/>
        <v/>
      </c>
      <c r="H81" s="7"/>
      <c r="I81" s="8"/>
    </row>
    <row r="82" spans="1:9" x14ac:dyDescent="0.25">
      <c r="A82" s="7"/>
      <c r="B82" s="7"/>
      <c r="C82" s="7"/>
      <c r="D82" s="7"/>
      <c r="E82" s="7"/>
      <c r="F82" s="7"/>
      <c r="G82" s="4" t="str">
        <f t="shared" si="2"/>
        <v/>
      </c>
      <c r="H82" s="7"/>
      <c r="I82" s="8"/>
    </row>
    <row r="83" spans="1:9" x14ac:dyDescent="0.25">
      <c r="A83" s="7"/>
      <c r="B83" s="7"/>
      <c r="C83" s="7"/>
      <c r="D83" s="7"/>
      <c r="E83" s="7"/>
      <c r="F83" s="7"/>
      <c r="G83" s="4" t="str">
        <f t="shared" si="2"/>
        <v/>
      </c>
      <c r="H83" s="7"/>
      <c r="I83" s="8"/>
    </row>
    <row r="84" spans="1:9" x14ac:dyDescent="0.25">
      <c r="A84" s="7"/>
      <c r="B84" s="7"/>
      <c r="C84" s="7"/>
      <c r="D84" s="7"/>
      <c r="E84" s="7"/>
      <c r="F84" s="7"/>
      <c r="G84" s="4" t="str">
        <f t="shared" si="2"/>
        <v/>
      </c>
      <c r="H84" s="7"/>
      <c r="I84" s="8"/>
    </row>
    <row r="85" spans="1:9" x14ac:dyDescent="0.25">
      <c r="A85" s="7"/>
      <c r="B85" s="7"/>
      <c r="C85" s="7"/>
      <c r="D85" s="7"/>
      <c r="E85" s="7"/>
      <c r="F85" s="7"/>
      <c r="G85" s="4" t="str">
        <f t="shared" si="2"/>
        <v/>
      </c>
      <c r="H85" s="7"/>
      <c r="I85" s="8"/>
    </row>
    <row r="88" spans="1:9" x14ac:dyDescent="0.25">
      <c r="A88" s="32" t="s">
        <v>126</v>
      </c>
      <c r="B88" s="30"/>
      <c r="C88" s="30"/>
      <c r="D88" s="30"/>
      <c r="E88" s="30"/>
      <c r="F88" s="30"/>
      <c r="G88" s="30"/>
      <c r="H88" s="30"/>
      <c r="I88" s="30"/>
    </row>
    <row r="89" spans="1:9" x14ac:dyDescent="0.25">
      <c r="A89" s="2" t="s">
        <v>25</v>
      </c>
      <c r="B89" s="9">
        <f>IFERROR(COUNTIF(G6:G85,"利好不涨")/COUNTIF(G6:G85,"&lt;&gt;"),"")</f>
        <v>0</v>
      </c>
    </row>
    <row r="90" spans="1:9" x14ac:dyDescent="0.25">
      <c r="A90" s="2" t="s">
        <v>28</v>
      </c>
      <c r="B90" s="9">
        <f>IFERROR(COUNTIF(G6:G85,"利空不跌")/COUNTIF(G6:G85,"&lt;&gt;"),"")</f>
        <v>0</v>
      </c>
    </row>
    <row r="91" spans="1:9" x14ac:dyDescent="0.25">
      <c r="A91" s="2" t="s">
        <v>32</v>
      </c>
      <c r="B91" s="10" t="str">
        <f>IFERROR(AVERAGEIF(H6:H85,"&gt;=0"),"")</f>
        <v/>
      </c>
    </row>
  </sheetData>
  <mergeCells count="3">
    <mergeCell ref="A1:H1"/>
    <mergeCell ref="A2:H2"/>
    <mergeCell ref="A88:I88"/>
  </mergeCells>
  <phoneticPr fontId="9" type="noConversion"/>
  <dataValidations count="4">
    <dataValidation type="list" allowBlank="1" sqref="C6:C85" xr:uid="{00000000-0002-0000-0500-000000000000}">
      <formula1>"Beat,Meet,Miss"</formula1>
    </dataValidation>
    <dataValidation type="list" allowBlank="1" sqref="D6:D85" xr:uid="{00000000-0002-0000-0500-000001000000}">
      <formula1>"上修,维持,下修"</formula1>
    </dataValidation>
    <dataValidation type="list" allowBlank="1" sqref="E6:E85" xr:uid="{00000000-0002-0000-0500-000002000000}">
      <formula1>"高开,平开,低开"</formula1>
    </dataValidation>
    <dataValidation type="list" allowBlank="1" sqref="F6:F85" xr:uid="{00000000-0002-0000-0500-000003000000}">
      <formula1>"走高,震荡,回落,收跌,反弹"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1"/>
  <sheetViews>
    <sheetView showGridLines="0" workbookViewId="0">
      <selection sqref="A1:J1"/>
    </sheetView>
  </sheetViews>
  <sheetFormatPr defaultColWidth="9" defaultRowHeight="14.4" x14ac:dyDescent="0.25"/>
  <cols>
    <col min="1" max="1" width="18" customWidth="1"/>
    <col min="2" max="2" width="16" customWidth="1"/>
    <col min="3" max="3" width="18" customWidth="1"/>
    <col min="4" max="4" width="54" customWidth="1"/>
    <col min="5" max="5" width="34" customWidth="1"/>
    <col min="6" max="6" width="22" customWidth="1"/>
    <col min="7" max="7" width="14" customWidth="1"/>
    <col min="8" max="9" width="12" customWidth="1"/>
    <col min="10" max="10" width="26" customWidth="1"/>
  </cols>
  <sheetData>
    <row r="1" spans="1:10" x14ac:dyDescent="0.25">
      <c r="A1" s="37" t="s">
        <v>127</v>
      </c>
      <c r="B1" s="30"/>
      <c r="C1" s="30"/>
      <c r="D1" s="30"/>
      <c r="E1" s="30"/>
      <c r="F1" s="30"/>
      <c r="G1" s="30"/>
      <c r="H1" s="30"/>
      <c r="I1" s="30"/>
      <c r="J1" s="30"/>
    </row>
    <row r="2" spans="1:10" x14ac:dyDescent="0.25">
      <c r="A2" s="38" t="s">
        <v>128</v>
      </c>
      <c r="B2" s="30"/>
      <c r="C2" s="30"/>
      <c r="D2" s="30"/>
      <c r="E2" s="30"/>
      <c r="F2" s="30"/>
      <c r="G2" s="30"/>
      <c r="H2" s="30"/>
      <c r="I2" s="30"/>
      <c r="J2" s="30"/>
    </row>
    <row r="4" spans="1:10" x14ac:dyDescent="0.25">
      <c r="A4" s="32" t="s">
        <v>129</v>
      </c>
      <c r="B4" s="30"/>
      <c r="C4" s="30"/>
      <c r="D4" s="30"/>
      <c r="E4" s="30"/>
      <c r="F4" s="30"/>
      <c r="G4" s="30"/>
      <c r="H4" s="30"/>
      <c r="I4" s="30"/>
      <c r="J4" s="30"/>
    </row>
    <row r="5" spans="1:10" ht="28.8" x14ac:dyDescent="0.25">
      <c r="A5" s="3" t="s">
        <v>130</v>
      </c>
      <c r="B5" s="3" t="s">
        <v>73</v>
      </c>
      <c r="C5" s="3" t="s">
        <v>131</v>
      </c>
      <c r="D5" s="3" t="s">
        <v>132</v>
      </c>
      <c r="E5" s="3" t="s">
        <v>133</v>
      </c>
      <c r="F5" s="3" t="s">
        <v>134</v>
      </c>
      <c r="G5" s="3" t="s">
        <v>135</v>
      </c>
      <c r="H5" s="3" t="s">
        <v>136</v>
      </c>
      <c r="I5" s="3" t="s">
        <v>137</v>
      </c>
      <c r="J5" s="3" t="s">
        <v>72</v>
      </c>
    </row>
    <row r="6" spans="1:10" ht="57.6" x14ac:dyDescent="0.25">
      <c r="A6" s="4" t="s">
        <v>138</v>
      </c>
      <c r="B6" s="4" t="s">
        <v>139</v>
      </c>
      <c r="C6" s="4" t="s">
        <v>140</v>
      </c>
      <c r="D6" s="5" t="s">
        <v>141</v>
      </c>
      <c r="E6" s="5" t="s">
        <v>142</v>
      </c>
      <c r="F6" s="4" t="s">
        <v>143</v>
      </c>
      <c r="G6" s="4" t="s">
        <v>144</v>
      </c>
      <c r="H6" s="4" t="s">
        <v>145</v>
      </c>
      <c r="I6" s="4" t="s">
        <v>146</v>
      </c>
      <c r="J6" s="6" t="s">
        <v>147</v>
      </c>
    </row>
    <row r="7" spans="1:10" ht="57.6" x14ac:dyDescent="0.25">
      <c r="A7" s="4" t="s">
        <v>148</v>
      </c>
      <c r="B7" s="4" t="s">
        <v>139</v>
      </c>
      <c r="C7" s="4" t="s">
        <v>149</v>
      </c>
      <c r="D7" s="5" t="s">
        <v>141</v>
      </c>
      <c r="E7" s="5" t="s">
        <v>142</v>
      </c>
      <c r="F7" s="4" t="s">
        <v>150</v>
      </c>
      <c r="G7" s="4" t="s">
        <v>144</v>
      </c>
      <c r="H7" s="4" t="s">
        <v>145</v>
      </c>
      <c r="I7" s="4" t="s">
        <v>146</v>
      </c>
      <c r="J7" s="6" t="s">
        <v>151</v>
      </c>
    </row>
    <row r="8" spans="1:10" ht="57.6" x14ac:dyDescent="0.25">
      <c r="A8" s="4" t="s">
        <v>152</v>
      </c>
      <c r="B8" s="4" t="s">
        <v>139</v>
      </c>
      <c r="C8" s="4" t="s">
        <v>153</v>
      </c>
      <c r="D8" s="5" t="s">
        <v>141</v>
      </c>
      <c r="E8" s="5" t="s">
        <v>142</v>
      </c>
      <c r="F8" s="4" t="s">
        <v>154</v>
      </c>
      <c r="G8" s="4" t="s">
        <v>144</v>
      </c>
      <c r="H8" s="4" t="s">
        <v>145</v>
      </c>
      <c r="I8" s="4" t="s">
        <v>146</v>
      </c>
      <c r="J8" s="6" t="s">
        <v>155</v>
      </c>
    </row>
    <row r="9" spans="1:10" ht="57.6" x14ac:dyDescent="0.25">
      <c r="A9" s="4" t="s">
        <v>156</v>
      </c>
      <c r="B9" s="4" t="s">
        <v>139</v>
      </c>
      <c r="C9" s="4" t="s">
        <v>157</v>
      </c>
      <c r="D9" s="5" t="s">
        <v>141</v>
      </c>
      <c r="E9" s="5" t="s">
        <v>158</v>
      </c>
      <c r="F9" s="4" t="s">
        <v>159</v>
      </c>
      <c r="G9" s="4" t="s">
        <v>160</v>
      </c>
      <c r="H9" s="4" t="s">
        <v>145</v>
      </c>
      <c r="I9" s="4" t="s">
        <v>146</v>
      </c>
      <c r="J9" s="6" t="s">
        <v>161</v>
      </c>
    </row>
    <row r="10" spans="1:10" ht="57.6" x14ac:dyDescent="0.25">
      <c r="A10" s="4" t="s">
        <v>162</v>
      </c>
      <c r="B10" s="4" t="s">
        <v>139</v>
      </c>
      <c r="C10" s="4" t="s">
        <v>163</v>
      </c>
      <c r="D10" s="5" t="s">
        <v>141</v>
      </c>
      <c r="E10" s="5" t="s">
        <v>142</v>
      </c>
      <c r="F10" s="4" t="s">
        <v>164</v>
      </c>
      <c r="G10" s="4" t="s">
        <v>144</v>
      </c>
      <c r="H10" s="4" t="s">
        <v>145</v>
      </c>
      <c r="I10" s="4" t="s">
        <v>146</v>
      </c>
      <c r="J10" s="6" t="s">
        <v>165</v>
      </c>
    </row>
    <row r="13" spans="1:10" x14ac:dyDescent="0.25">
      <c r="A13" s="32" t="s">
        <v>166</v>
      </c>
      <c r="B13" s="30"/>
      <c r="C13" s="30"/>
      <c r="D13" s="30"/>
      <c r="E13" s="30"/>
      <c r="F13" s="30"/>
      <c r="G13" s="30"/>
      <c r="H13" s="30"/>
      <c r="I13" s="30"/>
      <c r="J13" s="30"/>
    </row>
    <row r="14" spans="1:10" ht="28.8" x14ac:dyDescent="0.25">
      <c r="A14" s="3" t="s">
        <v>130</v>
      </c>
      <c r="B14" s="3" t="s">
        <v>73</v>
      </c>
      <c r="C14" s="3" t="s">
        <v>167</v>
      </c>
      <c r="D14" s="3" t="s">
        <v>132</v>
      </c>
      <c r="E14" s="3" t="s">
        <v>133</v>
      </c>
      <c r="F14" s="3" t="s">
        <v>134</v>
      </c>
      <c r="G14" s="3" t="s">
        <v>135</v>
      </c>
      <c r="H14" s="3" t="s">
        <v>136</v>
      </c>
      <c r="I14" s="3" t="s">
        <v>137</v>
      </c>
      <c r="J14" s="3" t="s">
        <v>72</v>
      </c>
    </row>
    <row r="15" spans="1:10" ht="72" x14ac:dyDescent="0.25">
      <c r="A15" s="4" t="s">
        <v>168</v>
      </c>
      <c r="B15" s="4" t="s">
        <v>169</v>
      </c>
      <c r="C15" s="5" t="s">
        <v>170</v>
      </c>
      <c r="D15" s="5" t="s">
        <v>171</v>
      </c>
      <c r="E15" s="5" t="s">
        <v>172</v>
      </c>
      <c r="F15" s="4" t="s">
        <v>173</v>
      </c>
      <c r="G15" s="4" t="s">
        <v>144</v>
      </c>
      <c r="H15" s="4" t="s">
        <v>174</v>
      </c>
      <c r="I15" s="4" t="s">
        <v>175</v>
      </c>
      <c r="J15" s="6" t="s">
        <v>176</v>
      </c>
    </row>
    <row r="16" spans="1:10" ht="72" x14ac:dyDescent="0.25">
      <c r="A16" s="4" t="s">
        <v>177</v>
      </c>
      <c r="B16" s="4" t="s">
        <v>169</v>
      </c>
      <c r="C16" s="5" t="s">
        <v>178</v>
      </c>
      <c r="D16" s="5" t="s">
        <v>171</v>
      </c>
      <c r="E16" s="5" t="s">
        <v>179</v>
      </c>
      <c r="F16" s="4" t="s">
        <v>180</v>
      </c>
      <c r="G16" s="4" t="s">
        <v>181</v>
      </c>
      <c r="H16" s="4" t="s">
        <v>174</v>
      </c>
      <c r="I16" s="4" t="s">
        <v>146</v>
      </c>
      <c r="J16" s="6" t="s">
        <v>182</v>
      </c>
    </row>
    <row r="19" spans="1:10" x14ac:dyDescent="0.25">
      <c r="A19" s="32" t="s">
        <v>183</v>
      </c>
      <c r="B19" s="30"/>
      <c r="C19" s="30"/>
      <c r="D19" s="30"/>
      <c r="E19" s="30"/>
      <c r="F19" s="30"/>
      <c r="G19" s="30"/>
      <c r="H19" s="30"/>
      <c r="I19" s="30"/>
      <c r="J19" s="30"/>
    </row>
    <row r="20" spans="1:10" x14ac:dyDescent="0.25">
      <c r="A20" s="3" t="s">
        <v>184</v>
      </c>
      <c r="B20" s="3" t="s">
        <v>185</v>
      </c>
      <c r="C20" s="47" t="s">
        <v>186</v>
      </c>
      <c r="D20" s="48"/>
      <c r="E20" s="48"/>
      <c r="F20" s="48"/>
      <c r="G20" s="48"/>
      <c r="H20" s="48"/>
      <c r="I20" s="48"/>
      <c r="J20" s="49"/>
    </row>
    <row r="21" spans="1:10" ht="57.6" x14ac:dyDescent="0.25">
      <c r="A21" s="4" t="s">
        <v>187</v>
      </c>
      <c r="B21" s="6" t="s">
        <v>188</v>
      </c>
      <c r="C21" s="39" t="s">
        <v>189</v>
      </c>
      <c r="D21" s="30"/>
      <c r="E21" s="30"/>
      <c r="F21" s="30"/>
      <c r="G21" s="30"/>
      <c r="H21" s="30"/>
      <c r="I21" s="30"/>
      <c r="J21" s="30"/>
    </row>
    <row r="22" spans="1:10" ht="86.4" x14ac:dyDescent="0.25">
      <c r="A22" s="4" t="s">
        <v>190</v>
      </c>
      <c r="B22" s="6" t="s">
        <v>191</v>
      </c>
      <c r="C22" s="39" t="s">
        <v>192</v>
      </c>
      <c r="D22" s="30"/>
      <c r="E22" s="30"/>
      <c r="F22" s="30"/>
      <c r="G22" s="30"/>
      <c r="H22" s="30"/>
      <c r="I22" s="30"/>
      <c r="J22" s="30"/>
    </row>
    <row r="23" spans="1:10" ht="57.6" x14ac:dyDescent="0.25">
      <c r="A23" s="4" t="s">
        <v>190</v>
      </c>
      <c r="B23" s="6" t="s">
        <v>193</v>
      </c>
      <c r="C23" s="39" t="s">
        <v>194</v>
      </c>
      <c r="D23" s="30"/>
      <c r="E23" s="30"/>
      <c r="F23" s="30"/>
      <c r="G23" s="30"/>
      <c r="H23" s="30"/>
      <c r="I23" s="30"/>
      <c r="J23" s="30"/>
    </row>
    <row r="24" spans="1:10" ht="57.6" x14ac:dyDescent="0.25">
      <c r="A24" s="4" t="s">
        <v>195</v>
      </c>
      <c r="B24" s="6" t="s">
        <v>196</v>
      </c>
      <c r="C24" s="39" t="s">
        <v>197</v>
      </c>
      <c r="D24" s="30"/>
      <c r="E24" s="30"/>
      <c r="F24" s="30"/>
      <c r="G24" s="30"/>
      <c r="H24" s="30"/>
      <c r="I24" s="30"/>
      <c r="J24" s="30"/>
    </row>
    <row r="26" spans="1:10" x14ac:dyDescent="0.25">
      <c r="A26" s="32" t="s">
        <v>198</v>
      </c>
      <c r="B26" s="30"/>
      <c r="C26" s="30"/>
      <c r="D26" s="30"/>
      <c r="E26" s="30"/>
      <c r="F26" s="30"/>
      <c r="G26" s="30"/>
      <c r="H26" s="30"/>
      <c r="I26" s="30"/>
      <c r="J26" s="30"/>
    </row>
    <row r="27" spans="1:10" x14ac:dyDescent="0.25">
      <c r="A27" s="39" t="s">
        <v>199</v>
      </c>
      <c r="B27" s="40"/>
      <c r="C27" s="40"/>
      <c r="D27" s="40"/>
      <c r="E27" s="40"/>
      <c r="F27" s="40"/>
      <c r="G27" s="40"/>
      <c r="H27" s="40"/>
      <c r="I27" s="40"/>
      <c r="J27" s="41"/>
    </row>
    <row r="28" spans="1:10" x14ac:dyDescent="0.25">
      <c r="A28" s="42"/>
      <c r="B28" s="30"/>
      <c r="C28" s="30"/>
      <c r="D28" s="30"/>
      <c r="E28" s="30"/>
      <c r="F28" s="30"/>
      <c r="G28" s="30"/>
      <c r="H28" s="30"/>
      <c r="I28" s="30"/>
      <c r="J28" s="43"/>
    </row>
    <row r="29" spans="1:10" x14ac:dyDescent="0.25">
      <c r="A29" s="42"/>
      <c r="B29" s="30"/>
      <c r="C29" s="30"/>
      <c r="D29" s="30"/>
      <c r="E29" s="30"/>
      <c r="F29" s="30"/>
      <c r="G29" s="30"/>
      <c r="H29" s="30"/>
      <c r="I29" s="30"/>
      <c r="J29" s="43"/>
    </row>
    <row r="30" spans="1:10" x14ac:dyDescent="0.25">
      <c r="A30" s="42"/>
      <c r="B30" s="30"/>
      <c r="C30" s="30"/>
      <c r="D30" s="30"/>
      <c r="E30" s="30"/>
      <c r="F30" s="30"/>
      <c r="G30" s="30"/>
      <c r="H30" s="30"/>
      <c r="I30" s="30"/>
      <c r="J30" s="43"/>
    </row>
    <row r="31" spans="1:10" x14ac:dyDescent="0.25">
      <c r="A31" s="44"/>
      <c r="B31" s="45"/>
      <c r="C31" s="45"/>
      <c r="D31" s="45"/>
      <c r="E31" s="45"/>
      <c r="F31" s="45"/>
      <c r="G31" s="45"/>
      <c r="H31" s="45"/>
      <c r="I31" s="45"/>
      <c r="J31" s="46"/>
    </row>
  </sheetData>
  <mergeCells count="12">
    <mergeCell ref="A26:J26"/>
    <mergeCell ref="A27:J31"/>
    <mergeCell ref="C20:J20"/>
    <mergeCell ref="C21:J21"/>
    <mergeCell ref="C22:J22"/>
    <mergeCell ref="C23:J23"/>
    <mergeCell ref="C24:J24"/>
    <mergeCell ref="A1:J1"/>
    <mergeCell ref="A2:J2"/>
    <mergeCell ref="A4:J4"/>
    <mergeCell ref="A13:J13"/>
    <mergeCell ref="A19:J19"/>
  </mergeCells>
  <phoneticPr fontId="9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04"/>
  <sheetViews>
    <sheetView topLeftCell="A10" workbookViewId="0">
      <selection activeCell="J3" sqref="J3"/>
    </sheetView>
  </sheetViews>
  <sheetFormatPr defaultColWidth="9" defaultRowHeight="14.4" x14ac:dyDescent="0.25"/>
  <cols>
    <col min="1" max="1" width="10.44140625" bestFit="1" customWidth="1"/>
    <col min="2" max="2" width="11.6640625" bestFit="1" customWidth="1"/>
    <col min="3" max="4" width="12.77734375" bestFit="1" customWidth="1"/>
    <col min="5" max="5" width="20" bestFit="1" customWidth="1"/>
    <col min="6" max="6" width="23.6640625" bestFit="1" customWidth="1"/>
    <col min="7" max="7" width="8.21875" bestFit="1" customWidth="1"/>
    <col min="8" max="8" width="13.88671875" bestFit="1" customWidth="1"/>
    <col min="9" max="9" width="28.5546875" bestFit="1" customWidth="1"/>
    <col min="10" max="10" width="24.88671875" bestFit="1" customWidth="1"/>
    <col min="11" max="11" width="13.88671875" bestFit="1" customWidth="1"/>
  </cols>
  <sheetData>
    <row r="1" spans="1:11" x14ac:dyDescent="0.25">
      <c r="A1" t="s">
        <v>200</v>
      </c>
      <c r="B1" t="s">
        <v>201</v>
      </c>
      <c r="C1" t="s">
        <v>202</v>
      </c>
      <c r="D1" t="s">
        <v>203</v>
      </c>
      <c r="E1" t="s">
        <v>204</v>
      </c>
      <c r="F1" t="s">
        <v>205</v>
      </c>
      <c r="G1" t="s">
        <v>206</v>
      </c>
      <c r="H1" s="26" t="s">
        <v>371</v>
      </c>
      <c r="I1" s="26" t="s">
        <v>373</v>
      </c>
      <c r="J1" s="26" t="s">
        <v>372</v>
      </c>
      <c r="K1" t="s">
        <v>375</v>
      </c>
    </row>
    <row r="2" spans="1:11" x14ac:dyDescent="0.25">
      <c r="A2" t="s">
        <v>95</v>
      </c>
      <c r="B2" s="1">
        <v>46018</v>
      </c>
      <c r="C2">
        <v>143756000000</v>
      </c>
      <c r="D2">
        <v>2373000000</v>
      </c>
      <c r="E2">
        <v>51552000000</v>
      </c>
      <c r="F2">
        <v>0.29283647291243498</v>
      </c>
      <c r="G2">
        <v>1</v>
      </c>
      <c r="H2">
        <f>查询7[[#This Row],[capex]]/查询7[[#This Row],[revenue]]</f>
        <v>1.6507137093408276E-2</v>
      </c>
      <c r="I2">
        <f>查询7[[#This Row],[net_profit_margin]]-F5</f>
        <v>5.5972311356128346E-4</v>
      </c>
      <c r="J2">
        <f>查询7[[#This Row],[free_cash_flow]]/E5-1</f>
        <v>0.90968697907019824</v>
      </c>
      <c r="K2">
        <f>查询7[[#This Row],[free_cash_flow]]/E5-1</f>
        <v>0.90968697907019824</v>
      </c>
    </row>
    <row r="3" spans="1:11" x14ac:dyDescent="0.25">
      <c r="A3" t="s">
        <v>95</v>
      </c>
      <c r="B3" s="1">
        <v>45836</v>
      </c>
      <c r="C3">
        <v>313695000000</v>
      </c>
      <c r="D3">
        <v>9473000000</v>
      </c>
      <c r="E3">
        <v>72281000000</v>
      </c>
      <c r="F3">
        <v>0.26951019302188434</v>
      </c>
      <c r="G3">
        <v>2</v>
      </c>
      <c r="H3">
        <f>查询7[[#This Row],[capex]]/查询7[[#This Row],[revenue]]</f>
        <v>3.0198122380018809E-2</v>
      </c>
      <c r="I3">
        <f>查询7[[#This Row],[net_profit_margin]]-F6</f>
        <v>2.7129420467235099E-3</v>
      </c>
      <c r="J3">
        <f>查询7[[#This Row],[free_cash_flow]]/E6-1</f>
        <v>-0.14867379628757182</v>
      </c>
      <c r="K3">
        <f>查询7[[#This Row],[free_cash_flow]]/E6-1</f>
        <v>-0.14867379628757182</v>
      </c>
    </row>
    <row r="4" spans="1:11" x14ac:dyDescent="0.25">
      <c r="A4" t="s">
        <v>95</v>
      </c>
      <c r="B4" s="1">
        <v>45745</v>
      </c>
      <c r="C4">
        <v>219659000000</v>
      </c>
      <c r="D4">
        <v>6011000000</v>
      </c>
      <c r="E4">
        <v>47876000000</v>
      </c>
      <c r="F4">
        <v>0.27820394338497401</v>
      </c>
      <c r="G4">
        <v>3</v>
      </c>
      <c r="H4">
        <f>查询7[[#This Row],[capex]]/查询7[[#This Row],[revenue]]</f>
        <v>2.7365143244756647E-2</v>
      </c>
      <c r="I4">
        <f>查询7[[#This Row],[net_profit_margin]]-F7</f>
        <v>4.5741841517763504E-3</v>
      </c>
      <c r="J4">
        <f>查询7[[#This Row],[free_cash_flow]]/E7-1</f>
        <v>-0.17734591130126987</v>
      </c>
      <c r="K4">
        <f>查询7[[#This Row],[free_cash_flow]]/E7-1</f>
        <v>-0.17734591130126987</v>
      </c>
    </row>
    <row r="5" spans="1:11" x14ac:dyDescent="0.25">
      <c r="A5" t="s">
        <v>95</v>
      </c>
      <c r="B5" s="1">
        <v>45654</v>
      </c>
      <c r="C5">
        <v>124300000000</v>
      </c>
      <c r="D5">
        <v>2940000000</v>
      </c>
      <c r="E5">
        <v>26995000000</v>
      </c>
      <c r="F5">
        <v>0.29227674979887369</v>
      </c>
      <c r="G5">
        <v>4</v>
      </c>
      <c r="H5">
        <f>查询7[[#This Row],[capex]]/查询7[[#This Row],[revenue]]</f>
        <v>2.3652453740949316E-2</v>
      </c>
      <c r="I5">
        <f>查询7[[#This Row],[net_profit_margin]]-F8</f>
        <v>8.6388656257606056E-3</v>
      </c>
      <c r="J5">
        <f>查询7[[#This Row],[free_cash_flow]]/E8-1</f>
        <v>-0.28019091805988849</v>
      </c>
      <c r="K5">
        <f>查询7[[#This Row],[free_cash_flow]]/E8-1</f>
        <v>-0.28019091805988849</v>
      </c>
    </row>
    <row r="6" spans="1:11" x14ac:dyDescent="0.25">
      <c r="A6" t="s">
        <v>95</v>
      </c>
      <c r="B6" s="1">
        <v>45472</v>
      </c>
      <c r="C6">
        <v>296105000000</v>
      </c>
      <c r="D6">
        <v>6539000000</v>
      </c>
      <c r="E6">
        <v>84904000000</v>
      </c>
      <c r="F6">
        <v>0.26679725097516083</v>
      </c>
      <c r="G6">
        <v>5</v>
      </c>
      <c r="H6">
        <f>查询7[[#This Row],[capex]]/查询7[[#This Row],[revenue]]</f>
        <v>2.2083382583880717E-2</v>
      </c>
      <c r="I6">
        <f>查询7[[#This Row],[net_profit_margin]]-F9</f>
        <v>1.4781334682064107E-2</v>
      </c>
      <c r="J6">
        <f>查询7[[#This Row],[free_cash_flow]]/E9-1</f>
        <v>5.9327003456063121E-2</v>
      </c>
      <c r="K6">
        <f>查询7[[#This Row],[free_cash_flow]]/E9-1</f>
        <v>5.9327003456063121E-2</v>
      </c>
    </row>
    <row r="7" spans="1:11" x14ac:dyDescent="0.25">
      <c r="A7" t="s">
        <v>95</v>
      </c>
      <c r="B7" s="1">
        <v>45381</v>
      </c>
      <c r="C7">
        <v>210328000000</v>
      </c>
      <c r="D7">
        <v>4388000000</v>
      </c>
      <c r="E7">
        <v>58197000000</v>
      </c>
      <c r="F7">
        <v>0.27362975923319766</v>
      </c>
      <c r="G7">
        <v>6</v>
      </c>
      <c r="H7">
        <f>查询7[[#This Row],[capex]]/查询7[[#This Row],[revenue]]</f>
        <v>2.0862652618766877E-2</v>
      </c>
      <c r="I7">
        <f>查询7[[#This Row],[net_profit_margin]]-F10</f>
        <v>1.81554444070266E-2</v>
      </c>
      <c r="J7">
        <f>查询7[[#This Row],[free_cash_flow]]/E10-1</f>
        <v>4.1799434320289208E-2</v>
      </c>
      <c r="K7">
        <f>查询7[[#This Row],[free_cash_flow]]/E10-1</f>
        <v>4.1799434320289208E-2</v>
      </c>
    </row>
    <row r="8" spans="1:11" x14ac:dyDescent="0.25">
      <c r="A8" t="s">
        <v>95</v>
      </c>
      <c r="B8" s="1">
        <v>45290</v>
      </c>
      <c r="C8">
        <v>119575000000</v>
      </c>
      <c r="D8">
        <v>2392000000</v>
      </c>
      <c r="E8">
        <v>37503000000</v>
      </c>
      <c r="F8">
        <v>0.28363788417311309</v>
      </c>
      <c r="G8">
        <v>7</v>
      </c>
      <c r="H8">
        <f>查询7[[#This Row],[capex]]/查询7[[#This Row],[revenue]]</f>
        <v>2.0004181476061051E-2</v>
      </c>
      <c r="I8">
        <f>查询7[[#This Row],[net_profit_margin]]-F11</f>
        <v>2.7581752927060887E-2</v>
      </c>
      <c r="J8">
        <f>查询7[[#This Row],[free_cash_flow]]/E11-1</f>
        <v>0.2410814746177774</v>
      </c>
      <c r="K8">
        <f>查询7[[#This Row],[free_cash_flow]]/E11-1</f>
        <v>0.2410814746177774</v>
      </c>
    </row>
    <row r="9" spans="1:11" x14ac:dyDescent="0.25">
      <c r="A9" t="s">
        <v>95</v>
      </c>
      <c r="B9" s="1">
        <v>45108</v>
      </c>
      <c r="C9">
        <v>293787000000</v>
      </c>
      <c r="D9">
        <v>8796000000</v>
      </c>
      <c r="E9">
        <v>80149000000</v>
      </c>
      <c r="F9">
        <v>0.25201591629309672</v>
      </c>
      <c r="G9">
        <v>8</v>
      </c>
      <c r="H9">
        <f>查询7[[#This Row],[capex]]/查询7[[#This Row],[revenue]]</f>
        <v>2.994005861389374E-2</v>
      </c>
      <c r="I9">
        <f>查询7[[#This Row],[net_profit_margin]]-F12</f>
        <v>-7.9665941776083105E-3</v>
      </c>
      <c r="J9">
        <f>查询7[[#This Row],[free_cash_flow]]/E12-1</f>
        <v>-0.11540201975608411</v>
      </c>
      <c r="K9">
        <f>查询7[[#This Row],[free_cash_flow]]/E12-1</f>
        <v>-0.11540201975608411</v>
      </c>
    </row>
    <row r="10" spans="1:11" x14ac:dyDescent="0.25">
      <c r="A10" t="s">
        <v>95</v>
      </c>
      <c r="B10" s="1">
        <v>45017</v>
      </c>
      <c r="C10">
        <v>211990000000</v>
      </c>
      <c r="D10">
        <v>6703000000</v>
      </c>
      <c r="E10">
        <v>55862000000</v>
      </c>
      <c r="F10">
        <v>0.25547431482617106</v>
      </c>
      <c r="G10">
        <v>9</v>
      </c>
      <c r="H10">
        <f>查询7[[#This Row],[capex]]/查询7[[#This Row],[revenue]]</f>
        <v>3.1619416010189159E-2</v>
      </c>
      <c r="I10">
        <f>查询7[[#This Row],[net_profit_margin]]-F13</f>
        <v>-1.4117906597460317E-2</v>
      </c>
      <c r="J10">
        <f>查询7[[#This Row],[free_cash_flow]]/E13-1</f>
        <v>-0.19985676430566501</v>
      </c>
      <c r="K10">
        <f>查询7[[#This Row],[free_cash_flow]]/E13-1</f>
        <v>-0.19985676430566501</v>
      </c>
    </row>
    <row r="11" spans="1:11" x14ac:dyDescent="0.25">
      <c r="A11" t="s">
        <v>95</v>
      </c>
      <c r="B11" s="1">
        <v>44926</v>
      </c>
      <c r="C11">
        <v>117154000000</v>
      </c>
      <c r="D11">
        <v>3787000000</v>
      </c>
      <c r="E11">
        <v>30218000000</v>
      </c>
      <c r="F11">
        <v>0.2560561312460522</v>
      </c>
      <c r="G11">
        <v>10</v>
      </c>
      <c r="H11">
        <f>查询7[[#This Row],[capex]]/查询7[[#This Row],[revenue]]</f>
        <v>3.2324973965891048E-2</v>
      </c>
      <c r="I11">
        <f>查询7[[#This Row],[net_profit_margin]]-F14</f>
        <v>-2.3341988887878196E-2</v>
      </c>
      <c r="J11">
        <f>查询7[[#This Row],[free_cash_flow]]/E14-1</f>
        <v>-0.31576206326562961</v>
      </c>
      <c r="K11">
        <f>查询7[[#This Row],[free_cash_flow]]/E14-1</f>
        <v>-0.31576206326562961</v>
      </c>
    </row>
    <row r="12" spans="1:11" x14ac:dyDescent="0.25">
      <c r="A12" t="s">
        <v>95</v>
      </c>
      <c r="B12" s="1">
        <v>44737</v>
      </c>
      <c r="C12">
        <v>304182000000</v>
      </c>
      <c r="D12">
        <v>7419000000</v>
      </c>
      <c r="E12">
        <v>90605000000</v>
      </c>
      <c r="F12">
        <v>0.25998251047070503</v>
      </c>
      <c r="G12">
        <v>11</v>
      </c>
      <c r="H12">
        <f>查询7[[#This Row],[capex]]/查询7[[#This Row],[revenue]]</f>
        <v>2.4390003353255616E-2</v>
      </c>
      <c r="I12">
        <f>查询7[[#This Row],[net_profit_margin]]-F15</f>
        <v>-2.4609765025333519E-3</v>
      </c>
      <c r="J12">
        <f>查询7[[#This Row],[free_cash_flow]]/E15-1</f>
        <v>0.19254764662525004</v>
      </c>
      <c r="K12">
        <f>查询7[[#This Row],[free_cash_flow]]/E15-1</f>
        <v>0.19254764662525004</v>
      </c>
    </row>
    <row r="13" spans="1:11" x14ac:dyDescent="0.25">
      <c r="A13" t="s">
        <v>95</v>
      </c>
      <c r="B13" s="1">
        <v>44646</v>
      </c>
      <c r="C13">
        <v>221223000000</v>
      </c>
      <c r="D13">
        <v>5317000000</v>
      </c>
      <c r="E13">
        <v>69815000000</v>
      </c>
      <c r="F13">
        <v>0.26959222142363137</v>
      </c>
      <c r="G13">
        <v>12</v>
      </c>
      <c r="H13">
        <f>查询7[[#This Row],[capex]]/查询7[[#This Row],[revenue]]</f>
        <v>2.4034571450527297E-2</v>
      </c>
      <c r="I13">
        <f>查询7[[#This Row],[net_profit_margin]]-F16</f>
        <v>9.000149869630103E-3</v>
      </c>
      <c r="J13">
        <f>查询7[[#This Row],[free_cash_flow]]/E16-1</f>
        <v>0.22536200087757785</v>
      </c>
      <c r="K13">
        <f>查询7[[#This Row],[free_cash_flow]]/E16-1</f>
        <v>0.22536200087757785</v>
      </c>
    </row>
    <row r="14" spans="1:11" x14ac:dyDescent="0.25">
      <c r="A14" t="s">
        <v>95</v>
      </c>
      <c r="B14" s="1">
        <v>44555</v>
      </c>
      <c r="C14">
        <v>123945000000</v>
      </c>
      <c r="D14">
        <v>2803000000</v>
      </c>
      <c r="E14">
        <v>44163000000</v>
      </c>
      <c r="F14">
        <v>0.27939812013393039</v>
      </c>
      <c r="G14">
        <v>13</v>
      </c>
      <c r="H14">
        <f>查询7[[#This Row],[capex]]/查询7[[#This Row],[revenue]]</f>
        <v>2.2614869498567912E-2</v>
      </c>
      <c r="I14">
        <f>查询7[[#This Row],[net_profit_margin]]-F17</f>
        <v>2.1364577119366346E-2</v>
      </c>
      <c r="J14">
        <f>查询7[[#This Row],[free_cash_flow]]/E17-1</f>
        <v>0.25238918980234248</v>
      </c>
      <c r="K14">
        <f>查询7[[#This Row],[free_cash_flow]]/E17-1</f>
        <v>0.25238918980234248</v>
      </c>
    </row>
    <row r="15" spans="1:11" x14ac:dyDescent="0.25">
      <c r="A15" t="s">
        <v>95</v>
      </c>
      <c r="B15" s="1">
        <v>44373</v>
      </c>
      <c r="C15">
        <v>282457000000</v>
      </c>
      <c r="D15">
        <v>7862000000</v>
      </c>
      <c r="E15">
        <v>75976000000</v>
      </c>
      <c r="F15">
        <v>0.26244348697323838</v>
      </c>
      <c r="G15">
        <v>14</v>
      </c>
      <c r="H15">
        <f>查询7[[#This Row],[capex]]/查询7[[#This Row],[revenue]]</f>
        <v>2.7834325224724472E-2</v>
      </c>
      <c r="I15">
        <f>查询7[[#This Row],[net_profit_margin]]-F18</f>
        <v>4.9219582332527656E-2</v>
      </c>
      <c r="J15">
        <f>查询7[[#This Row],[free_cash_flow]]/E18-1</f>
        <v>0.39219027724332545</v>
      </c>
      <c r="K15">
        <f>查询7[[#This Row],[free_cash_flow]]/E18-1</f>
        <v>0.39219027724332545</v>
      </c>
    </row>
    <row r="16" spans="1:11" x14ac:dyDescent="0.25">
      <c r="A16" t="s">
        <v>95</v>
      </c>
      <c r="B16" s="1">
        <v>44282</v>
      </c>
      <c r="C16">
        <v>201023000000</v>
      </c>
      <c r="D16">
        <v>5769000000</v>
      </c>
      <c r="E16">
        <v>56975000000</v>
      </c>
      <c r="F16">
        <v>0.26059207155400127</v>
      </c>
      <c r="G16">
        <v>15</v>
      </c>
      <c r="H16">
        <f>查询7[[#This Row],[capex]]/查询7[[#This Row],[revenue]]</f>
        <v>2.8698208662690339E-2</v>
      </c>
      <c r="I16">
        <f>查询7[[#This Row],[net_profit_margin]]-F19</f>
        <v>3.7555010834101454E-2</v>
      </c>
      <c r="J16">
        <f>查询7[[#This Row],[free_cash_flow]]/E19-1</f>
        <v>0.42912684676549517</v>
      </c>
      <c r="K16">
        <f>查询7[[#This Row],[free_cash_flow]]/E19-1</f>
        <v>0.42912684676549517</v>
      </c>
    </row>
    <row r="17" spans="1:11" x14ac:dyDescent="0.25">
      <c r="A17" t="s">
        <v>95</v>
      </c>
      <c r="B17" s="1">
        <v>44191</v>
      </c>
      <c r="C17">
        <v>111439000000</v>
      </c>
      <c r="D17">
        <v>3500000000</v>
      </c>
      <c r="E17">
        <v>35263000000</v>
      </c>
      <c r="F17">
        <v>0.25803354301456405</v>
      </c>
      <c r="G17">
        <v>16</v>
      </c>
      <c r="H17">
        <f>查询7[[#This Row],[capex]]/查询7[[#This Row],[revenue]]</f>
        <v>3.1407317007510836E-2</v>
      </c>
      <c r="I17">
        <f>查询7[[#This Row],[net_profit_margin]]-F20</f>
        <v>1.5861443558024546E-2</v>
      </c>
      <c r="J17">
        <f>查询7[[#This Row],[free_cash_flow]]/E20-1</f>
        <v>0.24126157203703058</v>
      </c>
      <c r="K17">
        <f>查询7[[#This Row],[free_cash_flow]]/E20-1</f>
        <v>0.24126157203703058</v>
      </c>
    </row>
    <row r="18" spans="1:11" x14ac:dyDescent="0.25">
      <c r="A18" t="s">
        <v>95</v>
      </c>
      <c r="B18" s="1">
        <v>44009</v>
      </c>
      <c r="C18">
        <v>209817000000</v>
      </c>
      <c r="D18">
        <v>5525000000</v>
      </c>
      <c r="E18">
        <v>54573000000</v>
      </c>
      <c r="F18">
        <v>0.21322390464071073</v>
      </c>
      <c r="G18">
        <v>17</v>
      </c>
      <c r="H18">
        <f>查询7[[#This Row],[capex]]/查询7[[#This Row],[revenue]]</f>
        <v>2.6332470676827903E-2</v>
      </c>
      <c r="I18">
        <f>查询7[[#This Row],[net_profit_margin]]-F21</f>
        <v>1.2769704018740224E-3</v>
      </c>
      <c r="J18">
        <f>查询7[[#This Row],[free_cash_flow]]/E21-1</f>
        <v>0.30673083830184611</v>
      </c>
      <c r="K18">
        <f>查询7[[#This Row],[free_cash_flow]]/E21-1</f>
        <v>0.30673083830184611</v>
      </c>
    </row>
    <row r="19" spans="1:11" x14ac:dyDescent="0.25">
      <c r="A19" t="s">
        <v>95</v>
      </c>
      <c r="B19" s="1">
        <v>43918</v>
      </c>
      <c r="C19">
        <v>150132000000</v>
      </c>
      <c r="D19">
        <v>3960000000</v>
      </c>
      <c r="E19">
        <v>39867000000</v>
      </c>
      <c r="F19">
        <v>0.22303706071989982</v>
      </c>
      <c r="G19">
        <v>18</v>
      </c>
      <c r="H19">
        <f>查询7[[#This Row],[capex]]/查询7[[#This Row],[revenue]]</f>
        <v>2.6376788426184957E-2</v>
      </c>
      <c r="I19">
        <f>查询7[[#This Row],[net_profit_margin]]-F22</f>
        <v>1.529946720251113E-3</v>
      </c>
      <c r="J19">
        <f>查询7[[#This Row],[free_cash_flow]]/E22-1</f>
        <v>0.24091885330096185</v>
      </c>
      <c r="K19">
        <f>查询7[[#This Row],[free_cash_flow]]/E22-1</f>
        <v>0.24091885330096185</v>
      </c>
    </row>
    <row r="20" spans="1:11" x14ac:dyDescent="0.25">
      <c r="A20" t="s">
        <v>95</v>
      </c>
      <c r="B20" s="1">
        <v>43827</v>
      </c>
      <c r="C20">
        <v>91819000000</v>
      </c>
      <c r="D20">
        <v>2107000000</v>
      </c>
      <c r="E20">
        <v>28409000000</v>
      </c>
      <c r="F20">
        <v>0.2421720994565395</v>
      </c>
      <c r="G20">
        <v>19</v>
      </c>
      <c r="H20">
        <f>查询7[[#This Row],[capex]]/查询7[[#This Row],[revenue]]</f>
        <v>2.2947320271403521E-2</v>
      </c>
      <c r="I20">
        <f>查询7[[#This Row],[net_profit_margin]]-F23</f>
        <v>5.3674499487705585E-3</v>
      </c>
      <c r="J20">
        <f>查询7[[#This Row],[free_cash_flow]]/E23-1</f>
        <v>0.21744161131347761</v>
      </c>
      <c r="K20">
        <f>查询7[[#This Row],[free_cash_flow]]/E23-1</f>
        <v>0.21744161131347761</v>
      </c>
    </row>
    <row r="21" spans="1:11" x14ac:dyDescent="0.25">
      <c r="A21" t="s">
        <v>95</v>
      </c>
      <c r="B21" s="1">
        <v>43645</v>
      </c>
      <c r="C21">
        <v>196134000000</v>
      </c>
      <c r="D21">
        <v>7718000000</v>
      </c>
      <c r="E21">
        <v>41763000000</v>
      </c>
      <c r="F21">
        <v>0.2119469342388367</v>
      </c>
      <c r="G21">
        <v>20</v>
      </c>
      <c r="H21">
        <f>查询7[[#This Row],[capex]]/查询7[[#This Row],[revenue]]</f>
        <v>3.9350648026349334E-2</v>
      </c>
      <c r="I21">
        <f>查询7[[#This Row],[net_profit_margin]]-F24</f>
        <v>-1.2064511529435828E-2</v>
      </c>
      <c r="J21">
        <f>查询7[[#This Row],[free_cash_flow]]/E24-1</f>
        <v>-0.12334431873045193</v>
      </c>
      <c r="K21">
        <f>查询7[[#This Row],[free_cash_flow]]/E24-1</f>
        <v>-0.12334431873045193</v>
      </c>
    </row>
    <row r="22" spans="1:11" x14ac:dyDescent="0.25">
      <c r="A22" t="s">
        <v>95</v>
      </c>
      <c r="B22" s="1">
        <v>43554</v>
      </c>
      <c r="C22">
        <v>142325000000</v>
      </c>
      <c r="D22">
        <v>5718000000</v>
      </c>
      <c r="E22">
        <v>32127000000</v>
      </c>
      <c r="F22">
        <v>0.2215071139996487</v>
      </c>
      <c r="G22">
        <v>21</v>
      </c>
      <c r="H22">
        <f>查询7[[#This Row],[capex]]/查询7[[#This Row],[revenue]]</f>
        <v>4.0175654312313368E-2</v>
      </c>
      <c r="I22">
        <f>查询7[[#This Row],[net_profit_margin]]-F25</f>
        <v>-5.2679646324867435E-3</v>
      </c>
      <c r="J22">
        <f>查询7[[#This Row],[free_cash_flow]]/E25-1</f>
        <v>-0.11782634960733707</v>
      </c>
      <c r="K22">
        <f>查询7[[#This Row],[free_cash_flow]]/E25-1</f>
        <v>-0.11782634960733707</v>
      </c>
    </row>
    <row r="23" spans="1:11" x14ac:dyDescent="0.25">
      <c r="A23" t="s">
        <v>95</v>
      </c>
      <c r="B23" s="1">
        <v>43463</v>
      </c>
      <c r="C23">
        <v>84310000000</v>
      </c>
      <c r="D23">
        <v>3355000000</v>
      </c>
      <c r="E23">
        <v>23335000000</v>
      </c>
      <c r="F23">
        <v>0.23680464950776894</v>
      </c>
      <c r="G23">
        <v>22</v>
      </c>
      <c r="H23">
        <f>查询7[[#This Row],[capex]]/查询7[[#This Row],[revenue]]</f>
        <v>3.9793618787806906E-2</v>
      </c>
      <c r="I23">
        <f>查询7[[#This Row],[net_profit_margin]]-F26</f>
        <v>9.5499407539605952E-3</v>
      </c>
      <c r="J23">
        <f>查询7[[#This Row],[free_cash_flow]]/E26-1</f>
        <v>-8.4291488443275941E-2</v>
      </c>
      <c r="K23">
        <f>查询7[[#This Row],[free_cash_flow]]/E26-1</f>
        <v>-8.4291488443275941E-2</v>
      </c>
    </row>
    <row r="24" spans="1:11" x14ac:dyDescent="0.25">
      <c r="A24" t="s">
        <v>95</v>
      </c>
      <c r="B24" s="1">
        <v>43281</v>
      </c>
      <c r="C24">
        <v>202695000000</v>
      </c>
      <c r="D24">
        <v>10272000000</v>
      </c>
      <c r="E24">
        <v>47639000000</v>
      </c>
      <c r="F24">
        <v>0.22401144576827253</v>
      </c>
      <c r="G24">
        <v>23</v>
      </c>
      <c r="H24">
        <f>查询7[[#This Row],[capex]]/查询7[[#This Row],[revenue]]</f>
        <v>5.0677125730777768E-2</v>
      </c>
      <c r="I24">
        <f>查询7[[#This Row],[net_profit_margin]]-F27</f>
        <v>1.0957753543314269E-2</v>
      </c>
      <c r="J24">
        <f>查询7[[#This Row],[free_cash_flow]]/E27-1</f>
        <v>0.21046346173391606</v>
      </c>
      <c r="K24">
        <f>查询7[[#This Row],[free_cash_flow]]/E27-1</f>
        <v>0.21046346173391606</v>
      </c>
    </row>
    <row r="25" spans="1:11" x14ac:dyDescent="0.25">
      <c r="A25" t="s">
        <v>95</v>
      </c>
      <c r="B25" s="1">
        <v>43190</v>
      </c>
      <c r="C25">
        <v>149430000000</v>
      </c>
      <c r="D25">
        <v>7005000000</v>
      </c>
      <c r="E25">
        <v>36418000000</v>
      </c>
      <c r="F25">
        <v>0.22677507863213545</v>
      </c>
      <c r="G25">
        <v>24</v>
      </c>
      <c r="H25">
        <f>查询7[[#This Row],[capex]]/查询7[[#This Row],[revenue]]</f>
        <v>4.6878136920297131E-2</v>
      </c>
      <c r="I25">
        <f>查询7[[#This Row],[net_profit_margin]]-F28</f>
        <v>6.4271849659945091E-3</v>
      </c>
      <c r="J25">
        <f>查询7[[#This Row],[free_cash_flow]]/E28-1</f>
        <v>9.4619777577397146E-2</v>
      </c>
      <c r="K25">
        <f>查询7[[#This Row],[free_cash_flow]]/E28-1</f>
        <v>9.4619777577397146E-2</v>
      </c>
    </row>
    <row r="26" spans="1:11" x14ac:dyDescent="0.25">
      <c r="A26" t="s">
        <v>95</v>
      </c>
      <c r="B26" s="1">
        <v>43099</v>
      </c>
      <c r="C26">
        <v>88293000000</v>
      </c>
      <c r="D26">
        <v>2810000000</v>
      </c>
      <c r="E26">
        <v>25483000000</v>
      </c>
      <c r="F26">
        <v>0.22725470875380835</v>
      </c>
      <c r="G26">
        <v>25</v>
      </c>
      <c r="H26">
        <f>查询7[[#This Row],[capex]]/查询7[[#This Row],[revenue]]</f>
        <v>3.1825852559093017E-2</v>
      </c>
      <c r="I26">
        <f>查询7[[#This Row],[net_profit_margin]]-F29</f>
        <v>-1.0895370120402037E-3</v>
      </c>
      <c r="J26" t="e">
        <f>查询7[[#This Row],[free_cash_flow]]/E29-1</f>
        <v>#DIV/0!</v>
      </c>
      <c r="K26" t="e">
        <f>查询7[[#This Row],[free_cash_flow]]/E29-1</f>
        <v>#DIV/0!</v>
      </c>
    </row>
    <row r="27" spans="1:11" x14ac:dyDescent="0.25">
      <c r="A27" t="s">
        <v>95</v>
      </c>
      <c r="B27" s="1">
        <v>42917</v>
      </c>
      <c r="C27">
        <v>176655000000</v>
      </c>
      <c r="D27">
        <v>8586000000</v>
      </c>
      <c r="E27">
        <v>39356000000</v>
      </c>
      <c r="F27">
        <v>0.21305369222495826</v>
      </c>
      <c r="G27">
        <v>26</v>
      </c>
      <c r="H27">
        <f>查询7[[#This Row],[capex]]/查询7[[#This Row],[revenue]]</f>
        <v>4.8603209645920013E-2</v>
      </c>
      <c r="I27">
        <f>查询7[[#This Row],[net_profit_margin]]-F30</f>
        <v>-4.2201499548304711E-3</v>
      </c>
      <c r="J27" t="e">
        <f>查询7[[#This Row],[free_cash_flow]]/E30-1</f>
        <v>#DIV/0!</v>
      </c>
      <c r="K27" t="e">
        <f>查询7[[#This Row],[free_cash_flow]]/E30-1</f>
        <v>#DIV/0!</v>
      </c>
    </row>
    <row r="28" spans="1:11" x14ac:dyDescent="0.25">
      <c r="A28" t="s">
        <v>95</v>
      </c>
      <c r="B28" s="1">
        <v>42826</v>
      </c>
      <c r="C28">
        <v>131247000000</v>
      </c>
      <c r="D28">
        <v>6309000000</v>
      </c>
      <c r="E28">
        <v>33270000000</v>
      </c>
      <c r="F28">
        <v>0.22034789366614094</v>
      </c>
      <c r="G28">
        <v>27</v>
      </c>
      <c r="H28">
        <f>查询7[[#This Row],[capex]]/查询7[[#This Row],[revenue]]</f>
        <v>4.8069670163889459E-2</v>
      </c>
      <c r="I28">
        <f>查询7[[#This Row],[net_profit_margin]]-F31</f>
        <v>-8.056981797558066E-3</v>
      </c>
      <c r="J28" t="e">
        <f>查询7[[#This Row],[free_cash_flow]]/E31-1</f>
        <v>#DIV/0!</v>
      </c>
      <c r="K28" t="e">
        <f>查询7[[#This Row],[free_cash_flow]]/E31-1</f>
        <v>#DIV/0!</v>
      </c>
    </row>
    <row r="29" spans="1:11" x14ac:dyDescent="0.25">
      <c r="A29" t="s">
        <v>95</v>
      </c>
      <c r="B29" s="1">
        <v>42735</v>
      </c>
      <c r="C29">
        <v>78351000000</v>
      </c>
      <c r="D29">
        <v>3334000000</v>
      </c>
      <c r="F29">
        <v>0.22834424576584855</v>
      </c>
      <c r="G29">
        <v>28</v>
      </c>
      <c r="H29">
        <f>查询7[[#This Row],[capex]]/查询7[[#This Row],[revenue]]</f>
        <v>4.2552105269875302E-2</v>
      </c>
      <c r="I29">
        <f>查询7[[#This Row],[net_profit_margin]]-F32</f>
        <v>-1.3655437911924528E-2</v>
      </c>
      <c r="J29" t="e">
        <f>查询7[[#This Row],[free_cash_flow]]/E32-1</f>
        <v>#DIV/0!</v>
      </c>
      <c r="K29" t="e">
        <f>查询7[[#This Row],[free_cash_flow]]/E32-1</f>
        <v>#DIV/0!</v>
      </c>
    </row>
    <row r="30" spans="1:11" x14ac:dyDescent="0.25">
      <c r="A30" t="s">
        <v>95</v>
      </c>
      <c r="B30" s="1">
        <v>42546</v>
      </c>
      <c r="C30">
        <v>168787000000</v>
      </c>
      <c r="D30">
        <v>8757000000</v>
      </c>
      <c r="F30">
        <v>0.21727384217978873</v>
      </c>
      <c r="G30">
        <v>29</v>
      </c>
      <c r="H30">
        <f>查询7[[#This Row],[capex]]/查询7[[#This Row],[revenue]]</f>
        <v>5.1881957733711723E-2</v>
      </c>
      <c r="I30">
        <f>查询7[[#This Row],[net_profit_margin]]-F33</f>
        <v>-1.4706137404655928E-2</v>
      </c>
      <c r="J30" t="e">
        <f>查询7[[#This Row],[free_cash_flow]]/E33-1</f>
        <v>#DIV/0!</v>
      </c>
      <c r="K30" t="e">
        <f>查询7[[#This Row],[free_cash_flow]]/E33-1</f>
        <v>#DIV/0!</v>
      </c>
    </row>
    <row r="31" spans="1:11" x14ac:dyDescent="0.25">
      <c r="A31" t="s">
        <v>95</v>
      </c>
      <c r="B31" s="1">
        <v>42455</v>
      </c>
      <c r="C31">
        <v>126429000000</v>
      </c>
      <c r="D31">
        <v>5948000000</v>
      </c>
      <c r="F31">
        <v>0.228404875463699</v>
      </c>
      <c r="G31">
        <v>30</v>
      </c>
      <c r="H31">
        <f>查询7[[#This Row],[capex]]/查询7[[#This Row],[revenue]]</f>
        <v>4.7046168205079529E-2</v>
      </c>
      <c r="I31">
        <f>查询7[[#This Row],[net_profit_margin]]-F34</f>
        <v>-9.8368728339278677E-3</v>
      </c>
      <c r="J31" t="e">
        <f>查询7[[#This Row],[free_cash_flow]]/E34-1</f>
        <v>#DIV/0!</v>
      </c>
      <c r="K31" t="e">
        <f>查询7[[#This Row],[free_cash_flow]]/E34-1</f>
        <v>#DIV/0!</v>
      </c>
    </row>
    <row r="32" spans="1:11" x14ac:dyDescent="0.25">
      <c r="A32" t="s">
        <v>95</v>
      </c>
      <c r="B32" s="1">
        <v>42364</v>
      </c>
      <c r="C32">
        <v>75872000000</v>
      </c>
      <c r="D32">
        <v>3612000000</v>
      </c>
      <c r="F32">
        <v>0.24199968367777308</v>
      </c>
      <c r="G32">
        <v>31</v>
      </c>
      <c r="H32">
        <f>查询7[[#This Row],[capex]]/查询7[[#This Row],[revenue]]</f>
        <v>4.7606495149725855E-2</v>
      </c>
      <c r="I32">
        <f>查询7[[#This Row],[net_profit_margin]]-F35</f>
        <v>3.8786582498684385E-4</v>
      </c>
      <c r="J32" t="e">
        <f>查询7[[#This Row],[free_cash_flow]]/E35-1</f>
        <v>#DIV/0!</v>
      </c>
      <c r="K32" t="e">
        <f>查询7[[#This Row],[free_cash_flow]]/E35-1</f>
        <v>#DIV/0!</v>
      </c>
    </row>
    <row r="33" spans="1:11" x14ac:dyDescent="0.25">
      <c r="A33" t="s">
        <v>95</v>
      </c>
      <c r="B33" s="1">
        <v>42182</v>
      </c>
      <c r="C33">
        <v>182214000000</v>
      </c>
      <c r="D33">
        <v>7629000000</v>
      </c>
      <c r="F33">
        <v>0.23197997958444466</v>
      </c>
      <c r="G33">
        <v>32</v>
      </c>
      <c r="H33">
        <f>查询7[[#This Row],[capex]]/查询7[[#This Row],[revenue]]</f>
        <v>4.1868352596397644E-2</v>
      </c>
      <c r="I33">
        <f>查询7[[#This Row],[net_profit_margin]]-F36</f>
        <v>1.1303512341496541E-2</v>
      </c>
      <c r="J33" t="e">
        <f>查询7[[#This Row],[free_cash_flow]]/E36-1</f>
        <v>#DIV/0!</v>
      </c>
      <c r="K33" t="e">
        <f>查询7[[#This Row],[free_cash_flow]]/E36-1</f>
        <v>#DIV/0!</v>
      </c>
    </row>
    <row r="34" spans="1:11" x14ac:dyDescent="0.25">
      <c r="A34" t="s">
        <v>95</v>
      </c>
      <c r="B34" s="1">
        <v>42091</v>
      </c>
      <c r="C34">
        <v>132609000000</v>
      </c>
      <c r="D34">
        <v>5586000000</v>
      </c>
      <c r="F34">
        <v>0.23824174829762687</v>
      </c>
      <c r="G34">
        <v>33</v>
      </c>
      <c r="H34">
        <f>查询7[[#This Row],[capex]]/查询7[[#This Row],[revenue]]</f>
        <v>4.21238377485691E-2</v>
      </c>
      <c r="I34">
        <f>查询7[[#This Row],[net_profit_margin]]-F37</f>
        <v>1.2602461199602844E-2</v>
      </c>
      <c r="J34" t="e">
        <f>查询7[[#This Row],[free_cash_flow]]/E37-1</f>
        <v>#DIV/0!</v>
      </c>
      <c r="K34" t="e">
        <f>查询7[[#This Row],[free_cash_flow]]/E37-1</f>
        <v>#DIV/0!</v>
      </c>
    </row>
    <row r="35" spans="1:11" x14ac:dyDescent="0.25">
      <c r="A35" t="s">
        <v>95</v>
      </c>
      <c r="B35" s="1">
        <v>42000</v>
      </c>
      <c r="C35">
        <v>74599000000</v>
      </c>
      <c r="D35">
        <v>3217000000</v>
      </c>
      <c r="F35">
        <v>0.24161181785278624</v>
      </c>
      <c r="G35">
        <v>34</v>
      </c>
      <c r="H35">
        <f>查询7[[#This Row],[capex]]/查询7[[#This Row],[revenue]]</f>
        <v>4.3123902465180497E-2</v>
      </c>
      <c r="I35">
        <f>查询7[[#This Row],[net_profit_margin]]-F38</f>
        <v>1.4643730899284141E-2</v>
      </c>
      <c r="J35">
        <f>查询7[[#This Row],[free_cash_flow]]/E38-1</f>
        <v>-1</v>
      </c>
      <c r="K35">
        <f>查询7[[#This Row],[free_cash_flow]]/E38-1</f>
        <v>-1</v>
      </c>
    </row>
    <row r="36" spans="1:11" x14ac:dyDescent="0.25">
      <c r="A36" t="s">
        <v>95</v>
      </c>
      <c r="B36" s="1">
        <v>41818</v>
      </c>
      <c r="C36">
        <v>140672000000</v>
      </c>
      <c r="D36">
        <v>5745000000</v>
      </c>
      <c r="F36">
        <v>0.22067646724294812</v>
      </c>
      <c r="G36">
        <v>35</v>
      </c>
      <c r="H36">
        <f>查询7[[#This Row],[capex]]/查询7[[#This Row],[revenue]]</f>
        <v>4.0839683803457691E-2</v>
      </c>
      <c r="I36">
        <f>查询7[[#This Row],[net_profit_margin]]-F39</f>
        <v>-5.8734066784191241E-4</v>
      </c>
      <c r="J36">
        <f>查询7[[#This Row],[free_cash_flow]]/E39-1</f>
        <v>-1</v>
      </c>
      <c r="K36">
        <f>查询7[[#This Row],[free_cash_flow]]/E39-1</f>
        <v>-1</v>
      </c>
    </row>
    <row r="37" spans="1:11" x14ac:dyDescent="0.25">
      <c r="A37" t="s">
        <v>95</v>
      </c>
      <c r="B37" s="1">
        <v>41727</v>
      </c>
      <c r="C37">
        <v>103240000000</v>
      </c>
      <c r="D37">
        <v>3367000000</v>
      </c>
      <c r="F37">
        <v>0.22563928709802403</v>
      </c>
      <c r="G37">
        <v>36</v>
      </c>
      <c r="H37">
        <f>查询7[[#This Row],[capex]]/查询7[[#This Row],[revenue]]</f>
        <v>3.2613328167376984E-2</v>
      </c>
      <c r="I37">
        <f>查询7[[#This Row],[net_profit_margin]]-F40</f>
        <v>-4.9574616152206208E-3</v>
      </c>
      <c r="J37">
        <f>查询7[[#This Row],[free_cash_flow]]/E40-1</f>
        <v>-1</v>
      </c>
      <c r="K37">
        <f>查询7[[#This Row],[free_cash_flow]]/E40-1</f>
        <v>-1</v>
      </c>
    </row>
    <row r="38" spans="1:11" x14ac:dyDescent="0.25">
      <c r="A38" t="s">
        <v>95</v>
      </c>
      <c r="B38" s="1">
        <v>41636</v>
      </c>
      <c r="C38">
        <v>57594000000</v>
      </c>
      <c r="D38">
        <v>1985000000</v>
      </c>
      <c r="E38">
        <v>20685000000</v>
      </c>
      <c r="F38">
        <v>0.2269680869535021</v>
      </c>
      <c r="G38">
        <v>37</v>
      </c>
      <c r="H38">
        <f>查询7[[#This Row],[capex]]/查询7[[#This Row],[revenue]]</f>
        <v>3.4465395700941072E-2</v>
      </c>
      <c r="I38">
        <f>查询7[[#This Row],[net_profit_margin]]-F41</f>
        <v>-1.2942391473266313E-2</v>
      </c>
      <c r="J38">
        <f>查询7[[#This Row],[free_cash_flow]]/E41-1</f>
        <v>-2.0086219148230611E-2</v>
      </c>
      <c r="K38">
        <f>查询7[[#This Row],[free_cash_flow]]/E41-1</f>
        <v>-2.0086219148230611E-2</v>
      </c>
    </row>
    <row r="39" spans="1:11" x14ac:dyDescent="0.25">
      <c r="A39" t="s">
        <v>95</v>
      </c>
      <c r="B39" s="1">
        <v>41454</v>
      </c>
      <c r="C39">
        <v>133438000000</v>
      </c>
      <c r="D39">
        <v>6210000000</v>
      </c>
      <c r="E39">
        <v>37548000000</v>
      </c>
      <c r="F39">
        <v>0.22126380791079003</v>
      </c>
      <c r="G39">
        <v>38</v>
      </c>
      <c r="H39">
        <f>查询7[[#This Row],[capex]]/查询7[[#This Row],[revenue]]</f>
        <v>4.6538467303167012E-2</v>
      </c>
      <c r="I39">
        <f>查询7[[#This Row],[net_profit_margin]]-F42</f>
        <v>-5.6730584085360691E-2</v>
      </c>
      <c r="J39">
        <f>查询7[[#This Row],[free_cash_flow]]/E42-1</f>
        <v>1.7947188635254463E-2</v>
      </c>
      <c r="K39">
        <f>查询7[[#This Row],[free_cash_flow]]/E42-1</f>
        <v>1.7947188635254463E-2</v>
      </c>
    </row>
    <row r="40" spans="1:11" x14ac:dyDescent="0.25">
      <c r="A40" t="s">
        <v>95</v>
      </c>
      <c r="B40" s="1">
        <v>41363</v>
      </c>
      <c r="C40">
        <v>98115000000</v>
      </c>
      <c r="D40">
        <v>4325000000</v>
      </c>
      <c r="E40">
        <v>31605000000</v>
      </c>
      <c r="F40">
        <v>0.23059674871324465</v>
      </c>
      <c r="G40">
        <v>39</v>
      </c>
      <c r="H40">
        <f>查询7[[#This Row],[capex]]/查询7[[#This Row],[revenue]]</f>
        <v>4.4080925444631297E-2</v>
      </c>
      <c r="I40">
        <f>查询7[[#This Row],[net_profit_margin]]-F43</f>
        <v>-5.8064250596850164E-2</v>
      </c>
      <c r="J40">
        <f>查询7[[#This Row],[free_cash_flow]]/E43-1</f>
        <v>9.9189649775675681E-2</v>
      </c>
      <c r="K40">
        <f>查询7[[#This Row],[free_cash_flow]]/E43-1</f>
        <v>9.9189649775675681E-2</v>
      </c>
    </row>
    <row r="41" spans="1:11" x14ac:dyDescent="0.25">
      <c r="A41" t="s">
        <v>95</v>
      </c>
      <c r="B41" s="1">
        <v>41272</v>
      </c>
      <c r="C41">
        <v>54512000000</v>
      </c>
      <c r="D41">
        <v>2317000000</v>
      </c>
      <c r="E41">
        <v>21109000000</v>
      </c>
      <c r="F41">
        <v>0.23991047842676841</v>
      </c>
      <c r="G41">
        <v>40</v>
      </c>
      <c r="H41">
        <f>查询7[[#This Row],[capex]]/查询7[[#This Row],[revenue]]</f>
        <v>4.2504402700322866E-2</v>
      </c>
      <c r="I41">
        <f>查询7[[#This Row],[net_profit_margin]]-F44</f>
        <v>-4.2048384586634541E-2</v>
      </c>
      <c r="J41">
        <f>查询7[[#This Row],[free_cash_flow]]/E44-1</f>
        <v>0.30037577773670909</v>
      </c>
      <c r="K41">
        <f>查询7[[#This Row],[free_cash_flow]]/E44-1</f>
        <v>0.30037577773670909</v>
      </c>
    </row>
    <row r="42" spans="1:11" x14ac:dyDescent="0.25">
      <c r="A42" t="s">
        <v>95</v>
      </c>
      <c r="B42" s="1">
        <v>41090</v>
      </c>
      <c r="C42">
        <v>120542000000</v>
      </c>
      <c r="D42">
        <v>4834000000</v>
      </c>
      <c r="E42">
        <v>36886000000</v>
      </c>
      <c r="F42">
        <v>0.27799439199615072</v>
      </c>
      <c r="G42">
        <v>41</v>
      </c>
      <c r="H42">
        <f>查询7[[#This Row],[capex]]/查询7[[#This Row],[revenue]]</f>
        <v>4.0102205040566774E-2</v>
      </c>
      <c r="I42">
        <f>查询7[[#This Row],[net_profit_margin]]-F45</f>
        <v>3.6693550525264629E-2</v>
      </c>
      <c r="J42">
        <f>查询7[[#This Row],[free_cash_flow]]/E45-1</f>
        <v>0.50647335103124358</v>
      </c>
      <c r="K42">
        <f>查询7[[#This Row],[free_cash_flow]]/E45-1</f>
        <v>0.50647335103124358</v>
      </c>
    </row>
    <row r="43" spans="1:11" x14ac:dyDescent="0.25">
      <c r="A43" t="s">
        <v>95</v>
      </c>
      <c r="B43" s="1">
        <v>40999</v>
      </c>
      <c r="C43">
        <v>85519000000</v>
      </c>
      <c r="D43">
        <v>2778000000</v>
      </c>
      <c r="E43">
        <v>28753000000</v>
      </c>
      <c r="F43">
        <v>0.28866099931009481</v>
      </c>
      <c r="G43">
        <v>42</v>
      </c>
      <c r="H43">
        <f>查询7[[#This Row],[capex]]/查询7[[#This Row],[revenue]]</f>
        <v>3.2484009401419565E-2</v>
      </c>
      <c r="I43">
        <f>查询7[[#This Row],[net_profit_margin]]-F46</f>
        <v>5.5409365323166704E-2</v>
      </c>
      <c r="J43">
        <f>查询7[[#This Row],[free_cash_flow]]/E46-1</f>
        <v>1.0314398756535255</v>
      </c>
      <c r="K43">
        <f>查询7[[#This Row],[free_cash_flow]]/E46-1</f>
        <v>1.0314398756535255</v>
      </c>
    </row>
    <row r="44" spans="1:11" x14ac:dyDescent="0.25">
      <c r="A44" t="s">
        <v>95</v>
      </c>
      <c r="B44" s="1">
        <v>40908</v>
      </c>
      <c r="C44">
        <v>46333000000</v>
      </c>
      <c r="D44">
        <v>1321000000</v>
      </c>
      <c r="E44">
        <v>16233000000</v>
      </c>
      <c r="F44">
        <v>0.28195886301340295</v>
      </c>
      <c r="G44">
        <v>43</v>
      </c>
      <c r="H44">
        <f>查询7[[#This Row],[capex]]/查询7[[#This Row],[revenue]]</f>
        <v>2.8510996481989077E-2</v>
      </c>
      <c r="I44">
        <f>查询7[[#This Row],[net_profit_margin]]-F47</f>
        <v>5.7434724050761304E-2</v>
      </c>
      <c r="J44">
        <f>查询7[[#This Row],[free_cash_flow]]/E47-1</f>
        <v>0.89660007010164744</v>
      </c>
      <c r="K44">
        <f>查询7[[#This Row],[free_cash_flow]]/E47-1</f>
        <v>0.89660007010164744</v>
      </c>
    </row>
    <row r="45" spans="1:11" x14ac:dyDescent="0.25">
      <c r="A45" t="s">
        <v>95</v>
      </c>
      <c r="B45" s="1">
        <v>40719</v>
      </c>
      <c r="C45">
        <v>79979000000</v>
      </c>
      <c r="D45">
        <v>2615000000</v>
      </c>
      <c r="E45">
        <v>24485000000</v>
      </c>
      <c r="F45">
        <v>0.2413008414708861</v>
      </c>
      <c r="G45">
        <v>44</v>
      </c>
      <c r="H45">
        <f>查询7[[#This Row],[capex]]/查询7[[#This Row],[revenue]]</f>
        <v>3.2696082721714453E-2</v>
      </c>
      <c r="I45">
        <f>查询7[[#This Row],[net_profit_margin]]-F48</f>
        <v>2.5067162044835556E-2</v>
      </c>
      <c r="J45">
        <f>查询7[[#This Row],[free_cash_flow]]/E48-1</f>
        <v>1.0986543241621667</v>
      </c>
      <c r="K45">
        <f>查询7[[#This Row],[free_cash_flow]]/E48-1</f>
        <v>1.0986543241621667</v>
      </c>
    </row>
    <row r="46" spans="1:11" x14ac:dyDescent="0.25">
      <c r="A46" t="s">
        <v>95</v>
      </c>
      <c r="B46" s="1">
        <v>40628</v>
      </c>
      <c r="C46">
        <v>51408000000</v>
      </c>
      <c r="D46">
        <v>1838000000</v>
      </c>
      <c r="E46">
        <v>14154000000</v>
      </c>
      <c r="F46">
        <v>0.23325163398692811</v>
      </c>
      <c r="G46">
        <v>45</v>
      </c>
      <c r="H46">
        <f>查询7[[#This Row],[capex]]/查询7[[#This Row],[revenue]]</f>
        <v>3.5753190164954873E-2</v>
      </c>
      <c r="I46">
        <f>查询7[[#This Row],[net_profit_margin]]-F49</f>
        <v>1.2156438318365298E-2</v>
      </c>
      <c r="J46">
        <f>查询7[[#This Row],[free_cash_flow]]/E49-1</f>
        <v>0.89706473663047848</v>
      </c>
      <c r="K46">
        <f>查询7[[#This Row],[free_cash_flow]]/E49-1</f>
        <v>0.89706473663047848</v>
      </c>
    </row>
    <row r="47" spans="1:11" x14ac:dyDescent="0.25">
      <c r="A47" t="s">
        <v>95</v>
      </c>
      <c r="B47" s="1">
        <v>40537</v>
      </c>
      <c r="C47">
        <v>26741000000</v>
      </c>
      <c r="D47">
        <v>1214000000</v>
      </c>
      <c r="E47">
        <v>8559000000</v>
      </c>
      <c r="F47">
        <v>0.22452413896264165</v>
      </c>
      <c r="G47">
        <v>46</v>
      </c>
      <c r="H47">
        <f>查询7[[#This Row],[capex]]/查询7[[#This Row],[revenue]]</f>
        <v>4.5398451815564116E-2</v>
      </c>
      <c r="I47">
        <f>查询7[[#This Row],[net_profit_margin]]-F50</f>
        <v>0.1123617996754379</v>
      </c>
      <c r="J47">
        <f>查询7[[#This Row],[free_cash_flow]]/E50-1</f>
        <v>-2.1818558409279207</v>
      </c>
      <c r="K47">
        <f>查询7[[#This Row],[free_cash_flow]]/E50-1</f>
        <v>-2.1818558409279207</v>
      </c>
    </row>
    <row r="48" spans="1:11" x14ac:dyDescent="0.25">
      <c r="A48" t="s">
        <v>95</v>
      </c>
      <c r="B48" s="1">
        <v>40355</v>
      </c>
      <c r="C48">
        <v>44882000000</v>
      </c>
      <c r="D48">
        <v>1245000000</v>
      </c>
      <c r="E48">
        <v>11667000000</v>
      </c>
      <c r="F48">
        <v>0.21623367942605054</v>
      </c>
      <c r="G48">
        <v>47</v>
      </c>
      <c r="H48">
        <f>查询7[[#This Row],[capex]]/查询7[[#This Row],[revenue]]</f>
        <v>2.773940555233724E-2</v>
      </c>
      <c r="I48">
        <f>查询7[[#This Row],[net_profit_margin]]-F51</f>
        <v>0.10709829539109357</v>
      </c>
      <c r="J48">
        <f>查询7[[#This Row],[free_cash_flow]]/E51-1</f>
        <v>-2.5207247132429611</v>
      </c>
      <c r="K48">
        <f>查询7[[#This Row],[free_cash_flow]]/E51-1</f>
        <v>-2.5207247132429611</v>
      </c>
    </row>
    <row r="49" spans="1:11" x14ac:dyDescent="0.25">
      <c r="A49" t="s">
        <v>95</v>
      </c>
      <c r="B49" s="1">
        <v>40264</v>
      </c>
      <c r="C49">
        <v>29182000000</v>
      </c>
      <c r="D49">
        <v>650000000</v>
      </c>
      <c r="E49">
        <v>7461000000</v>
      </c>
      <c r="F49">
        <v>0.22109519566856281</v>
      </c>
      <c r="G49">
        <v>48</v>
      </c>
      <c r="H49">
        <f>查询7[[#This Row],[capex]]/查询7[[#This Row],[revenue]]</f>
        <v>2.2274004523336305E-2</v>
      </c>
      <c r="I49">
        <f>查询7[[#This Row],[net_profit_margin]]-F52</f>
        <v>0.11107187666068061</v>
      </c>
      <c r="J49">
        <f>查询7[[#This Row],[free_cash_flow]]/E52-1</f>
        <v>-1.93215892053973</v>
      </c>
      <c r="K49">
        <f>查询7[[#This Row],[free_cash_flow]]/E52-1</f>
        <v>-1.93215892053973</v>
      </c>
    </row>
    <row r="50" spans="1:11" x14ac:dyDescent="0.25">
      <c r="A50" t="s">
        <v>103</v>
      </c>
      <c r="B50" s="1">
        <v>45930</v>
      </c>
      <c r="C50">
        <v>503538000000</v>
      </c>
      <c r="D50">
        <v>92297000000</v>
      </c>
      <c r="E50">
        <v>-7242000000</v>
      </c>
      <c r="F50">
        <v>0.11216233928720375</v>
      </c>
      <c r="G50">
        <v>1</v>
      </c>
      <c r="H50">
        <f>查询7[[#This Row],[capex]]/查询7[[#This Row],[revenue]]</f>
        <v>0.18329699049525558</v>
      </c>
      <c r="I50">
        <f>查询7[[#This Row],[net_profit_margin]]-F53</f>
        <v>3.0058593878847809E-2</v>
      </c>
      <c r="J50">
        <f>查询7[[#This Row],[free_cash_flow]]/E53-1</f>
        <v>-1.6176545842217482</v>
      </c>
      <c r="K50">
        <f>查询7[[#This Row],[free_cash_flow]]/E53-1</f>
        <v>-1.6176545842217482</v>
      </c>
    </row>
    <row r="51" spans="1:11" x14ac:dyDescent="0.25">
      <c r="A51" t="s">
        <v>103</v>
      </c>
      <c r="B51" s="1">
        <v>45838</v>
      </c>
      <c r="C51">
        <v>323369000000</v>
      </c>
      <c r="D51">
        <v>57202000000</v>
      </c>
      <c r="E51">
        <v>-7672000000</v>
      </c>
      <c r="F51">
        <v>0.10913538403495697</v>
      </c>
      <c r="G51">
        <v>2</v>
      </c>
      <c r="H51">
        <f>查询7[[#This Row],[capex]]/查询7[[#This Row],[revenue]]</f>
        <v>0.17689388902461275</v>
      </c>
      <c r="I51">
        <f>查询7[[#This Row],[net_profit_margin]]-F54</f>
        <v>3.6350640152685298E-2</v>
      </c>
      <c r="J51">
        <f>查询7[[#This Row],[free_cash_flow]]/E54-1</f>
        <v>-2.8877952755905509</v>
      </c>
      <c r="K51">
        <f>查询7[[#This Row],[free_cash_flow]]/E54-1</f>
        <v>-2.8877952755905509</v>
      </c>
    </row>
    <row r="52" spans="1:11" x14ac:dyDescent="0.25">
      <c r="A52" t="s">
        <v>103</v>
      </c>
      <c r="B52" s="1">
        <v>45747</v>
      </c>
      <c r="C52">
        <v>155667000000</v>
      </c>
      <c r="D52">
        <v>25019000000</v>
      </c>
      <c r="E52">
        <v>-8004000000</v>
      </c>
      <c r="F52">
        <v>0.1100233190078822</v>
      </c>
      <c r="G52">
        <v>3</v>
      </c>
      <c r="H52">
        <f>查询7[[#This Row],[capex]]/查询7[[#This Row],[revenue]]</f>
        <v>0.16072128325207014</v>
      </c>
      <c r="I52">
        <f>查询7[[#This Row],[net_profit_margin]]-F55</f>
        <v>6.1110705131234573E-2</v>
      </c>
      <c r="J52">
        <f>查询7[[#This Row],[free_cash_flow]]/E55-1</f>
        <v>-2.8442396313364053</v>
      </c>
      <c r="K52">
        <f>查询7[[#This Row],[free_cash_flow]]/E55-1</f>
        <v>-2.8442396313364053</v>
      </c>
    </row>
    <row r="53" spans="1:11" x14ac:dyDescent="0.25">
      <c r="A53" t="s">
        <v>103</v>
      </c>
      <c r="B53" s="1">
        <v>45473</v>
      </c>
      <c r="C53">
        <v>291290000000</v>
      </c>
      <c r="D53">
        <v>32545000000</v>
      </c>
      <c r="E53">
        <v>11725000000</v>
      </c>
      <c r="F53">
        <v>8.2103745408355938E-2</v>
      </c>
      <c r="G53">
        <v>4</v>
      </c>
      <c r="H53">
        <f>查询7[[#This Row],[capex]]/查询7[[#This Row],[revenue]]</f>
        <v>0.11172714476981702</v>
      </c>
      <c r="I53">
        <f>查询7[[#This Row],[net_profit_margin]]-F56</f>
        <v>4.4196042755733689E-2</v>
      </c>
      <c r="J53">
        <f>查询7[[#This Row],[free_cash_flow]]/E56-1</f>
        <v>-3.6659845384265575</v>
      </c>
      <c r="K53">
        <f>查询7[[#This Row],[free_cash_flow]]/E56-1</f>
        <v>-3.6659845384265575</v>
      </c>
    </row>
    <row r="54" spans="1:11" x14ac:dyDescent="0.25">
      <c r="A54" t="s">
        <v>103</v>
      </c>
      <c r="B54" s="1">
        <v>45382</v>
      </c>
      <c r="C54">
        <v>143313000000</v>
      </c>
      <c r="D54">
        <v>14925000000</v>
      </c>
      <c r="E54">
        <v>4064000000</v>
      </c>
      <c r="F54">
        <v>7.2784743882271671E-2</v>
      </c>
      <c r="G54">
        <v>5</v>
      </c>
      <c r="H54">
        <f>查询7[[#This Row],[capex]]/查询7[[#This Row],[revenue]]</f>
        <v>0.10414268070586757</v>
      </c>
      <c r="I54">
        <f>查询7[[#This Row],[net_profit_margin]]-F57</f>
        <v>4.7878573873320521E-2</v>
      </c>
      <c r="J54">
        <f>查询7[[#This Row],[free_cash_flow]]/E57-1</f>
        <v>-1.4314683087376578</v>
      </c>
      <c r="K54">
        <f>查询7[[#This Row],[free_cash_flow]]/E57-1</f>
        <v>-1.4314683087376578</v>
      </c>
    </row>
    <row r="55" spans="1:11" x14ac:dyDescent="0.25">
      <c r="A55" t="s">
        <v>103</v>
      </c>
      <c r="B55" s="1">
        <v>45199</v>
      </c>
      <c r="C55">
        <v>404824000000</v>
      </c>
      <c r="D55">
        <v>38141000000</v>
      </c>
      <c r="E55">
        <v>4340000000</v>
      </c>
      <c r="F55">
        <v>4.891261387664763E-2</v>
      </c>
      <c r="G55">
        <v>6</v>
      </c>
      <c r="H55">
        <f>查询7[[#This Row],[capex]]/查询7[[#This Row],[revenue]]</f>
        <v>9.4216252000869513E-2</v>
      </c>
      <c r="I55">
        <f>查询7[[#This Row],[net_profit_margin]]-F58</f>
        <v>5.7136771517301288E-2</v>
      </c>
      <c r="J55">
        <f>查询7[[#This Row],[free_cash_flow]]/E58-1</f>
        <v>-1.1472484223383321</v>
      </c>
      <c r="K55">
        <f>查询7[[#This Row],[free_cash_flow]]/E58-1</f>
        <v>-1.1472484223383321</v>
      </c>
    </row>
    <row r="56" spans="1:11" x14ac:dyDescent="0.25">
      <c r="A56" t="s">
        <v>103</v>
      </c>
      <c r="B56" s="1">
        <v>45107</v>
      </c>
      <c r="C56">
        <v>261741000000</v>
      </c>
      <c r="D56">
        <v>25662000000</v>
      </c>
      <c r="E56">
        <v>-4398000000</v>
      </c>
      <c r="F56">
        <v>3.7907702652622249E-2</v>
      </c>
      <c r="G56">
        <v>7</v>
      </c>
      <c r="H56">
        <f>查询7[[#This Row],[capex]]/查询7[[#This Row],[revenue]]</f>
        <v>9.804348573589923E-2</v>
      </c>
      <c r="I56">
        <f>查询7[[#This Row],[net_profit_margin]]-F59</f>
        <v>6.2613396911241057E-2</v>
      </c>
      <c r="J56">
        <f>查询7[[#This Row],[free_cash_flow]]/E59-1</f>
        <v>-0.82048979591836735</v>
      </c>
      <c r="K56">
        <f>查询7[[#This Row],[free_cash_flow]]/E59-1</f>
        <v>-0.82048979591836735</v>
      </c>
    </row>
    <row r="57" spans="1:11" x14ac:dyDescent="0.25">
      <c r="A57" t="s">
        <v>103</v>
      </c>
      <c r="B57" s="1">
        <v>45016</v>
      </c>
      <c r="C57">
        <v>127358000000</v>
      </c>
      <c r="D57">
        <v>14207000000</v>
      </c>
      <c r="E57">
        <v>-9419000000</v>
      </c>
      <c r="F57">
        <v>2.4906170008951147E-2</v>
      </c>
      <c r="G57">
        <v>8</v>
      </c>
      <c r="H57">
        <f>查询7[[#This Row],[capex]]/查询7[[#This Row],[revenue]]</f>
        <v>0.11155168893983888</v>
      </c>
      <c r="I57">
        <f>查询7[[#This Row],[net_profit_margin]]-F60</f>
        <v>5.7917746389013661E-2</v>
      </c>
      <c r="J57">
        <f>查询7[[#This Row],[free_cash_flow]]/E60-1</f>
        <v>-0.46908291528098756</v>
      </c>
      <c r="K57">
        <f>查询7[[#This Row],[free_cash_flow]]/E60-1</f>
        <v>-0.46908291528098756</v>
      </c>
    </row>
    <row r="58" spans="1:11" x14ac:dyDescent="0.25">
      <c r="A58" t="s">
        <v>103</v>
      </c>
      <c r="B58" s="1">
        <v>44834</v>
      </c>
      <c r="C58">
        <v>364779000000</v>
      </c>
      <c r="D58">
        <v>47053000000</v>
      </c>
      <c r="E58">
        <v>-29474000000</v>
      </c>
      <c r="F58">
        <v>-8.2241576406536562E-3</v>
      </c>
      <c r="G58">
        <v>9</v>
      </c>
      <c r="H58">
        <f>查询7[[#This Row],[capex]]/查询7[[#This Row],[revenue]]</f>
        <v>0.12899042982189216</v>
      </c>
      <c r="I58">
        <f>查询7[[#This Row],[net_profit_margin]]-F61</f>
        <v>-6.5505827867181135E-2</v>
      </c>
      <c r="J58">
        <f>查询7[[#This Row],[free_cash_flow]]/E61-1</f>
        <v>0.64871063377524196</v>
      </c>
      <c r="K58">
        <f>查询7[[#This Row],[free_cash_flow]]/E61-1</f>
        <v>0.64871063377524196</v>
      </c>
    </row>
    <row r="59" spans="1:11" x14ac:dyDescent="0.25">
      <c r="A59" t="s">
        <v>103</v>
      </c>
      <c r="B59" s="1">
        <v>44742</v>
      </c>
      <c r="C59">
        <v>237678000000</v>
      </c>
      <c r="D59">
        <v>30675000000</v>
      </c>
      <c r="E59">
        <v>-24500000000</v>
      </c>
      <c r="F59">
        <v>-2.4705694258618804E-2</v>
      </c>
      <c r="G59">
        <v>10</v>
      </c>
      <c r="H59">
        <f>查询7[[#This Row],[capex]]/查询7[[#This Row],[revenue]]</f>
        <v>0.12906116678868049</v>
      </c>
      <c r="I59">
        <f>查询7[[#This Row],[net_profit_margin]]-F62</f>
        <v>-9.6389554221253851E-2</v>
      </c>
      <c r="J59">
        <f>查询7[[#This Row],[free_cash_flow]]/E62-1</f>
        <v>1.5947892395678882</v>
      </c>
      <c r="K59">
        <f>查询7[[#This Row],[free_cash_flow]]/E62-1</f>
        <v>1.5947892395678882</v>
      </c>
    </row>
    <row r="60" spans="1:11" x14ac:dyDescent="0.25">
      <c r="A60" t="s">
        <v>103</v>
      </c>
      <c r="B60" s="1">
        <v>44651</v>
      </c>
      <c r="C60">
        <v>116444000000</v>
      </c>
      <c r="D60">
        <v>14951000000</v>
      </c>
      <c r="E60">
        <v>-17741000000</v>
      </c>
      <c r="F60">
        <v>-3.3011576380062517E-2</v>
      </c>
      <c r="G60">
        <v>11</v>
      </c>
      <c r="H60">
        <f>查询7[[#This Row],[capex]]/查询7[[#This Row],[revenue]]</f>
        <v>0.12839648242932225</v>
      </c>
      <c r="I60">
        <f>查询7[[#This Row],[net_profit_margin]]-F63</f>
        <v>-0.10771807668415953</v>
      </c>
      <c r="J60">
        <f>查询7[[#This Row],[free_cash_flow]]/E63-1</f>
        <v>1.2545431439827168</v>
      </c>
      <c r="K60">
        <f>查询7[[#This Row],[free_cash_flow]]/E63-1</f>
        <v>1.2545431439827168</v>
      </c>
    </row>
    <row r="61" spans="1:11" x14ac:dyDescent="0.25">
      <c r="A61" t="s">
        <v>103</v>
      </c>
      <c r="B61" s="1">
        <v>44469</v>
      </c>
      <c r="C61">
        <v>332410000000</v>
      </c>
      <c r="D61">
        <v>42118000000</v>
      </c>
      <c r="E61">
        <v>-17877000000</v>
      </c>
      <c r="F61">
        <v>5.7281670226527484E-2</v>
      </c>
      <c r="G61">
        <v>12</v>
      </c>
      <c r="H61">
        <f>查询7[[#This Row],[capex]]/查询7[[#This Row],[revenue]]</f>
        <v>0.12670497277458559</v>
      </c>
      <c r="I61">
        <f>查询7[[#This Row],[net_profit_margin]]-F64</f>
        <v>3.1223129682369857E-3</v>
      </c>
      <c r="J61">
        <f>查询7[[#This Row],[free_cash_flow]]/E64-1</f>
        <v>-2.7329391236913532</v>
      </c>
      <c r="K61">
        <f>查询7[[#This Row],[free_cash_flow]]/E64-1</f>
        <v>-2.7329391236913532</v>
      </c>
    </row>
    <row r="62" spans="1:11" x14ac:dyDescent="0.25">
      <c r="A62" t="s">
        <v>103</v>
      </c>
      <c r="B62" s="1">
        <v>44377</v>
      </c>
      <c r="C62">
        <v>221598000000</v>
      </c>
      <c r="D62">
        <v>26370000000</v>
      </c>
      <c r="E62">
        <v>-9442000000</v>
      </c>
      <c r="F62">
        <v>7.1683859962635044E-2</v>
      </c>
      <c r="G62">
        <v>13</v>
      </c>
      <c r="H62">
        <f>查询7[[#This Row],[capex]]/查询7[[#This Row],[revenue]]</f>
        <v>0.11899926894647063</v>
      </c>
      <c r="I62">
        <f>查询7[[#This Row],[net_profit_margin]]-F65</f>
        <v>2.4362062002011062E-2</v>
      </c>
      <c r="J62">
        <f>查询7[[#This Row],[free_cash_flow]]/E65-1</f>
        <v>-2.0028677642060542</v>
      </c>
      <c r="K62">
        <f>查询7[[#This Row],[free_cash_flow]]/E65-1</f>
        <v>-2.0028677642060542</v>
      </c>
    </row>
    <row r="63" spans="1:11" x14ac:dyDescent="0.25">
      <c r="A63" t="s">
        <v>103</v>
      </c>
      <c r="B63" s="1">
        <v>44286</v>
      </c>
      <c r="C63">
        <v>108518000000</v>
      </c>
      <c r="D63">
        <v>12082000000</v>
      </c>
      <c r="E63">
        <v>-7869000000</v>
      </c>
      <c r="F63">
        <v>7.470650030409702E-2</v>
      </c>
      <c r="G63">
        <v>14</v>
      </c>
      <c r="H63">
        <f>查询7[[#This Row],[capex]]/查询7[[#This Row],[revenue]]</f>
        <v>0.11133636816012091</v>
      </c>
      <c r="I63">
        <f>查询7[[#This Row],[net_profit_margin]]-F66</f>
        <v>4.1108981351650434E-2</v>
      </c>
      <c r="J63">
        <f>查询7[[#This Row],[free_cash_flow]]/E66-1</f>
        <v>1.1090860359153041</v>
      </c>
      <c r="K63">
        <f>查询7[[#This Row],[free_cash_flow]]/E66-1</f>
        <v>1.1090860359153041</v>
      </c>
    </row>
    <row r="64" spans="1:11" x14ac:dyDescent="0.25">
      <c r="A64" t="s">
        <v>103</v>
      </c>
      <c r="B64" s="1">
        <v>44104</v>
      </c>
      <c r="C64">
        <v>260509000000</v>
      </c>
      <c r="D64">
        <v>25317000000</v>
      </c>
      <c r="E64">
        <v>10316000000</v>
      </c>
      <c r="F64">
        <v>5.4159357258290498E-2</v>
      </c>
      <c r="G64">
        <v>15</v>
      </c>
      <c r="H64">
        <f>查询7[[#This Row],[capex]]/查询7[[#This Row],[revenue]]</f>
        <v>9.7182822858327356E-2</v>
      </c>
      <c r="I64">
        <f>查询7[[#This Row],[net_profit_margin]]-F67</f>
        <v>1.1069749518734032E-2</v>
      </c>
      <c r="J64">
        <f>查询7[[#This Row],[free_cash_flow]]/E67-1</f>
        <v>0.41199014508623044</v>
      </c>
      <c r="K64">
        <f>查询7[[#This Row],[free_cash_flow]]/E67-1</f>
        <v>0.41199014508623044</v>
      </c>
    </row>
    <row r="65" spans="1:11" x14ac:dyDescent="0.25">
      <c r="A65" t="s">
        <v>103</v>
      </c>
      <c r="B65" s="1">
        <v>44012</v>
      </c>
      <c r="C65">
        <v>164364000000</v>
      </c>
      <c r="D65">
        <v>14254000000</v>
      </c>
      <c r="E65">
        <v>9415000000</v>
      </c>
      <c r="F65">
        <v>4.7321797960623982E-2</v>
      </c>
      <c r="G65">
        <v>16</v>
      </c>
      <c r="H65">
        <f>查询7[[#This Row],[capex]]/查询7[[#This Row],[revenue]]</f>
        <v>8.6722153269572416E-2</v>
      </c>
      <c r="I65">
        <f>查询7[[#This Row],[net_profit_margin]]-F68</f>
        <v>-2.9283969964854564E-3</v>
      </c>
      <c r="J65">
        <f>查询7[[#This Row],[free_cash_flow]]/E68-1</f>
        <v>1.2901970323522258</v>
      </c>
      <c r="K65">
        <f>查询7[[#This Row],[free_cash_flow]]/E68-1</f>
        <v>1.2901970323522258</v>
      </c>
    </row>
    <row r="66" spans="1:11" x14ac:dyDescent="0.25">
      <c r="A66" t="s">
        <v>103</v>
      </c>
      <c r="B66" s="1">
        <v>43921</v>
      </c>
      <c r="C66">
        <v>75452000000</v>
      </c>
      <c r="D66">
        <v>6795000000</v>
      </c>
      <c r="E66">
        <v>-3731000000</v>
      </c>
      <c r="F66">
        <v>3.3597518952446587E-2</v>
      </c>
      <c r="G66">
        <v>17</v>
      </c>
      <c r="H66">
        <f>查询7[[#This Row],[capex]]/查询7[[#This Row],[revenue]]</f>
        <v>9.0057254943540263E-2</v>
      </c>
      <c r="I66">
        <f>查询7[[#This Row],[net_profit_margin]]-F69</f>
        <v>-2.6050722253583562E-2</v>
      </c>
      <c r="J66">
        <f>查询7[[#This Row],[free_cash_flow]]/E69-1</f>
        <v>1.5837950138504153</v>
      </c>
      <c r="K66">
        <f>查询7[[#This Row],[free_cash_flow]]/E69-1</f>
        <v>1.5837950138504153</v>
      </c>
    </row>
    <row r="67" spans="1:11" x14ac:dyDescent="0.25">
      <c r="A67" t="s">
        <v>103</v>
      </c>
      <c r="B67" s="1">
        <v>43738</v>
      </c>
      <c r="C67">
        <v>193086000000</v>
      </c>
      <c r="D67">
        <v>11549000000</v>
      </c>
      <c r="E67">
        <v>7306000000</v>
      </c>
      <c r="F67">
        <v>4.3089607739556467E-2</v>
      </c>
      <c r="G67">
        <v>18</v>
      </c>
      <c r="H67">
        <f>查询7[[#This Row],[capex]]/查询7[[#This Row],[revenue]]</f>
        <v>5.9812725935593468E-2</v>
      </c>
      <c r="I67">
        <f>查询7[[#This Row],[net_profit_margin]]-F70</f>
        <v>-8.0960972542883092E-4</v>
      </c>
      <c r="J67">
        <f>查询7[[#This Row],[free_cash_flow]]/E70-1</f>
        <v>0.60465627059081917</v>
      </c>
      <c r="K67">
        <f>查询7[[#This Row],[free_cash_flow]]/E70-1</f>
        <v>0.60465627059081917</v>
      </c>
    </row>
    <row r="68" spans="1:11" x14ac:dyDescent="0.25">
      <c r="A68" t="s">
        <v>103</v>
      </c>
      <c r="B68" s="1">
        <v>43646</v>
      </c>
      <c r="C68">
        <v>123104000000</v>
      </c>
      <c r="D68">
        <v>6852000000</v>
      </c>
      <c r="E68">
        <v>4111000000</v>
      </c>
      <c r="F68">
        <v>5.0250194957109438E-2</v>
      </c>
      <c r="G68">
        <v>19</v>
      </c>
      <c r="H68">
        <f>查询7[[#This Row],[capex]]/查询7[[#This Row],[revenue]]</f>
        <v>5.5660254743956326E-2</v>
      </c>
      <c r="I68">
        <f>查询7[[#This Row],[net_profit_margin]]-F71</f>
        <v>1.0193617326442056E-2</v>
      </c>
      <c r="J68" t="e">
        <f>查询7[[#This Row],[free_cash_flow]]/E71-1</f>
        <v>#DIV/0!</v>
      </c>
      <c r="K68" t="e">
        <f>查询7[[#This Row],[free_cash_flow]]/E71-1</f>
        <v>#DIV/0!</v>
      </c>
    </row>
    <row r="69" spans="1:11" x14ac:dyDescent="0.25">
      <c r="A69" t="s">
        <v>103</v>
      </c>
      <c r="B69" s="1">
        <v>43555</v>
      </c>
      <c r="C69">
        <v>59700000000</v>
      </c>
      <c r="D69">
        <v>3290000000</v>
      </c>
      <c r="E69">
        <v>-1444000000</v>
      </c>
      <c r="F69">
        <v>5.9648241206030149E-2</v>
      </c>
      <c r="G69">
        <v>20</v>
      </c>
      <c r="H69">
        <f>查询7[[#This Row],[capex]]/查询7[[#This Row],[revenue]]</f>
        <v>5.5108877721943048E-2</v>
      </c>
      <c r="I69">
        <f>查询7[[#This Row],[net_profit_margin]]-F72</f>
        <v>2.7733347589008875E-2</v>
      </c>
      <c r="J69" t="e">
        <f>查询7[[#This Row],[free_cash_flow]]/E72-1</f>
        <v>#DIV/0!</v>
      </c>
      <c r="K69" t="e">
        <f>查询7[[#This Row],[free_cash_flow]]/E72-1</f>
        <v>#DIV/0!</v>
      </c>
    </row>
    <row r="70" spans="1:11" x14ac:dyDescent="0.25">
      <c r="A70" t="s">
        <v>103</v>
      </c>
      <c r="B70" s="1">
        <v>43373</v>
      </c>
      <c r="C70">
        <v>160504000000</v>
      </c>
      <c r="D70">
        <v>9693000000</v>
      </c>
      <c r="E70">
        <v>4553000000</v>
      </c>
      <c r="F70">
        <v>4.3899217464985298E-2</v>
      </c>
      <c r="G70">
        <v>21</v>
      </c>
      <c r="H70">
        <f>查询7[[#This Row],[capex]]/查询7[[#This Row],[revenue]]</f>
        <v>6.0391018292379008E-2</v>
      </c>
      <c r="I70">
        <f>查询7[[#This Row],[net_profit_margin]]-F73</f>
        <v>3.3883290778843216E-2</v>
      </c>
      <c r="J70" t="e">
        <f>查询7[[#This Row],[free_cash_flow]]/E73-1</f>
        <v>#DIV/0!</v>
      </c>
      <c r="K70" t="e">
        <f>查询7[[#This Row],[free_cash_flow]]/E73-1</f>
        <v>#DIV/0!</v>
      </c>
    </row>
    <row r="71" spans="1:11" x14ac:dyDescent="0.25">
      <c r="A71" t="s">
        <v>103</v>
      </c>
      <c r="B71" s="1">
        <v>43281</v>
      </c>
      <c r="C71">
        <v>103928000000</v>
      </c>
      <c r="F71">
        <v>4.0056577630667382E-2</v>
      </c>
      <c r="G71">
        <v>22</v>
      </c>
      <c r="H71">
        <f>查询7[[#This Row],[capex]]/查询7[[#This Row],[revenue]]</f>
        <v>0</v>
      </c>
      <c r="I71">
        <f>查询7[[#This Row],[net_profit_margin]]-F74</f>
        <v>2.7554711173948816E-2</v>
      </c>
      <c r="J71" t="e">
        <f>查询7[[#This Row],[free_cash_flow]]/E74-1</f>
        <v>#DIV/0!</v>
      </c>
      <c r="K71" t="e">
        <f>查询7[[#This Row],[free_cash_flow]]/E74-1</f>
        <v>#DIV/0!</v>
      </c>
    </row>
    <row r="72" spans="1:11" x14ac:dyDescent="0.25">
      <c r="A72" t="s">
        <v>103</v>
      </c>
      <c r="B72" s="1">
        <v>43190</v>
      </c>
      <c r="C72">
        <v>51042000000</v>
      </c>
      <c r="F72">
        <v>3.1914893617021274E-2</v>
      </c>
      <c r="G72">
        <v>23</v>
      </c>
      <c r="H72">
        <f>查询7[[#This Row],[capex]]/查询7[[#This Row],[revenue]]</f>
        <v>0</v>
      </c>
      <c r="I72">
        <f>查询7[[#This Row],[net_profit_margin]]-F75</f>
        <v>1.1642731439723854E-2</v>
      </c>
      <c r="J72">
        <f>查询7[[#This Row],[free_cash_flow]]/E75-1</f>
        <v>-1</v>
      </c>
      <c r="K72">
        <f>查询7[[#This Row],[free_cash_flow]]/E75-1</f>
        <v>-1</v>
      </c>
    </row>
    <row r="73" spans="1:11" x14ac:dyDescent="0.25">
      <c r="A73" t="s">
        <v>103</v>
      </c>
      <c r="B73" s="1">
        <v>43008</v>
      </c>
      <c r="C73">
        <v>117413000000</v>
      </c>
      <c r="F73">
        <v>1.001592668614208E-2</v>
      </c>
      <c r="G73">
        <v>24</v>
      </c>
      <c r="H73">
        <f>查询7[[#This Row],[capex]]/查询7[[#This Row],[revenue]]</f>
        <v>0</v>
      </c>
      <c r="I73">
        <f>查询7[[#This Row],[net_profit_margin]]-F76</f>
        <v>-7.5674915650558051E-3</v>
      </c>
      <c r="J73">
        <f>查询7[[#This Row],[free_cash_flow]]/E76-1</f>
        <v>-1</v>
      </c>
      <c r="K73">
        <f>查询7[[#This Row],[free_cash_flow]]/E76-1</f>
        <v>-1</v>
      </c>
    </row>
    <row r="74" spans="1:11" x14ac:dyDescent="0.25">
      <c r="A74" t="s">
        <v>103</v>
      </c>
      <c r="B74" s="1">
        <v>42916</v>
      </c>
      <c r="C74">
        <v>73669000000</v>
      </c>
      <c r="F74">
        <v>1.2501866456718566E-2</v>
      </c>
      <c r="G74">
        <v>25</v>
      </c>
      <c r="H74">
        <f>查询7[[#This Row],[capex]]/查询7[[#This Row],[revenue]]</f>
        <v>0</v>
      </c>
      <c r="I74">
        <f>查询7[[#This Row],[net_profit_margin]]-F77</f>
        <v>-1.05109669774009E-2</v>
      </c>
      <c r="J74">
        <f>查询7[[#This Row],[free_cash_flow]]/E77-1</f>
        <v>-1</v>
      </c>
      <c r="K74">
        <f>查询7[[#This Row],[free_cash_flow]]/E77-1</f>
        <v>-1</v>
      </c>
    </row>
    <row r="75" spans="1:11" x14ac:dyDescent="0.25">
      <c r="A75" t="s">
        <v>103</v>
      </c>
      <c r="B75" s="1">
        <v>42825</v>
      </c>
      <c r="C75">
        <v>35714000000</v>
      </c>
      <c r="D75">
        <v>1861000000</v>
      </c>
      <c r="E75">
        <v>-3451000000</v>
      </c>
      <c r="F75">
        <v>2.027216217729742E-2</v>
      </c>
      <c r="G75">
        <v>26</v>
      </c>
      <c r="H75">
        <f>查询7[[#This Row],[capex]]/查询7[[#This Row],[revenue]]</f>
        <v>5.2108416867334938E-2</v>
      </c>
      <c r="I75">
        <f>查询7[[#This Row],[net_profit_margin]]-F78</f>
        <v>2.6602423750452901E-3</v>
      </c>
      <c r="J75">
        <f>查询7[[#This Row],[free_cash_flow]]/E78-1</f>
        <v>3.3542976939203273E-2</v>
      </c>
      <c r="K75">
        <f>查询7[[#This Row],[free_cash_flow]]/E78-1</f>
        <v>3.3542976939203273E-2</v>
      </c>
    </row>
    <row r="76" spans="1:11" x14ac:dyDescent="0.25">
      <c r="A76" t="s">
        <v>103</v>
      </c>
      <c r="B76" s="1">
        <v>42643</v>
      </c>
      <c r="C76">
        <v>92246000000</v>
      </c>
      <c r="D76">
        <v>4731000000</v>
      </c>
      <c r="E76">
        <v>1060000000</v>
      </c>
      <c r="F76">
        <v>1.7583418251197885E-2</v>
      </c>
      <c r="G76">
        <v>27</v>
      </c>
      <c r="H76">
        <f>查询7[[#This Row],[capex]]/查询7[[#This Row],[revenue]]</f>
        <v>5.1286776662402708E-2</v>
      </c>
      <c r="I76">
        <f>查询7[[#This Row],[net_profit_margin]]-F79</f>
        <v>1.5983620330935183E-2</v>
      </c>
      <c r="J76">
        <f>查询7[[#This Row],[free_cash_flow]]/E79-1</f>
        <v>-7.1627906976744189</v>
      </c>
      <c r="K76">
        <f>查询7[[#This Row],[free_cash_flow]]/E79-1</f>
        <v>-7.1627906976744189</v>
      </c>
    </row>
    <row r="77" spans="1:11" x14ac:dyDescent="0.25">
      <c r="A77" t="s">
        <v>103</v>
      </c>
      <c r="B77" s="1">
        <v>42551</v>
      </c>
      <c r="C77">
        <v>59532000000</v>
      </c>
      <c r="D77">
        <v>2890000000</v>
      </c>
      <c r="E77">
        <v>-1585000000</v>
      </c>
      <c r="F77">
        <v>2.3012833434119466E-2</v>
      </c>
      <c r="G77">
        <v>28</v>
      </c>
      <c r="H77">
        <f>查询7[[#This Row],[capex]]/查询7[[#This Row],[revenue]]</f>
        <v>4.8545320163945443E-2</v>
      </c>
      <c r="I77">
        <f>查询7[[#This Row],[net_profit_margin]]-F80</f>
        <v>2.2250322813435822E-2</v>
      </c>
      <c r="J77">
        <f>查询7[[#This Row],[free_cash_flow]]/E80-1</f>
        <v>-6.3051702395966469E-4</v>
      </c>
      <c r="K77">
        <f>查询7[[#This Row],[free_cash_flow]]/E80-1</f>
        <v>-6.3051702395966469E-4</v>
      </c>
    </row>
    <row r="78" spans="1:11" x14ac:dyDescent="0.25">
      <c r="A78" t="s">
        <v>103</v>
      </c>
      <c r="B78" s="1">
        <v>42460</v>
      </c>
      <c r="C78">
        <v>29128000000</v>
      </c>
      <c r="D78">
        <v>1179000000</v>
      </c>
      <c r="E78">
        <v>-3339000000</v>
      </c>
      <c r="F78">
        <v>1.7611919802252129E-2</v>
      </c>
      <c r="G78">
        <v>29</v>
      </c>
      <c r="H78">
        <f>查询7[[#This Row],[capex]]/查询7[[#This Row],[revenue]]</f>
        <v>4.0476517440263662E-2</v>
      </c>
      <c r="I78">
        <f>查询7[[#This Row],[net_profit_margin]]-F81</f>
        <v>2.012105393087827E-2</v>
      </c>
      <c r="J78">
        <f>查询7[[#This Row],[free_cash_flow]]/E81-1</f>
        <v>0.40886075949367084</v>
      </c>
      <c r="K78">
        <f>查询7[[#This Row],[free_cash_flow]]/E81-1</f>
        <v>0.40886075949367084</v>
      </c>
    </row>
    <row r="79" spans="1:11" x14ac:dyDescent="0.25">
      <c r="A79" t="s">
        <v>103</v>
      </c>
      <c r="B79" s="1">
        <v>42277</v>
      </c>
      <c r="C79">
        <v>71259000000</v>
      </c>
      <c r="D79">
        <v>3280000000</v>
      </c>
      <c r="E79">
        <v>-172000000</v>
      </c>
      <c r="F79">
        <v>1.5997979202627037E-3</v>
      </c>
      <c r="G79">
        <v>30</v>
      </c>
      <c r="H79">
        <f>查询7[[#This Row],[capex]]/查询7[[#This Row],[revenue]]</f>
        <v>4.6029273495277787E-2</v>
      </c>
      <c r="I79">
        <f>查询7[[#This Row],[net_profit_margin]]-F82</f>
        <v>9.2264762085343816E-3</v>
      </c>
      <c r="J79">
        <f>查询7[[#This Row],[free_cash_flow]]/E82-1</f>
        <v>-0.95249930958298812</v>
      </c>
      <c r="K79">
        <f>查询7[[#This Row],[free_cash_flow]]/E82-1</f>
        <v>-0.95249930958298812</v>
      </c>
    </row>
    <row r="80" spans="1:11" x14ac:dyDescent="0.25">
      <c r="A80" t="s">
        <v>103</v>
      </c>
      <c r="B80" s="1">
        <v>42185</v>
      </c>
      <c r="C80">
        <v>45901000000</v>
      </c>
      <c r="D80">
        <v>2084000000</v>
      </c>
      <c r="E80">
        <v>-1586000000</v>
      </c>
      <c r="F80">
        <v>7.625106206836452E-4</v>
      </c>
      <c r="G80">
        <v>31</v>
      </c>
      <c r="H80">
        <f>查询7[[#This Row],[capex]]/查询7[[#This Row],[revenue]]</f>
        <v>4.5402060957277619E-2</v>
      </c>
      <c r="I80">
        <f>查询7[[#This Row],[net_profit_margin]]-F83</f>
        <v>1.2230924891107582E-3</v>
      </c>
      <c r="J80">
        <f>查询7[[#This Row],[free_cash_flow]]/E83-1</f>
        <v>-0.6044887780548629</v>
      </c>
      <c r="K80">
        <f>查询7[[#This Row],[free_cash_flow]]/E83-1</f>
        <v>-0.6044887780548629</v>
      </c>
    </row>
    <row r="81" spans="1:11" x14ac:dyDescent="0.25">
      <c r="A81" t="s">
        <v>103</v>
      </c>
      <c r="B81" s="1">
        <v>42094</v>
      </c>
      <c r="C81">
        <v>22717000000</v>
      </c>
      <c r="D81">
        <v>871000000</v>
      </c>
      <c r="E81">
        <v>-2370000000</v>
      </c>
      <c r="F81">
        <v>-2.5091341286261389E-3</v>
      </c>
      <c r="G81">
        <v>32</v>
      </c>
      <c r="H81">
        <f>查询7[[#This Row],[capex]]/查询7[[#This Row],[revenue]]</f>
        <v>3.8341330281287139E-2</v>
      </c>
      <c r="I81">
        <f>查询7[[#This Row],[net_profit_margin]]-F84</f>
        <v>-7.9799816034247812E-3</v>
      </c>
      <c r="J81">
        <f>查询7[[#This Row],[free_cash_flow]]/E84-1</f>
        <v>-0.33835845896147398</v>
      </c>
      <c r="K81">
        <f>查询7[[#This Row],[free_cash_flow]]/E84-1</f>
        <v>-0.33835845896147398</v>
      </c>
    </row>
    <row r="82" spans="1:11" x14ac:dyDescent="0.25">
      <c r="A82" t="s">
        <v>103</v>
      </c>
      <c r="B82" s="1">
        <v>41912</v>
      </c>
      <c r="C82">
        <v>59659000000</v>
      </c>
      <c r="D82">
        <v>3748000000</v>
      </c>
      <c r="E82">
        <v>-3621000000</v>
      </c>
      <c r="F82">
        <v>-7.6266782882716769E-3</v>
      </c>
      <c r="G82">
        <v>33</v>
      </c>
      <c r="H82">
        <f>查询7[[#This Row],[capex]]/查询7[[#This Row],[revenue]]</f>
        <v>6.2823714778993955E-2</v>
      </c>
      <c r="I82">
        <f>查询7[[#This Row],[net_profit_margin]]-F85</f>
        <v>-8.3224728242381144E-3</v>
      </c>
      <c r="J82">
        <f>查询7[[#This Row],[free_cash_flow]]/E85-1</f>
        <v>0.3571964017991005</v>
      </c>
      <c r="K82">
        <f>查询7[[#This Row],[free_cash_flow]]/E85-1</f>
        <v>0.3571964017991005</v>
      </c>
    </row>
    <row r="83" spans="1:11" x14ac:dyDescent="0.25">
      <c r="A83" t="s">
        <v>103</v>
      </c>
      <c r="B83" s="1">
        <v>41820</v>
      </c>
      <c r="C83">
        <v>39081000000</v>
      </c>
      <c r="D83">
        <v>2370000000</v>
      </c>
      <c r="E83">
        <v>-4010000000</v>
      </c>
      <c r="F83">
        <v>-4.6058186842711294E-4</v>
      </c>
      <c r="G83">
        <v>34</v>
      </c>
      <c r="H83">
        <f>查询7[[#This Row],[capex]]/查询7[[#This Row],[revenue]]</f>
        <v>6.06432793429032E-2</v>
      </c>
      <c r="I83">
        <f>查询7[[#This Row],[net_profit_margin]]-F86</f>
        <v>-2.8210023379934253E-3</v>
      </c>
      <c r="J83">
        <f>查询7[[#This Row],[free_cash_flow]]/E86-1</f>
        <v>0.32869449966865472</v>
      </c>
      <c r="K83">
        <f>查询7[[#This Row],[free_cash_flow]]/E86-1</f>
        <v>0.32869449966865472</v>
      </c>
    </row>
    <row r="84" spans="1:11" x14ac:dyDescent="0.25">
      <c r="A84" t="s">
        <v>103</v>
      </c>
      <c r="B84" s="1">
        <v>41729</v>
      </c>
      <c r="C84">
        <v>19741000000</v>
      </c>
      <c r="D84">
        <v>1080000000</v>
      </c>
      <c r="E84">
        <v>-3582000000</v>
      </c>
      <c r="F84">
        <v>5.4708474747986423E-3</v>
      </c>
      <c r="G84">
        <v>35</v>
      </c>
      <c r="H84">
        <f>查询7[[#This Row],[capex]]/查询7[[#This Row],[revenue]]</f>
        <v>5.4708474747986423E-2</v>
      </c>
      <c r="I84">
        <f>查询7[[#This Row],[net_profit_margin]]-F87</f>
        <v>3.6817168139478395E-4</v>
      </c>
      <c r="J84">
        <f>查询7[[#This Row],[free_cash_flow]]/E87-1</f>
        <v>0.1775147928994083</v>
      </c>
      <c r="K84">
        <f>查询7[[#This Row],[free_cash_flow]]/E87-1</f>
        <v>0.1775147928994083</v>
      </c>
    </row>
    <row r="85" spans="1:11" x14ac:dyDescent="0.25">
      <c r="A85" t="s">
        <v>103</v>
      </c>
      <c r="B85" s="1">
        <v>41547</v>
      </c>
      <c r="C85">
        <v>48865000000</v>
      </c>
      <c r="D85">
        <v>2565000000</v>
      </c>
      <c r="E85">
        <v>-2668000000</v>
      </c>
      <c r="F85">
        <v>6.9579453596643813E-4</v>
      </c>
      <c r="G85">
        <v>36</v>
      </c>
      <c r="H85">
        <f>查询7[[#This Row],[capex]]/查询7[[#This Row],[revenue]]</f>
        <v>5.2491558375115113E-2</v>
      </c>
      <c r="I85">
        <f>查询7[[#This Row],[net_profit_margin]]-F88</f>
        <v>6.9579453596643813E-4</v>
      </c>
      <c r="J85" t="e">
        <f>查询7[[#This Row],[free_cash_flow]]/E88-1</f>
        <v>#DIV/0!</v>
      </c>
      <c r="K85" t="e">
        <f>查询7[[#This Row],[free_cash_flow]]/E88-1</f>
        <v>#DIV/0!</v>
      </c>
    </row>
    <row r="86" spans="1:11" x14ac:dyDescent="0.25">
      <c r="A86" t="s">
        <v>103</v>
      </c>
      <c r="B86" s="1">
        <v>41455</v>
      </c>
      <c r="C86">
        <v>31774000000</v>
      </c>
      <c r="D86">
        <v>1526000000</v>
      </c>
      <c r="E86">
        <v>-3018000000</v>
      </c>
      <c r="F86">
        <v>2.3604204695663123E-3</v>
      </c>
      <c r="G86">
        <v>37</v>
      </c>
      <c r="H86">
        <f>查询7[[#This Row],[capex]]/查询7[[#This Row],[revenue]]</f>
        <v>4.8026688487442563E-2</v>
      </c>
      <c r="I86">
        <f>查询7[[#This Row],[net_profit_margin]]-F89</f>
        <v>2.3604204695663123E-3</v>
      </c>
      <c r="J86" t="e">
        <f>查询7[[#This Row],[free_cash_flow]]/E89-1</f>
        <v>#DIV/0!</v>
      </c>
      <c r="K86" t="e">
        <f>查询7[[#This Row],[free_cash_flow]]/E89-1</f>
        <v>#DIV/0!</v>
      </c>
    </row>
    <row r="87" spans="1:11" x14ac:dyDescent="0.25">
      <c r="A87" t="s">
        <v>103</v>
      </c>
      <c r="B87" s="1">
        <v>41364</v>
      </c>
      <c r="C87">
        <v>16070000000</v>
      </c>
      <c r="D87">
        <v>670000000</v>
      </c>
      <c r="E87">
        <v>-3042000000</v>
      </c>
      <c r="F87">
        <v>5.1026757934038583E-3</v>
      </c>
      <c r="G87">
        <v>38</v>
      </c>
      <c r="H87">
        <f>查询7[[#This Row],[capex]]/查询7[[#This Row],[revenue]]</f>
        <v>4.1692594897324207E-2</v>
      </c>
      <c r="I87">
        <f>查询7[[#This Row],[net_profit_margin]]-F90</f>
        <v>5.1026757934038583E-3</v>
      </c>
      <c r="J87" t="e">
        <f>查询7[[#This Row],[free_cash_flow]]/E90-1</f>
        <v>#DIV/0!</v>
      </c>
      <c r="K87" t="e">
        <f>查询7[[#This Row],[free_cash_flow]]/E90-1</f>
        <v>#DIV/0!</v>
      </c>
    </row>
    <row r="88" spans="1:11" x14ac:dyDescent="0.25">
      <c r="A88" t="s">
        <v>103</v>
      </c>
      <c r="B88" s="1">
        <v>41182</v>
      </c>
      <c r="G88">
        <v>39</v>
      </c>
      <c r="H88" t="e">
        <f>查询7[[#This Row],[capex]]/查询7[[#This Row],[revenue]]</f>
        <v>#DIV/0!</v>
      </c>
      <c r="I88">
        <f>查询7[[#This Row],[net_profit_margin]]-F91</f>
        <v>0</v>
      </c>
      <c r="J88" t="e">
        <f>查询7[[#This Row],[free_cash_flow]]/E91-1</f>
        <v>#DIV/0!</v>
      </c>
      <c r="K88" t="e">
        <f>查询7[[#This Row],[free_cash_flow]]/E91-1</f>
        <v>#DIV/0!</v>
      </c>
    </row>
    <row r="89" spans="1:11" x14ac:dyDescent="0.25">
      <c r="A89" t="s">
        <v>103</v>
      </c>
      <c r="B89" s="1">
        <v>41090</v>
      </c>
      <c r="G89">
        <v>40</v>
      </c>
      <c r="H89" t="e">
        <f>查询7[[#This Row],[capex]]/查询7[[#This Row],[revenue]]</f>
        <v>#DIV/0!</v>
      </c>
      <c r="I89">
        <f>查询7[[#This Row],[net_profit_margin]]-F92</f>
        <v>0</v>
      </c>
      <c r="J89" t="e">
        <f>查询7[[#This Row],[free_cash_flow]]/E92-1</f>
        <v>#DIV/0!</v>
      </c>
      <c r="K89" t="e">
        <f>查询7[[#This Row],[free_cash_flow]]/E92-1</f>
        <v>#DIV/0!</v>
      </c>
    </row>
    <row r="90" spans="1:11" x14ac:dyDescent="0.25">
      <c r="A90" t="s">
        <v>103</v>
      </c>
      <c r="B90" s="1">
        <v>40999</v>
      </c>
      <c r="G90">
        <v>41</v>
      </c>
      <c r="H90" t="e">
        <f>查询7[[#This Row],[capex]]/查询7[[#This Row],[revenue]]</f>
        <v>#DIV/0!</v>
      </c>
      <c r="I90">
        <f>查询7[[#This Row],[net_profit_margin]]-F93</f>
        <v>-2.0391599878259104E-2</v>
      </c>
      <c r="J90">
        <f>查询7[[#This Row],[free_cash_flow]]/E93-1</f>
        <v>-1</v>
      </c>
      <c r="K90">
        <f>查询7[[#This Row],[free_cash_flow]]/E93-1</f>
        <v>-1</v>
      </c>
    </row>
    <row r="91" spans="1:11" x14ac:dyDescent="0.25">
      <c r="A91" t="s">
        <v>103</v>
      </c>
      <c r="B91" s="1">
        <v>40816</v>
      </c>
      <c r="G91">
        <v>42</v>
      </c>
      <c r="H91" t="e">
        <f>查询7[[#This Row],[capex]]/查询7[[#This Row],[revenue]]</f>
        <v>#DIV/0!</v>
      </c>
      <c r="I91">
        <f>查询7[[#This Row],[net_profit_margin]]-F94</f>
        <v>-3.4623888601401892E-2</v>
      </c>
      <c r="J91">
        <f>查询7[[#This Row],[free_cash_flow]]/E94-1</f>
        <v>-1</v>
      </c>
      <c r="K91">
        <f>查询7[[#This Row],[free_cash_flow]]/E94-1</f>
        <v>-1</v>
      </c>
    </row>
    <row r="92" spans="1:11" x14ac:dyDescent="0.25">
      <c r="A92" t="s">
        <v>103</v>
      </c>
      <c r="B92" s="1">
        <v>40724</v>
      </c>
      <c r="G92">
        <v>43</v>
      </c>
      <c r="H92" t="e">
        <f>查询7[[#This Row],[capex]]/查询7[[#This Row],[revenue]]</f>
        <v>#DIV/0!</v>
      </c>
      <c r="I92">
        <f>查询7[[#This Row],[net_profit_margin]]-F95</f>
        <v>-3.6869387457107397E-2</v>
      </c>
      <c r="J92">
        <f>查询7[[#This Row],[free_cash_flow]]/E95-1</f>
        <v>-1</v>
      </c>
      <c r="K92">
        <f>查询7[[#This Row],[free_cash_flow]]/E95-1</f>
        <v>-1</v>
      </c>
    </row>
    <row r="93" spans="1:11" x14ac:dyDescent="0.25">
      <c r="A93" t="s">
        <v>103</v>
      </c>
      <c r="B93" s="1">
        <v>40633</v>
      </c>
      <c r="C93">
        <v>9857000000</v>
      </c>
      <c r="D93">
        <v>298000000</v>
      </c>
      <c r="E93">
        <v>-1884000000</v>
      </c>
      <c r="F93">
        <v>2.0391599878259104E-2</v>
      </c>
      <c r="G93">
        <v>44</v>
      </c>
      <c r="H93">
        <f>查询7[[#This Row],[capex]]/查询7[[#This Row],[revenue]]</f>
        <v>3.0232322207568225E-2</v>
      </c>
      <c r="I93">
        <f>查询7[[#This Row],[net_profit_margin]]-F96</f>
        <v>-2.1538003262955314E-2</v>
      </c>
      <c r="J93">
        <f>查询7[[#This Row],[free_cash_flow]]/E96-1</f>
        <v>0.52180936995153471</v>
      </c>
      <c r="K93">
        <f>查询7[[#This Row],[free_cash_flow]]/E96-1</f>
        <v>0.52180936995153471</v>
      </c>
    </row>
    <row r="94" spans="1:11" x14ac:dyDescent="0.25">
      <c r="A94" t="s">
        <v>103</v>
      </c>
      <c r="B94" s="1">
        <v>40451</v>
      </c>
      <c r="C94">
        <v>21257000000</v>
      </c>
      <c r="D94">
        <v>651000000</v>
      </c>
      <c r="E94">
        <v>-644000000</v>
      </c>
      <c r="F94">
        <v>3.4623888601401892E-2</v>
      </c>
      <c r="G94">
        <v>45</v>
      </c>
      <c r="H94">
        <f>查询7[[#This Row],[capex]]/查询7[[#This Row],[revenue]]</f>
        <v>3.0625205814555204E-2</v>
      </c>
      <c r="I94">
        <f>查询7[[#This Row],[net_profit_margin]]-F97</f>
        <v>-0.3034821088311862</v>
      </c>
      <c r="J94">
        <f>查询7[[#This Row],[free_cash_flow]]/E97-1</f>
        <v>-1.0132197475110336</v>
      </c>
      <c r="K94">
        <f>查询7[[#This Row],[free_cash_flow]]/E97-1</f>
        <v>-1.0132197475110336</v>
      </c>
    </row>
    <row r="95" spans="1:11" x14ac:dyDescent="0.25">
      <c r="A95" t="s">
        <v>103</v>
      </c>
      <c r="B95" s="1">
        <v>40359</v>
      </c>
      <c r="C95">
        <v>13697000000</v>
      </c>
      <c r="D95">
        <v>336000000</v>
      </c>
      <c r="E95">
        <v>-1184000000</v>
      </c>
      <c r="F95">
        <v>3.6869387457107397E-2</v>
      </c>
      <c r="G95">
        <v>46</v>
      </c>
      <c r="H95">
        <f>查询7[[#This Row],[capex]]/查询7[[#This Row],[revenue]]</f>
        <v>2.4530919179382348E-2</v>
      </c>
      <c r="I95">
        <f>查询7[[#This Row],[net_profit_margin]]-F98</f>
        <v>-0.29922472918152287</v>
      </c>
      <c r="J95">
        <f>查询7[[#This Row],[free_cash_flow]]/E98-1</f>
        <v>-1.0488166900305105</v>
      </c>
      <c r="K95">
        <f>查询7[[#This Row],[free_cash_flow]]/E98-1</f>
        <v>-1.0488166900305105</v>
      </c>
    </row>
    <row r="96" spans="1:11" x14ac:dyDescent="0.25">
      <c r="A96" t="s">
        <v>103</v>
      </c>
      <c r="B96" s="1">
        <v>40268</v>
      </c>
      <c r="C96">
        <v>7131000000</v>
      </c>
      <c r="D96">
        <v>140000000</v>
      </c>
      <c r="E96">
        <v>-1238000000</v>
      </c>
      <c r="F96">
        <v>4.1929603141214418E-2</v>
      </c>
      <c r="G96">
        <v>47</v>
      </c>
      <c r="H96">
        <f>查询7[[#This Row],[capex]]/查询7[[#This Row],[revenue]]</f>
        <v>1.9632590099565278E-2</v>
      </c>
      <c r="I96">
        <f>查询7[[#This Row],[net_profit_margin]]-F99</f>
        <v>-0.34085294002433292</v>
      </c>
      <c r="J96">
        <f>查询7[[#This Row],[free_cash_flow]]/E99-1</f>
        <v>-1.0653194744895267</v>
      </c>
      <c r="K96">
        <f>查询7[[#This Row],[free_cash_flow]]/E99-1</f>
        <v>-1.0653194744895267</v>
      </c>
    </row>
    <row r="97" spans="1:11" x14ac:dyDescent="0.25">
      <c r="A97" t="s">
        <v>101</v>
      </c>
      <c r="B97" s="1">
        <v>45930</v>
      </c>
      <c r="C97">
        <v>289007000000</v>
      </c>
      <c r="D97">
        <v>63596000000</v>
      </c>
      <c r="E97">
        <v>48715000000</v>
      </c>
      <c r="F97">
        <v>0.33810599743258812</v>
      </c>
      <c r="G97">
        <v>1</v>
      </c>
      <c r="H97">
        <f>查询7[[#This Row],[capex]]/查询7[[#This Row],[revenue]]</f>
        <v>0.22005003339019469</v>
      </c>
      <c r="I97">
        <f>查询7[[#This Row],[net_profit_margin]]-F100</f>
        <v>4.7897793101275454E-2</v>
      </c>
      <c r="J97">
        <f>查询7[[#This Row],[free_cash_flow]]/E100-1</f>
        <v>1.6441671709057415E-2</v>
      </c>
      <c r="K97">
        <f>查询7[[#This Row],[free_cash_flow]]/E100-1</f>
        <v>1.6441671709057415E-2</v>
      </c>
    </row>
    <row r="98" spans="1:11" x14ac:dyDescent="0.25">
      <c r="A98" t="s">
        <v>101</v>
      </c>
      <c r="B98" s="1">
        <v>45838</v>
      </c>
      <c r="C98">
        <v>186662000000</v>
      </c>
      <c r="D98">
        <v>39643000000</v>
      </c>
      <c r="E98">
        <v>24254000000</v>
      </c>
      <c r="F98">
        <v>0.33609411663863026</v>
      </c>
      <c r="G98">
        <v>2</v>
      </c>
      <c r="H98">
        <f>查询7[[#This Row],[capex]]/查询7[[#This Row],[revenue]]</f>
        <v>0.212378523748808</v>
      </c>
      <c r="I98">
        <f>查询7[[#This Row],[net_profit_margin]]-F101</f>
        <v>5.0029777724901525E-2</v>
      </c>
      <c r="J98">
        <f>查询7[[#This Row],[free_cash_flow]]/E101-1</f>
        <v>-0.19927368768570486</v>
      </c>
      <c r="K98">
        <f>查询7[[#This Row],[free_cash_flow]]/E101-1</f>
        <v>-0.19927368768570486</v>
      </c>
    </row>
    <row r="99" spans="1:11" x14ac:dyDescent="0.25">
      <c r="A99" t="s">
        <v>101</v>
      </c>
      <c r="B99" s="1">
        <v>45747</v>
      </c>
      <c r="C99">
        <v>90234000000</v>
      </c>
      <c r="D99">
        <v>17197000000</v>
      </c>
      <c r="E99">
        <v>18953000000</v>
      </c>
      <c r="F99">
        <v>0.38278254316554733</v>
      </c>
      <c r="G99">
        <v>3</v>
      </c>
      <c r="H99">
        <f>查询7[[#This Row],[capex]]/查询7[[#This Row],[revenue]]</f>
        <v>0.19058226389165947</v>
      </c>
      <c r="I99">
        <f>查询7[[#This Row],[net_profit_margin]]-F102</f>
        <v>8.8986990700282043E-2</v>
      </c>
      <c r="J99">
        <f>查询7[[#This Row],[free_cash_flow]]/E102-1</f>
        <v>0.1257424566405323</v>
      </c>
      <c r="K99">
        <f>查询7[[#This Row],[free_cash_flow]]/E102-1</f>
        <v>0.1257424566405323</v>
      </c>
    </row>
    <row r="100" spans="1:11" x14ac:dyDescent="0.25">
      <c r="A100" t="s">
        <v>101</v>
      </c>
      <c r="B100" s="1">
        <v>45565</v>
      </c>
      <c r="C100">
        <v>253549000000</v>
      </c>
      <c r="D100">
        <v>38259000000</v>
      </c>
      <c r="E100">
        <v>47927000000</v>
      </c>
      <c r="F100">
        <v>0.29020820433131267</v>
      </c>
      <c r="G100">
        <v>4</v>
      </c>
      <c r="H100">
        <f>查询7[[#This Row],[capex]]/查询7[[#This Row],[revenue]]</f>
        <v>0.15089391005288919</v>
      </c>
      <c r="I100">
        <f>查询7[[#This Row],[net_profit_margin]]-F103</f>
        <v>4.9991815990229643E-2</v>
      </c>
      <c r="J100">
        <f>查询7[[#This Row],[free_cash_flow]]/E103-1</f>
        <v>-0.22195165505933534</v>
      </c>
      <c r="K100">
        <f>查询7[[#This Row],[free_cash_flow]]/E103-1</f>
        <v>-0.22195165505933534</v>
      </c>
    </row>
    <row r="101" spans="1:11" x14ac:dyDescent="0.25">
      <c r="A101" t="s">
        <v>101</v>
      </c>
      <c r="B101" s="1">
        <v>45473</v>
      </c>
      <c r="C101">
        <v>165281000000</v>
      </c>
      <c r="D101">
        <v>25198000000</v>
      </c>
      <c r="E101">
        <v>30290000000</v>
      </c>
      <c r="F101">
        <v>0.28606433891372873</v>
      </c>
      <c r="G101">
        <v>5</v>
      </c>
      <c r="H101">
        <f>查询7[[#This Row],[capex]]/查询7[[#This Row],[revenue]]</f>
        <v>0.15245551515298189</v>
      </c>
      <c r="I101">
        <f>查询7[[#This Row],[net_profit_margin]]-F104</f>
        <v>5.4616395482351421E-2</v>
      </c>
      <c r="J101">
        <f>查询7[[#This Row],[free_cash_flow]]/E104-1</f>
        <v>-0.22329350223088362</v>
      </c>
      <c r="K101">
        <f>查询7[[#This Row],[free_cash_flow]]/E104-1</f>
        <v>-0.22329350223088362</v>
      </c>
    </row>
    <row r="102" spans="1:11" x14ac:dyDescent="0.25">
      <c r="A102" t="s">
        <v>101</v>
      </c>
      <c r="B102" s="1">
        <v>45382</v>
      </c>
      <c r="C102">
        <v>80539000000</v>
      </c>
      <c r="D102">
        <v>12012000000</v>
      </c>
      <c r="E102">
        <v>16836000000</v>
      </c>
      <c r="F102">
        <v>0.29379555246526529</v>
      </c>
      <c r="G102">
        <v>6</v>
      </c>
      <c r="H102">
        <f>查询7[[#This Row],[capex]]/查询7[[#This Row],[revenue]]</f>
        <v>0.14914513465526019</v>
      </c>
      <c r="I102">
        <f>查询7[[#This Row],[net_profit_margin]]-F105</f>
        <v>7.81250121067458E-2</v>
      </c>
      <c r="J102">
        <f>查询7[[#This Row],[free_cash_flow]]/E105-1</f>
        <v>-2.2299651567944223E-2</v>
      </c>
      <c r="K102">
        <f>查询7[[#This Row],[free_cash_flow]]/E105-1</f>
        <v>-2.2299651567944223E-2</v>
      </c>
    </row>
    <row r="103" spans="1:11" x14ac:dyDescent="0.25">
      <c r="A103" t="s">
        <v>101</v>
      </c>
      <c r="B103" s="1">
        <v>45199</v>
      </c>
      <c r="C103">
        <v>221084000000</v>
      </c>
      <c r="D103">
        <v>21232000000</v>
      </c>
      <c r="E103">
        <v>61599000000</v>
      </c>
      <c r="F103">
        <v>0.24021638834108303</v>
      </c>
      <c r="G103">
        <v>7</v>
      </c>
      <c r="H103">
        <f>查询7[[#This Row],[capex]]/查询7[[#This Row],[revenue]]</f>
        <v>9.6035895858587683E-2</v>
      </c>
      <c r="I103">
        <f>查询7[[#This Row],[net_profit_margin]]-F106</f>
        <v>1.608345993131069E-2</v>
      </c>
      <c r="J103">
        <f>查询7[[#This Row],[free_cash_flow]]/E106-1</f>
        <v>0.40026369030028874</v>
      </c>
      <c r="K103">
        <f>查询7[[#This Row],[free_cash_flow]]/E106-1</f>
        <v>0.40026369030028874</v>
      </c>
    </row>
    <row r="104" spans="1:11" x14ac:dyDescent="0.25">
      <c r="A104" t="s">
        <v>101</v>
      </c>
      <c r="B104" s="1">
        <v>45107</v>
      </c>
      <c r="C104">
        <v>144391000000</v>
      </c>
      <c r="D104">
        <v>13177000000</v>
      </c>
      <c r="E104">
        <v>38998000000</v>
      </c>
      <c r="F104">
        <v>0.23144794343137731</v>
      </c>
      <c r="G104">
        <v>8</v>
      </c>
      <c r="H104">
        <f>查询7[[#This Row],[capex]]/查询7[[#This Row],[revenue]]</f>
        <v>9.1259150501070016E-2</v>
      </c>
      <c r="I104">
        <f>查询7[[#This Row],[net_profit_margin]]-F107</f>
        <v>-4.1289796455457606E-3</v>
      </c>
      <c r="J104">
        <f>查询7[[#This Row],[free_cash_flow]]/E107-1</f>
        <v>0.39707673568818525</v>
      </c>
      <c r="K104">
        <f>查询7[[#This Row],[free_cash_flow]]/E107-1</f>
        <v>0.39707673568818525</v>
      </c>
    </row>
    <row r="105" spans="1:11" x14ac:dyDescent="0.25">
      <c r="A105" t="s">
        <v>101</v>
      </c>
      <c r="B105" s="1">
        <v>45016</v>
      </c>
      <c r="C105">
        <v>69787000000</v>
      </c>
      <c r="D105">
        <v>6289000000</v>
      </c>
      <c r="E105">
        <v>17220000000</v>
      </c>
      <c r="F105">
        <v>0.21567054035851949</v>
      </c>
      <c r="G105">
        <v>9</v>
      </c>
      <c r="H105">
        <f>查询7[[#This Row],[capex]]/查询7[[#This Row],[revenue]]</f>
        <v>9.0117070514565745E-2</v>
      </c>
      <c r="I105">
        <f>查询7[[#This Row],[net_profit_margin]]-F108</f>
        <v>-2.5996248837345887E-2</v>
      </c>
      <c r="J105">
        <f>查询7[[#This Row],[free_cash_flow]]/E108-1</f>
        <v>0.12402088772845943</v>
      </c>
      <c r="K105">
        <f>查询7[[#This Row],[free_cash_flow]]/E108-1</f>
        <v>0.12402088772845943</v>
      </c>
    </row>
    <row r="106" spans="1:11" x14ac:dyDescent="0.25">
      <c r="A106" t="s">
        <v>101</v>
      </c>
      <c r="B106" s="1">
        <v>44834</v>
      </c>
      <c r="C106">
        <v>206788000000</v>
      </c>
      <c r="D106">
        <v>23890000000</v>
      </c>
      <c r="E106">
        <v>43991000000</v>
      </c>
      <c r="F106">
        <v>0.22413292840977234</v>
      </c>
      <c r="G106">
        <v>10</v>
      </c>
      <c r="H106">
        <f>查询7[[#This Row],[capex]]/查询7[[#This Row],[revenue]]</f>
        <v>0.11552894752113275</v>
      </c>
      <c r="I106">
        <f>查询7[[#This Row],[net_profit_margin]]-F109</f>
        <v>-7.9692382047026999E-2</v>
      </c>
      <c r="J106">
        <f>查询7[[#This Row],[free_cash_flow]]/E109-1</f>
        <v>-9.2239120117207696E-2</v>
      </c>
      <c r="K106">
        <f>查询7[[#This Row],[free_cash_flow]]/E109-1</f>
        <v>-9.2239120117207696E-2</v>
      </c>
    </row>
    <row r="107" spans="1:11" x14ac:dyDescent="0.25">
      <c r="A107" t="s">
        <v>101</v>
      </c>
      <c r="B107" s="1">
        <v>44742</v>
      </c>
      <c r="C107">
        <v>137696000000</v>
      </c>
      <c r="D107">
        <v>16614000000</v>
      </c>
      <c r="E107">
        <v>27914000000</v>
      </c>
      <c r="F107">
        <v>0.23557692307692307</v>
      </c>
      <c r="G107">
        <v>11</v>
      </c>
      <c r="H107">
        <f>查询7[[#This Row],[capex]]/查询7[[#This Row],[revenue]]</f>
        <v>0.1206570996978852</v>
      </c>
      <c r="I107">
        <f>查询7[[#This Row],[net_profit_margin]]-F110</f>
        <v>-7.5488489828174465E-2</v>
      </c>
      <c r="J107">
        <f>查询7[[#This Row],[free_cash_flow]]/E110-1</f>
        <v>-6.1430348676910662E-2</v>
      </c>
      <c r="K107">
        <f>查询7[[#This Row],[free_cash_flow]]/E110-1</f>
        <v>-6.1430348676910662E-2</v>
      </c>
    </row>
    <row r="108" spans="1:11" x14ac:dyDescent="0.25">
      <c r="A108" t="s">
        <v>101</v>
      </c>
      <c r="B108" s="1">
        <v>44651</v>
      </c>
      <c r="C108">
        <v>68011000000</v>
      </c>
      <c r="D108">
        <v>9786000000</v>
      </c>
      <c r="E108">
        <v>15320000000</v>
      </c>
      <c r="F108">
        <v>0.24166678919586537</v>
      </c>
      <c r="G108">
        <v>12</v>
      </c>
      <c r="H108">
        <f>查询7[[#This Row],[capex]]/查询7[[#This Row],[revenue]]</f>
        <v>0.14388848862683978</v>
      </c>
      <c r="I108">
        <f>查询7[[#This Row],[net_profit_margin]]-F111</f>
        <v>-8.2482612402283384E-2</v>
      </c>
      <c r="J108">
        <f>查询7[[#This Row],[free_cash_flow]]/E111-1</f>
        <v>0.14782348093204467</v>
      </c>
      <c r="K108">
        <f>查询7[[#This Row],[free_cash_flow]]/E111-1</f>
        <v>0.14782348093204467</v>
      </c>
    </row>
    <row r="109" spans="1:11" x14ac:dyDescent="0.25">
      <c r="A109" t="s">
        <v>101</v>
      </c>
      <c r="B109" s="1">
        <v>44469</v>
      </c>
      <c r="C109">
        <v>182312000000</v>
      </c>
      <c r="D109">
        <v>18257000000</v>
      </c>
      <c r="E109">
        <v>48461000000</v>
      </c>
      <c r="F109">
        <v>0.30382531045679934</v>
      </c>
      <c r="G109">
        <v>13</v>
      </c>
      <c r="H109">
        <f>查询7[[#This Row],[capex]]/查询7[[#This Row],[revenue]]</f>
        <v>0.10014151564351222</v>
      </c>
      <c r="I109">
        <f>查询7[[#This Row],[net_profit_margin]]-F112</f>
        <v>0.10449235389422223</v>
      </c>
      <c r="J109">
        <f>查询7[[#This Row],[free_cash_flow]]/E112-1</f>
        <v>0.8896860986547086</v>
      </c>
      <c r="K109">
        <f>查询7[[#This Row],[free_cash_flow]]/E112-1</f>
        <v>0.8896860986547086</v>
      </c>
    </row>
    <row r="110" spans="1:11" x14ac:dyDescent="0.25">
      <c r="A110" t="s">
        <v>101</v>
      </c>
      <c r="B110" s="1">
        <v>44377</v>
      </c>
      <c r="C110">
        <v>117194000000</v>
      </c>
      <c r="D110">
        <v>11438000000</v>
      </c>
      <c r="E110">
        <v>29741000000</v>
      </c>
      <c r="F110">
        <v>0.31106541290509754</v>
      </c>
      <c r="G110">
        <v>14</v>
      </c>
      <c r="H110">
        <f>查询7[[#This Row],[capex]]/查询7[[#This Row],[revenue]]</f>
        <v>9.7598853183610085E-2</v>
      </c>
      <c r="I110">
        <f>查询7[[#This Row],[net_profit_margin]]-F113</f>
        <v>0.13744730980401015</v>
      </c>
      <c r="J110">
        <f>查询7[[#This Row],[free_cash_flow]]/E113-1</f>
        <v>1.117098519362187</v>
      </c>
      <c r="K110">
        <f>查询7[[#This Row],[free_cash_flow]]/E113-1</f>
        <v>1.117098519362187</v>
      </c>
    </row>
    <row r="111" spans="1:11" x14ac:dyDescent="0.25">
      <c r="A111" t="s">
        <v>101</v>
      </c>
      <c r="B111" s="1">
        <v>44286</v>
      </c>
      <c r="C111">
        <v>55314000000</v>
      </c>
      <c r="D111">
        <v>5942000000</v>
      </c>
      <c r="E111">
        <v>13347000000</v>
      </c>
      <c r="F111">
        <v>0.32414940159814876</v>
      </c>
      <c r="G111">
        <v>15</v>
      </c>
      <c r="H111">
        <f>查询7[[#This Row],[capex]]/查询7[[#This Row],[revenue]]</f>
        <v>0.10742307553241494</v>
      </c>
      <c r="I111">
        <f>查询7[[#This Row],[net_profit_margin]]-F114</f>
        <v>0.15806179014014443</v>
      </c>
      <c r="J111">
        <f>查询7[[#This Row],[free_cash_flow]]/E114-1</f>
        <v>1.4507895703268452</v>
      </c>
      <c r="K111">
        <f>查询7[[#This Row],[free_cash_flow]]/E114-1</f>
        <v>1.4507895703268452</v>
      </c>
    </row>
    <row r="112" spans="1:11" x14ac:dyDescent="0.25">
      <c r="A112" t="s">
        <v>101</v>
      </c>
      <c r="B112" s="1">
        <v>44104</v>
      </c>
      <c r="C112">
        <v>125629000000</v>
      </c>
      <c r="D112">
        <v>16802000000</v>
      </c>
      <c r="E112">
        <v>25645000000</v>
      </c>
      <c r="F112">
        <v>0.1993329565625771</v>
      </c>
      <c r="G112">
        <v>16</v>
      </c>
      <c r="H112">
        <f>查询7[[#This Row],[capex]]/查询7[[#This Row],[revenue]]</f>
        <v>0.13374300519784443</v>
      </c>
      <c r="I112">
        <f>查询7[[#This Row],[net_profit_margin]]-F115</f>
        <v>-5.1202399619258432E-3</v>
      </c>
      <c r="J112">
        <f>查询7[[#This Row],[free_cash_flow]]/E115-1</f>
        <v>0.1348851617471345</v>
      </c>
      <c r="K112">
        <f>查询7[[#This Row],[free_cash_flow]]/E115-1</f>
        <v>0.1348851617471345</v>
      </c>
    </row>
    <row r="113" spans="1:11" x14ac:dyDescent="0.25">
      <c r="A113" t="s">
        <v>101</v>
      </c>
      <c r="B113" s="1">
        <v>44012</v>
      </c>
      <c r="C113">
        <v>79456000000</v>
      </c>
      <c r="D113">
        <v>11396000000</v>
      </c>
      <c r="E113">
        <v>14048000000</v>
      </c>
      <c r="F113">
        <v>0.17361810310108738</v>
      </c>
      <c r="G113">
        <v>17</v>
      </c>
      <c r="H113">
        <f>查询7[[#This Row],[capex]]/查询7[[#This Row],[revenue]]</f>
        <v>0.14342529198550141</v>
      </c>
      <c r="I113">
        <f>查询7[[#This Row],[net_profit_margin]]-F116</f>
        <v>-4.6936338140627226E-2</v>
      </c>
      <c r="J113">
        <f>查询7[[#This Row],[free_cash_flow]]/E116-1</f>
        <v>1.3344874846714205E-2</v>
      </c>
      <c r="K113">
        <f>查询7[[#This Row],[free_cash_flow]]/E116-1</f>
        <v>1.3344874846714205E-2</v>
      </c>
    </row>
    <row r="114" spans="1:11" x14ac:dyDescent="0.25">
      <c r="A114" t="s">
        <v>101</v>
      </c>
      <c r="B114" s="1">
        <v>43921</v>
      </c>
      <c r="C114">
        <v>41159000000</v>
      </c>
      <c r="D114">
        <v>6005000000</v>
      </c>
      <c r="E114">
        <v>5446000000</v>
      </c>
      <c r="F114">
        <v>0.16608761145800433</v>
      </c>
      <c r="G114">
        <v>18</v>
      </c>
      <c r="H114">
        <f>查询7[[#This Row],[capex]]/查询7[[#This Row],[revenue]]</f>
        <v>0.14589761656016911</v>
      </c>
      <c r="I114">
        <f>查询7[[#This Row],[net_profit_margin]]-F117</f>
        <v>-1.710400085934069E-2</v>
      </c>
      <c r="J114">
        <f>查询7[[#This Row],[free_cash_flow]]/E117-1</f>
        <v>-0.26025536538983973</v>
      </c>
      <c r="K114">
        <f>查询7[[#This Row],[free_cash_flow]]/E117-1</f>
        <v>-0.26025536538983973</v>
      </c>
    </row>
    <row r="115" spans="1:11" x14ac:dyDescent="0.25">
      <c r="A115" t="s">
        <v>101</v>
      </c>
      <c r="B115" s="1">
        <v>43738</v>
      </c>
      <c r="C115">
        <v>115782000000</v>
      </c>
      <c r="D115">
        <v>17496000000</v>
      </c>
      <c r="E115">
        <v>22597000000</v>
      </c>
      <c r="F115">
        <v>0.20445319652450294</v>
      </c>
      <c r="G115">
        <v>19</v>
      </c>
      <c r="H115">
        <f>查询7[[#This Row],[capex]]/查询7[[#This Row],[revenue]]</f>
        <v>0.15111157174690365</v>
      </c>
      <c r="I115">
        <f>查询7[[#This Row],[net_profit_margin]]-F118</f>
        <v>-1.891495905816315E-2</v>
      </c>
      <c r="J115">
        <f>查询7[[#This Row],[free_cash_flow]]/E118-1</f>
        <v>0.33504667375635111</v>
      </c>
      <c r="K115">
        <f>查询7[[#This Row],[free_cash_flow]]/E118-1</f>
        <v>0.33504667375635111</v>
      </c>
    </row>
    <row r="116" spans="1:11" x14ac:dyDescent="0.25">
      <c r="A116" t="s">
        <v>101</v>
      </c>
      <c r="B116" s="1">
        <v>43646</v>
      </c>
      <c r="C116">
        <v>75283000000</v>
      </c>
      <c r="D116">
        <v>10764000000</v>
      </c>
      <c r="E116">
        <v>13863000000</v>
      </c>
      <c r="F116">
        <v>0.22055444124171461</v>
      </c>
      <c r="G116">
        <v>20</v>
      </c>
      <c r="H116">
        <f>查询7[[#This Row],[capex]]/查询7[[#This Row],[revenue]]</f>
        <v>0.14298048696252805</v>
      </c>
      <c r="I116">
        <f>查询7[[#This Row],[net_profit_margin]]-F119</f>
        <v>2.3134257237827638E-2</v>
      </c>
      <c r="J116">
        <f>查询7[[#This Row],[free_cash_flow]]/E119-1</f>
        <v>0.54067570571238055</v>
      </c>
      <c r="K116">
        <f>查询7[[#This Row],[free_cash_flow]]/E119-1</f>
        <v>0.54067570571238055</v>
      </c>
    </row>
    <row r="117" spans="1:11" x14ac:dyDescent="0.25">
      <c r="A117" t="s">
        <v>101</v>
      </c>
      <c r="B117" s="1">
        <v>43555</v>
      </c>
      <c r="C117">
        <v>36339000000</v>
      </c>
      <c r="D117">
        <v>4638000000</v>
      </c>
      <c r="E117">
        <v>7362000000</v>
      </c>
      <c r="F117">
        <v>0.18319161231734502</v>
      </c>
      <c r="G117">
        <v>21</v>
      </c>
      <c r="H117">
        <f>查询7[[#This Row],[capex]]/查询7[[#This Row],[revenue]]</f>
        <v>0.12763147032114258</v>
      </c>
      <c r="I117">
        <f>查询7[[#This Row],[net_profit_margin]]-F120</f>
        <v>-0.11864489959429694</v>
      </c>
      <c r="J117">
        <f>查询7[[#This Row],[free_cash_flow]]/E120-1</f>
        <v>0.69514160718397422</v>
      </c>
      <c r="K117">
        <f>查询7[[#This Row],[free_cash_flow]]/E120-1</f>
        <v>0.69514160718397422</v>
      </c>
    </row>
    <row r="118" spans="1:11" x14ac:dyDescent="0.25">
      <c r="A118" t="s">
        <v>101</v>
      </c>
      <c r="B118" s="1">
        <v>43373</v>
      </c>
      <c r="C118">
        <v>97543000000</v>
      </c>
      <c r="D118">
        <v>18058000000</v>
      </c>
      <c r="E118">
        <v>16926000000</v>
      </c>
      <c r="F118">
        <v>0.22336815558266609</v>
      </c>
      <c r="G118">
        <v>22</v>
      </c>
      <c r="H118">
        <f>查询7[[#This Row],[capex]]/查询7[[#This Row],[revenue]]</f>
        <v>0.18512860994638261</v>
      </c>
      <c r="I118">
        <f>查询7[[#This Row],[net_profit_margin]]-F121</f>
        <v>2.3678856952808192E-2</v>
      </c>
      <c r="J118">
        <f>查询7[[#This Row],[free_cash_flow]]/E121-1</f>
        <v>-5.6837178201270433E-2</v>
      </c>
      <c r="K118">
        <f>查询7[[#This Row],[free_cash_flow]]/E121-1</f>
        <v>-5.6837178201270433E-2</v>
      </c>
    </row>
    <row r="119" spans="1:11" x14ac:dyDescent="0.25">
      <c r="A119" t="s">
        <v>101</v>
      </c>
      <c r="B119" s="1">
        <v>43281</v>
      </c>
      <c r="C119">
        <v>63803000000</v>
      </c>
      <c r="D119">
        <v>12776000000</v>
      </c>
      <c r="E119">
        <v>8998000000</v>
      </c>
      <c r="F119">
        <v>0.19742018400388697</v>
      </c>
      <c r="G119">
        <v>23</v>
      </c>
      <c r="H119">
        <f>查询7[[#This Row],[capex]]/查询7[[#This Row],[revenue]]</f>
        <v>0.2002413679607542</v>
      </c>
      <c r="I119">
        <f>查询7[[#This Row],[net_profit_margin]]-F122</f>
        <v>2.1100247045652137E-2</v>
      </c>
      <c r="J119">
        <f>查询7[[#This Row],[free_cash_flow]]/E122-1</f>
        <v>-0.22511195315191179</v>
      </c>
      <c r="K119">
        <f>查询7[[#This Row],[free_cash_flow]]/E122-1</f>
        <v>-0.22511195315191179</v>
      </c>
    </row>
    <row r="120" spans="1:11" x14ac:dyDescent="0.25">
      <c r="A120" t="s">
        <v>101</v>
      </c>
      <c r="B120" s="1">
        <v>43190</v>
      </c>
      <c r="C120">
        <v>31146000000</v>
      </c>
      <c r="D120">
        <v>7299000000</v>
      </c>
      <c r="E120">
        <v>4343000000</v>
      </c>
      <c r="F120">
        <v>0.30183651191164196</v>
      </c>
      <c r="G120">
        <v>24</v>
      </c>
      <c r="H120">
        <f>查询7[[#This Row],[capex]]/查询7[[#This Row],[revenue]]</f>
        <v>0.2343479098439607</v>
      </c>
      <c r="I120">
        <f>查询7[[#This Row],[net_profit_margin]]-F123</f>
        <v>8.2604188679318735E-2</v>
      </c>
      <c r="J120">
        <f>查询7[[#This Row],[free_cash_flow]]/E123-1</f>
        <v>-0.38309659090909087</v>
      </c>
      <c r="K120">
        <f>查询7[[#This Row],[free_cash_flow]]/E123-1</f>
        <v>-0.38309659090909087</v>
      </c>
    </row>
    <row r="121" spans="1:11" x14ac:dyDescent="0.25">
      <c r="A121" t="s">
        <v>101</v>
      </c>
      <c r="B121" s="1">
        <v>43008</v>
      </c>
      <c r="C121">
        <v>78532000000</v>
      </c>
      <c r="D121">
        <v>8877000000</v>
      </c>
      <c r="E121">
        <v>17946000000</v>
      </c>
      <c r="F121">
        <v>0.1996892986298579</v>
      </c>
      <c r="G121">
        <v>25</v>
      </c>
      <c r="H121">
        <f>查询7[[#This Row],[capex]]/查询7[[#This Row],[revenue]]</f>
        <v>0.11303672388325778</v>
      </c>
      <c r="I121">
        <f>查询7[[#This Row],[net_profit_margin]]-F124</f>
        <v>-2.0610352503957208E-2</v>
      </c>
      <c r="J121">
        <f>查询7[[#This Row],[free_cash_flow]]/E124-1</f>
        <v>-7.9172866745343518E-2</v>
      </c>
      <c r="K121">
        <f>查询7[[#This Row],[free_cash_flow]]/E124-1</f>
        <v>-7.9172866745343518E-2</v>
      </c>
    </row>
    <row r="122" spans="1:11" x14ac:dyDescent="0.25">
      <c r="A122" t="s">
        <v>101</v>
      </c>
      <c r="B122" s="1">
        <v>42916</v>
      </c>
      <c r="C122">
        <v>50760000000</v>
      </c>
      <c r="D122">
        <v>5339000000</v>
      </c>
      <c r="E122">
        <v>11612000000</v>
      </c>
      <c r="F122">
        <v>0.17631993695823484</v>
      </c>
      <c r="G122">
        <v>26</v>
      </c>
      <c r="H122">
        <f>查询7[[#This Row],[capex]]/查询7[[#This Row],[revenue]]</f>
        <v>0.1051812450748621</v>
      </c>
      <c r="I122">
        <f>查询7[[#This Row],[net_profit_margin]]-F125</f>
        <v>-4.1224426861005053E-2</v>
      </c>
      <c r="J122">
        <f>查询7[[#This Row],[free_cash_flow]]/E125-1</f>
        <v>-5.0298519669583763E-2</v>
      </c>
      <c r="K122">
        <f>查询7[[#This Row],[free_cash_flow]]/E125-1</f>
        <v>-5.0298519669583763E-2</v>
      </c>
    </row>
    <row r="123" spans="1:11" x14ac:dyDescent="0.25">
      <c r="A123" t="s">
        <v>101</v>
      </c>
      <c r="B123" s="1">
        <v>42825</v>
      </c>
      <c r="C123">
        <v>24750000000</v>
      </c>
      <c r="D123">
        <v>2508000000</v>
      </c>
      <c r="E123">
        <v>7040000000</v>
      </c>
      <c r="F123">
        <v>0.21923232323232322</v>
      </c>
      <c r="G123">
        <v>27</v>
      </c>
      <c r="H123">
        <f>查询7[[#This Row],[capex]]/查询7[[#This Row],[revenue]]</f>
        <v>0.10133333333333333</v>
      </c>
      <c r="I123">
        <f>查询7[[#This Row],[net_profit_margin]]-F126</f>
        <v>1.1551027877631015E-2</v>
      </c>
      <c r="J123">
        <f>查询7[[#This Row],[free_cash_flow]]/E126-1</f>
        <v>0.34608030592734229</v>
      </c>
      <c r="K123">
        <f>查询7[[#This Row],[free_cash_flow]]/E126-1</f>
        <v>0.34608030592734229</v>
      </c>
    </row>
    <row r="124" spans="1:11" x14ac:dyDescent="0.25">
      <c r="A124" t="s">
        <v>101</v>
      </c>
      <c r="B124" s="1">
        <v>42643</v>
      </c>
      <c r="C124">
        <v>64208000000</v>
      </c>
      <c r="D124">
        <v>7134000000</v>
      </c>
      <c r="E124">
        <v>19489000000</v>
      </c>
      <c r="F124">
        <v>0.22029965113381511</v>
      </c>
      <c r="G124">
        <v>28</v>
      </c>
      <c r="H124">
        <f>查询7[[#This Row],[capex]]/查询7[[#This Row],[revenue]]</f>
        <v>0.11110765013705458</v>
      </c>
      <c r="I124">
        <f>查询7[[#This Row],[net_profit_margin]]-F127</f>
        <v>7.3850033514819002E-3</v>
      </c>
      <c r="J124">
        <f>查询7[[#This Row],[free_cash_flow]]/E127-1</f>
        <v>0.65245039850771569</v>
      </c>
      <c r="K124">
        <f>查询7[[#This Row],[free_cash_flow]]/E127-1</f>
        <v>0.65245039850771569</v>
      </c>
    </row>
    <row r="125" spans="1:11" x14ac:dyDescent="0.25">
      <c r="A125" t="s">
        <v>101</v>
      </c>
      <c r="B125" s="1">
        <v>42551</v>
      </c>
      <c r="C125">
        <v>41757000000</v>
      </c>
      <c r="D125">
        <v>4551000000</v>
      </c>
      <c r="E125">
        <v>12227000000</v>
      </c>
      <c r="F125">
        <v>0.21754436381923989</v>
      </c>
      <c r="G125">
        <v>29</v>
      </c>
      <c r="H125">
        <f>查询7[[#This Row],[capex]]/查询7[[#This Row],[revenue]]</f>
        <v>0.10898771463467204</v>
      </c>
      <c r="I125">
        <f>查询7[[#This Row],[net_profit_margin]]-F128</f>
        <v>-4.9622280400419411E-2</v>
      </c>
      <c r="J125">
        <f>查询7[[#This Row],[free_cash_flow]]/E128-1</f>
        <v>-0.60908625871219391</v>
      </c>
      <c r="K125">
        <f>查询7[[#This Row],[free_cash_flow]]/E128-1</f>
        <v>-0.60908625871219391</v>
      </c>
    </row>
    <row r="126" spans="1:11" x14ac:dyDescent="0.25">
      <c r="A126" t="s">
        <v>101</v>
      </c>
      <c r="B126" s="1">
        <v>42460</v>
      </c>
      <c r="C126">
        <v>20257000000</v>
      </c>
      <c r="D126">
        <v>2428000000</v>
      </c>
      <c r="E126">
        <v>5230000000</v>
      </c>
      <c r="F126">
        <v>0.20768129535469221</v>
      </c>
      <c r="G126">
        <v>30</v>
      </c>
      <c r="H126">
        <f>查询7[[#This Row],[capex]]/查询7[[#This Row],[revenue]]</f>
        <v>0.11985980155008145</v>
      </c>
      <c r="I126">
        <f>查询7[[#This Row],[net_profit_margin]]-F129</f>
        <v>-0.1817320409472114</v>
      </c>
      <c r="J126">
        <f>查询7[[#This Row],[free_cash_flow]]/E129-1</f>
        <v>-0.73990451561567538</v>
      </c>
      <c r="K126">
        <f>查询7[[#This Row],[free_cash_flow]]/E129-1</f>
        <v>-0.73990451561567538</v>
      </c>
    </row>
    <row r="127" spans="1:11" x14ac:dyDescent="0.25">
      <c r="A127" t="s">
        <v>101</v>
      </c>
      <c r="B127" s="1">
        <v>42277</v>
      </c>
      <c r="C127">
        <v>53660000000</v>
      </c>
      <c r="D127">
        <v>7815000000</v>
      </c>
      <c r="E127">
        <v>11794000000</v>
      </c>
      <c r="F127">
        <v>0.21291464778233321</v>
      </c>
      <c r="G127">
        <v>31</v>
      </c>
      <c r="H127">
        <f>查询7[[#This Row],[capex]]/查询7[[#This Row],[revenue]]</f>
        <v>0.14563920983973164</v>
      </c>
      <c r="I127">
        <f>查询7[[#This Row],[net_profit_margin]]-F130</f>
        <v>-0.18043034441882955</v>
      </c>
      <c r="J127">
        <f>查询7[[#This Row],[free_cash_flow]]/E130-1</f>
        <v>6.3960306720793891E-2</v>
      </c>
      <c r="K127">
        <f>查询7[[#This Row],[free_cash_flow]]/E130-1</f>
        <v>6.3960306720793891E-2</v>
      </c>
    </row>
    <row r="128" spans="1:11" x14ac:dyDescent="0.25">
      <c r="A128" t="s">
        <v>105</v>
      </c>
      <c r="B128" s="1">
        <v>45930</v>
      </c>
      <c r="C128">
        <v>141073000000</v>
      </c>
      <c r="D128">
        <v>48308000000</v>
      </c>
      <c r="E128">
        <v>31278000000</v>
      </c>
      <c r="F128">
        <v>0.2671666442196593</v>
      </c>
      <c r="G128">
        <v>1</v>
      </c>
      <c r="H128">
        <f>查询7[[#This Row],[capex]]/查询7[[#This Row],[revenue]]</f>
        <v>0.34243264125665435</v>
      </c>
      <c r="I128">
        <f>查询7[[#This Row],[net_profit_margin]]-F131</f>
        <v>-9.0424040957232776E-2</v>
      </c>
      <c r="J128">
        <f>查询7[[#This Row],[free_cash_flow]]/E131-1</f>
        <v>-0.2278752869732652</v>
      </c>
      <c r="K128">
        <f>查询7[[#This Row],[free_cash_flow]]/E131-1</f>
        <v>-0.2278752869732652</v>
      </c>
    </row>
    <row r="129" spans="1:11" x14ac:dyDescent="0.25">
      <c r="A129" t="s">
        <v>105</v>
      </c>
      <c r="B129" s="1">
        <v>45838</v>
      </c>
      <c r="C129">
        <v>89830000000</v>
      </c>
      <c r="D129">
        <v>29479000000</v>
      </c>
      <c r="E129">
        <v>20108000000</v>
      </c>
      <c r="F129">
        <v>0.38941333630190361</v>
      </c>
      <c r="G129">
        <v>2</v>
      </c>
      <c r="H129">
        <f>查询7[[#This Row],[capex]]/查询7[[#This Row],[revenue]]</f>
        <v>0.32816431036402094</v>
      </c>
      <c r="I129">
        <f>查询7[[#This Row],[net_profit_margin]]-F132</f>
        <v>4.7363473338989714E-2</v>
      </c>
      <c r="J129">
        <f>查询7[[#This Row],[free_cash_flow]]/E132-1</f>
        <v>-0.1636651000291145</v>
      </c>
      <c r="K129">
        <f>查询7[[#This Row],[free_cash_flow]]/E132-1</f>
        <v>-0.1636651000291145</v>
      </c>
    </row>
    <row r="130" spans="1:11" x14ac:dyDescent="0.25">
      <c r="A130" t="s">
        <v>105</v>
      </c>
      <c r="B130" s="1">
        <v>45747</v>
      </c>
      <c r="C130">
        <v>42314000000</v>
      </c>
      <c r="D130">
        <v>12941000000</v>
      </c>
      <c r="E130">
        <v>11085000000</v>
      </c>
      <c r="F130">
        <v>0.39334499220116276</v>
      </c>
      <c r="G130">
        <v>3</v>
      </c>
      <c r="H130">
        <f>查询7[[#This Row],[capex]]/查询7[[#This Row],[revenue]]</f>
        <v>0.30583258496006049</v>
      </c>
      <c r="I130">
        <f>查询7[[#This Row],[net_profit_margin]]-F133</f>
        <v>5.4049970942076198E-2</v>
      </c>
      <c r="J130">
        <f>查询7[[#This Row],[free_cash_flow]]/E133-1</f>
        <v>-0.13708547407753391</v>
      </c>
      <c r="K130">
        <f>查询7[[#This Row],[free_cash_flow]]/E133-1</f>
        <v>-0.13708547407753391</v>
      </c>
    </row>
    <row r="131" spans="1:11" x14ac:dyDescent="0.25">
      <c r="A131" t="s">
        <v>105</v>
      </c>
      <c r="B131" s="1">
        <v>45565</v>
      </c>
      <c r="C131">
        <v>116116000000</v>
      </c>
      <c r="D131">
        <v>22831000000</v>
      </c>
      <c r="E131">
        <v>40509000000</v>
      </c>
      <c r="F131">
        <v>0.35759068517689208</v>
      </c>
      <c r="G131">
        <v>4</v>
      </c>
      <c r="H131">
        <f>查询7[[#This Row],[capex]]/查询7[[#This Row],[revenue]]</f>
        <v>0.19662234317406732</v>
      </c>
      <c r="I131">
        <f>查询7[[#This Row],[net_profit_margin]]-F134</f>
        <v>9.2998055074878183E-2</v>
      </c>
      <c r="J131">
        <f>查询7[[#This Row],[free_cash_flow]]/E134-1</f>
        <v>0.26164818736763418</v>
      </c>
      <c r="K131">
        <f>查询7[[#This Row],[free_cash_flow]]/E134-1</f>
        <v>0.26164818736763418</v>
      </c>
    </row>
    <row r="132" spans="1:11" x14ac:dyDescent="0.25">
      <c r="A132" t="s">
        <v>105</v>
      </c>
      <c r="B132" s="1">
        <v>45473</v>
      </c>
      <c r="C132">
        <v>75527000000</v>
      </c>
      <c r="D132">
        <v>14573000000</v>
      </c>
      <c r="E132">
        <v>24043000000</v>
      </c>
      <c r="F132">
        <v>0.3420498629629139</v>
      </c>
      <c r="G132">
        <v>5</v>
      </c>
      <c r="H132">
        <f>查询7[[#This Row],[capex]]/查询7[[#This Row],[revenue]]</f>
        <v>0.19295086525348551</v>
      </c>
      <c r="I132">
        <f>查询7[[#This Row],[net_profit_margin]]-F135</f>
        <v>0.11947586675547717</v>
      </c>
      <c r="J132">
        <f>查询7[[#This Row],[free_cash_flow]]/E135-1</f>
        <v>0.31749684914241882</v>
      </c>
      <c r="K132">
        <f>查询7[[#This Row],[free_cash_flow]]/E135-1</f>
        <v>0.31749684914241882</v>
      </c>
    </row>
    <row r="133" spans="1:11" x14ac:dyDescent="0.25">
      <c r="A133" t="s">
        <v>105</v>
      </c>
      <c r="B133" s="1">
        <v>45382</v>
      </c>
      <c r="C133">
        <v>36455000000</v>
      </c>
      <c r="D133">
        <v>6400000000</v>
      </c>
      <c r="E133">
        <v>12846000000</v>
      </c>
      <c r="F133">
        <v>0.33929502125908656</v>
      </c>
      <c r="G133">
        <v>6</v>
      </c>
      <c r="H133">
        <f>查询7[[#This Row],[capex]]/查询7[[#This Row],[revenue]]</f>
        <v>0.17555890824303935</v>
      </c>
      <c r="I133">
        <f>查询7[[#This Row],[net_profit_margin]]-F136</f>
        <v>0.13999322338860307</v>
      </c>
      <c r="J133">
        <f>查询7[[#This Row],[free_cash_flow]]/E136-1</f>
        <v>0.79513694801565116</v>
      </c>
      <c r="K133">
        <f>查询7[[#This Row],[free_cash_flow]]/E136-1</f>
        <v>0.79513694801565116</v>
      </c>
    </row>
    <row r="134" spans="1:11" x14ac:dyDescent="0.25">
      <c r="A134" t="s">
        <v>105</v>
      </c>
      <c r="B134" s="1">
        <v>45199</v>
      </c>
      <c r="C134">
        <v>94791000000</v>
      </c>
      <c r="D134">
        <v>19601000000</v>
      </c>
      <c r="E134">
        <v>32108000000</v>
      </c>
      <c r="F134">
        <v>0.26459263010201389</v>
      </c>
      <c r="G134">
        <v>7</v>
      </c>
      <c r="H134">
        <f>查询7[[#This Row],[capex]]/查询7[[#This Row],[revenue]]</f>
        <v>0.20678123450538552</v>
      </c>
      <c r="I134">
        <f>查询7[[#This Row],[net_profit_margin]]-F137</f>
        <v>4.4955947803686003E-2</v>
      </c>
      <c r="J134">
        <f>查询7[[#This Row],[free_cash_flow]]/E137-1</f>
        <v>1.3650559811431937</v>
      </c>
      <c r="K134">
        <f>查询7[[#This Row],[free_cash_flow]]/E137-1</f>
        <v>1.3650559811431937</v>
      </c>
    </row>
    <row r="135" spans="1:11" x14ac:dyDescent="0.25">
      <c r="A135" t="s">
        <v>105</v>
      </c>
      <c r="B135" s="1">
        <v>45107</v>
      </c>
      <c r="C135">
        <v>60645000000</v>
      </c>
      <c r="D135">
        <v>13058000000</v>
      </c>
      <c r="E135">
        <v>18249000000</v>
      </c>
      <c r="F135">
        <v>0.22257399620743673</v>
      </c>
      <c r="G135">
        <v>8</v>
      </c>
      <c r="H135">
        <f>查询7[[#This Row],[capex]]/查询7[[#This Row],[revenue]]</f>
        <v>0.21531865776238768</v>
      </c>
      <c r="I135">
        <f>查询7[[#This Row],[net_profit_margin]]-F138</f>
        <v>-2.6892766823817138E-2</v>
      </c>
      <c r="J135">
        <f>查询7[[#This Row],[free_cash_flow]]/E138-1</f>
        <v>0.37634814088543633</v>
      </c>
      <c r="K135">
        <f>查询7[[#This Row],[free_cash_flow]]/E138-1</f>
        <v>0.37634814088543633</v>
      </c>
    </row>
    <row r="136" spans="1:11" x14ac:dyDescent="0.25">
      <c r="A136" t="s">
        <v>105</v>
      </c>
      <c r="B136" s="1">
        <v>45016</v>
      </c>
      <c r="C136">
        <v>28645000000</v>
      </c>
      <c r="D136">
        <v>6842000000</v>
      </c>
      <c r="E136">
        <v>7156000000</v>
      </c>
      <c r="F136">
        <v>0.19930179787048349</v>
      </c>
      <c r="G136">
        <v>9</v>
      </c>
      <c r="H136">
        <f>查询7[[#This Row],[capex]]/查询7[[#This Row],[revenue]]</f>
        <v>0.23885494850759295</v>
      </c>
      <c r="I136">
        <f>查询7[[#This Row],[net_profit_margin]]-F139</f>
        <v>-6.8184227641914369E-2</v>
      </c>
      <c r="J136">
        <f>查询7[[#This Row],[free_cash_flow]]/E139-1</f>
        <v>-0.17127967573827452</v>
      </c>
      <c r="K136">
        <f>查询7[[#This Row],[free_cash_flow]]/E139-1</f>
        <v>-0.17127967573827452</v>
      </c>
    </row>
    <row r="137" spans="1:11" x14ac:dyDescent="0.25">
      <c r="A137" t="s">
        <v>105</v>
      </c>
      <c r="B137" s="1">
        <v>44834</v>
      </c>
      <c r="C137">
        <v>84444000000</v>
      </c>
      <c r="D137">
        <v>22388000000</v>
      </c>
      <c r="E137">
        <v>13576000000</v>
      </c>
      <c r="F137">
        <v>0.21963668229832789</v>
      </c>
      <c r="G137">
        <v>10</v>
      </c>
      <c r="H137">
        <f>查询7[[#This Row],[capex]]/查询7[[#This Row],[revenue]]</f>
        <v>0.26512244801288426</v>
      </c>
      <c r="I137">
        <f>查询7[[#This Row],[net_profit_margin]]-F140</f>
        <v>-0.12555309196643033</v>
      </c>
      <c r="J137">
        <f>查询7[[#This Row],[free_cash_flow]]/E140-1</f>
        <v>-0.48538721049239986</v>
      </c>
      <c r="K137">
        <f>查询7[[#This Row],[free_cash_flow]]/E140-1</f>
        <v>-0.48538721049239986</v>
      </c>
    </row>
    <row r="138" spans="1:11" x14ac:dyDescent="0.25">
      <c r="A138" t="s">
        <v>105</v>
      </c>
      <c r="B138" s="1">
        <v>44742</v>
      </c>
      <c r="C138">
        <v>56729000000</v>
      </c>
      <c r="D138">
        <v>13013000000</v>
      </c>
      <c r="E138">
        <v>13259000000</v>
      </c>
      <c r="F138">
        <v>0.24946676303125387</v>
      </c>
      <c r="G138">
        <v>11</v>
      </c>
      <c r="H138">
        <f>查询7[[#This Row],[capex]]/查询7[[#This Row],[revenue]]</f>
        <v>0.22938884873697757</v>
      </c>
      <c r="I138">
        <f>查询7[[#This Row],[net_profit_margin]]-F141</f>
        <v>-0.11058246952015072</v>
      </c>
      <c r="J138">
        <f>查询7[[#This Row],[free_cash_flow]]/E141-1</f>
        <v>-0.20150557061126162</v>
      </c>
      <c r="K138">
        <f>查询7[[#This Row],[free_cash_flow]]/E141-1</f>
        <v>-0.20150557061126162</v>
      </c>
    </row>
    <row r="139" spans="1:11" x14ac:dyDescent="0.25">
      <c r="A139" t="s">
        <v>105</v>
      </c>
      <c r="B139" s="1">
        <v>44651</v>
      </c>
      <c r="C139">
        <v>27908000000</v>
      </c>
      <c r="D139">
        <v>5441000000</v>
      </c>
      <c r="E139">
        <v>8635000000</v>
      </c>
      <c r="F139">
        <v>0.26748602551239786</v>
      </c>
      <c r="G139">
        <v>12</v>
      </c>
      <c r="H139">
        <f>查询7[[#This Row],[capex]]/查询7[[#This Row],[revenue]]</f>
        <v>0.19496201805933783</v>
      </c>
      <c r="I139">
        <f>查询7[[#This Row],[net_profit_margin]]-F142</f>
        <v>-9.5396554442514048E-2</v>
      </c>
      <c r="J139">
        <f>查询7[[#This Row],[free_cash_flow]]/E142-1</f>
        <v>8.3437892095357569E-2</v>
      </c>
      <c r="K139">
        <f>查询7[[#This Row],[free_cash_flow]]/E142-1</f>
        <v>8.3437892095357569E-2</v>
      </c>
    </row>
    <row r="140" spans="1:11" x14ac:dyDescent="0.25">
      <c r="A140" t="s">
        <v>105</v>
      </c>
      <c r="B140" s="1">
        <v>44469</v>
      </c>
      <c r="C140">
        <v>84258000000</v>
      </c>
      <c r="D140">
        <v>13198000000</v>
      </c>
      <c r="E140">
        <v>26381000000</v>
      </c>
      <c r="F140">
        <v>0.34518977426475822</v>
      </c>
      <c r="G140">
        <v>13</v>
      </c>
      <c r="H140">
        <f>查询7[[#This Row],[capex]]/查询7[[#This Row],[revenue]]</f>
        <v>0.15663794535830425</v>
      </c>
      <c r="I140">
        <f>查询7[[#This Row],[net_profit_margin]]-F143</f>
        <v>3.5532302722430131E-2</v>
      </c>
      <c r="J140">
        <f>查询7[[#This Row],[free_cash_flow]]/E143-1</f>
        <v>0.85716297078493486</v>
      </c>
      <c r="K140">
        <f>查询7[[#This Row],[free_cash_flow]]/E143-1</f>
        <v>0.85716297078493486</v>
      </c>
    </row>
    <row r="141" spans="1:11" x14ac:dyDescent="0.25">
      <c r="A141" t="s">
        <v>105</v>
      </c>
      <c r="B141" s="1">
        <v>44377</v>
      </c>
      <c r="C141">
        <v>55248000000</v>
      </c>
      <c r="D141">
        <v>8884000000</v>
      </c>
      <c r="E141">
        <v>16605000000</v>
      </c>
      <c r="F141">
        <v>0.36004923255140459</v>
      </c>
      <c r="G141">
        <v>14</v>
      </c>
      <c r="H141">
        <f>查询7[[#This Row],[capex]]/查询7[[#This Row],[revenue]]</f>
        <v>0.16080220098465103</v>
      </c>
      <c r="I141">
        <f>查询7[[#This Row],[net_profit_margin]]-F144</f>
        <v>8.3273568822442134E-2</v>
      </c>
      <c r="J141">
        <f>查询7[[#This Row],[free_cash_flow]]/E144-1</f>
        <v>1.0588964662120275</v>
      </c>
      <c r="K141">
        <f>查询7[[#This Row],[free_cash_flow]]/E144-1</f>
        <v>1.0588964662120275</v>
      </c>
    </row>
    <row r="142" spans="1:11" x14ac:dyDescent="0.25">
      <c r="A142" t="s">
        <v>105</v>
      </c>
      <c r="B142" s="1">
        <v>44286</v>
      </c>
      <c r="C142">
        <v>26171000000</v>
      </c>
      <c r="D142">
        <v>4272000000</v>
      </c>
      <c r="E142">
        <v>7970000000</v>
      </c>
      <c r="F142">
        <v>0.36288257995491191</v>
      </c>
      <c r="G142">
        <v>15</v>
      </c>
      <c r="H142">
        <f>查询7[[#This Row],[capex]]/查询7[[#This Row],[revenue]]</f>
        <v>0.16323411409575483</v>
      </c>
      <c r="I142">
        <f>查询7[[#This Row],[net_profit_margin]]-F145</f>
        <v>8.651115299432105E-2</v>
      </c>
      <c r="J142">
        <f>查询7[[#This Row],[free_cash_flow]]/E145-1</f>
        <v>7.0804783017600403E-2</v>
      </c>
      <c r="K142">
        <f>查询7[[#This Row],[free_cash_flow]]/E145-1</f>
        <v>7.0804783017600403E-2</v>
      </c>
    </row>
    <row r="143" spans="1:11" x14ac:dyDescent="0.25">
      <c r="A143" t="s">
        <v>105</v>
      </c>
      <c r="B143" s="1">
        <v>44104</v>
      </c>
      <c r="C143">
        <v>57893000000</v>
      </c>
      <c r="D143">
        <v>10502000000</v>
      </c>
      <c r="E143">
        <v>14205000000</v>
      </c>
      <c r="F143">
        <v>0.30965747154232809</v>
      </c>
      <c r="G143">
        <v>16</v>
      </c>
      <c r="H143">
        <f>查询7[[#This Row],[capex]]/查询7[[#This Row],[revenue]]</f>
        <v>0.18140362392689963</v>
      </c>
      <c r="I143">
        <f>查询7[[#This Row],[net_profit_margin]]-F146</f>
        <v>8.5209220005494468E-2</v>
      </c>
      <c r="J143">
        <f>查询7[[#This Row],[free_cash_flow]]/E146-1</f>
        <v>-0.12471501632879411</v>
      </c>
      <c r="K143">
        <f>查询7[[#This Row],[free_cash_flow]]/E146-1</f>
        <v>-0.12471501632879411</v>
      </c>
    </row>
    <row r="144" spans="1:11" x14ac:dyDescent="0.25">
      <c r="A144" t="s">
        <v>105</v>
      </c>
      <c r="B144" s="1">
        <v>44012</v>
      </c>
      <c r="C144">
        <v>36423000000</v>
      </c>
      <c r="D144">
        <v>6813000000</v>
      </c>
      <c r="E144">
        <v>8065000000</v>
      </c>
      <c r="F144">
        <v>0.27677566372896245</v>
      </c>
      <c r="G144">
        <v>17</v>
      </c>
      <c r="H144">
        <f>查询7[[#This Row],[capex]]/查询7[[#This Row],[revenue]]</f>
        <v>0.18705213738571783</v>
      </c>
      <c r="I144">
        <f>查询7[[#This Row],[net_profit_margin]]-F147</f>
        <v>0.11893691267305406</v>
      </c>
      <c r="J144">
        <f>查询7[[#This Row],[free_cash_flow]]/E147-1</f>
        <v>-0.22852496651999232</v>
      </c>
      <c r="K144">
        <f>查询7[[#This Row],[free_cash_flow]]/E147-1</f>
        <v>-0.22852496651999232</v>
      </c>
    </row>
    <row r="145" spans="1:11" x14ac:dyDescent="0.25">
      <c r="A145" t="s">
        <v>105</v>
      </c>
      <c r="B145" s="1">
        <v>43921</v>
      </c>
      <c r="C145">
        <v>17737000000</v>
      </c>
      <c r="D145">
        <v>3558000000</v>
      </c>
      <c r="E145">
        <v>7443000000</v>
      </c>
      <c r="F145">
        <v>0.27637142696059086</v>
      </c>
      <c r="G145">
        <v>18</v>
      </c>
      <c r="H145">
        <f>查询7[[#This Row],[capex]]/查询7[[#This Row],[revenue]]</f>
        <v>0.20059762079269325</v>
      </c>
      <c r="I145">
        <f>查询7[[#This Row],[net_profit_margin]]-F148</f>
        <v>0.11526510607447293</v>
      </c>
      <c r="J145">
        <f>查询7[[#This Row],[free_cash_flow]]/E148-1</f>
        <v>0.36044598793639193</v>
      </c>
      <c r="K145">
        <f>查询7[[#This Row],[free_cash_flow]]/E148-1</f>
        <v>0.36044598793639193</v>
      </c>
    </row>
    <row r="146" spans="1:11" x14ac:dyDescent="0.25">
      <c r="A146" t="s">
        <v>105</v>
      </c>
      <c r="B146" s="1">
        <v>43738</v>
      </c>
      <c r="C146">
        <v>49615000000</v>
      </c>
      <c r="D146">
        <v>11002000000</v>
      </c>
      <c r="E146">
        <v>16229000000</v>
      </c>
      <c r="F146">
        <v>0.22444825153683362</v>
      </c>
      <c r="G146">
        <v>19</v>
      </c>
      <c r="H146">
        <f>查询7[[#This Row],[capex]]/查询7[[#This Row],[revenue]]</f>
        <v>0.22174745540663107</v>
      </c>
      <c r="I146">
        <f>查询7[[#This Row],[net_profit_margin]]-F149</f>
        <v>-0.16682705418714133</v>
      </c>
      <c r="J146">
        <f>查询7[[#This Row],[free_cash_flow]]/E149-1</f>
        <v>0.34769971765487462</v>
      </c>
      <c r="K146">
        <f>查询7[[#This Row],[free_cash_flow]]/E149-1</f>
        <v>0.34769971765487462</v>
      </c>
    </row>
    <row r="147" spans="1:11" x14ac:dyDescent="0.25">
      <c r="A147" t="s">
        <v>105</v>
      </c>
      <c r="B147" s="1">
        <v>43646</v>
      </c>
      <c r="C147">
        <v>31963000000</v>
      </c>
      <c r="D147">
        <v>7470000000</v>
      </c>
      <c r="E147">
        <v>10454000000</v>
      </c>
      <c r="F147">
        <v>0.15783875105590839</v>
      </c>
      <c r="G147">
        <v>20</v>
      </c>
      <c r="H147">
        <f>查询7[[#This Row],[capex]]/查询7[[#This Row],[revenue]]</f>
        <v>0.23370772455651848</v>
      </c>
      <c r="I147">
        <f>查询7[[#This Row],[net_profit_margin]]-F150</f>
        <v>-0.24272480809795915</v>
      </c>
      <c r="J147">
        <f>查询7[[#This Row],[free_cash_flow]]/E150-1</f>
        <v>0.32564037534871915</v>
      </c>
      <c r="K147">
        <f>查询7[[#This Row],[free_cash_flow]]/E150-1</f>
        <v>0.32564037534871915</v>
      </c>
    </row>
    <row r="148" spans="1:11" x14ac:dyDescent="0.25">
      <c r="A148" t="s">
        <v>105</v>
      </c>
      <c r="B148" s="1">
        <v>43555</v>
      </c>
      <c r="C148">
        <v>15077000000</v>
      </c>
      <c r="D148">
        <v>3837000000</v>
      </c>
      <c r="E148">
        <v>5471000000</v>
      </c>
      <c r="F148">
        <v>0.16110632088611793</v>
      </c>
      <c r="G148">
        <v>21</v>
      </c>
      <c r="H148">
        <f>查询7[[#This Row],[capex]]/查询7[[#This Row],[revenue]]</f>
        <v>0.25449359952245143</v>
      </c>
      <c r="I148">
        <f>查询7[[#This Row],[net_profit_margin]]-F151</f>
        <v>-0.25574141436375669</v>
      </c>
      <c r="J148">
        <f>查询7[[#This Row],[free_cash_flow]]/E151-1</f>
        <v>8.3795562599049189E-2</v>
      </c>
      <c r="K148">
        <f>查询7[[#This Row],[free_cash_flow]]/E151-1</f>
        <v>8.3795562599049189E-2</v>
      </c>
    </row>
    <row r="149" spans="1:11" x14ac:dyDescent="0.25">
      <c r="A149" t="s">
        <v>105</v>
      </c>
      <c r="B149" s="1">
        <v>43373</v>
      </c>
      <c r="C149">
        <v>38924000000</v>
      </c>
      <c r="D149">
        <v>9614000000</v>
      </c>
      <c r="E149">
        <v>12042000000</v>
      </c>
      <c r="F149">
        <v>0.39127530572397495</v>
      </c>
      <c r="G149">
        <v>22</v>
      </c>
      <c r="H149">
        <f>查询7[[#This Row],[capex]]/查询7[[#This Row],[revenue]]</f>
        <v>0.2469941424314048</v>
      </c>
      <c r="I149">
        <f>查询7[[#This Row],[net_profit_margin]]-F152</f>
        <v>-3.0132880396468664E-2</v>
      </c>
      <c r="J149">
        <f>查询7[[#This Row],[free_cash_flow]]/E152-1</f>
        <v>-2.7329192546583503E-3</v>
      </c>
      <c r="K149">
        <f>查询7[[#This Row],[free_cash_flow]]/E152-1</f>
        <v>-2.7329192546583503E-3</v>
      </c>
    </row>
    <row r="150" spans="1:11" x14ac:dyDescent="0.25">
      <c r="A150" t="s">
        <v>105</v>
      </c>
      <c r="B150" s="1">
        <v>43281</v>
      </c>
      <c r="C150">
        <v>25197000000</v>
      </c>
      <c r="D150">
        <v>6272000000</v>
      </c>
      <c r="E150">
        <v>7886000000</v>
      </c>
      <c r="F150">
        <v>0.40056355915386754</v>
      </c>
      <c r="G150">
        <v>23</v>
      </c>
      <c r="H150">
        <f>查询7[[#This Row],[capex]]/查询7[[#This Row],[revenue]]</f>
        <v>0.24891852204627535</v>
      </c>
      <c r="I150">
        <f>查询7[[#This Row],[net_profit_margin]]-F153</f>
        <v>-4.6220008084690845E-4</v>
      </c>
      <c r="J150">
        <f>查询7[[#This Row],[free_cash_flow]]/E153-1</f>
        <v>2.3756977800856838E-2</v>
      </c>
      <c r="K150">
        <f>查询7[[#This Row],[free_cash_flow]]/E153-1</f>
        <v>2.3756977800856838E-2</v>
      </c>
    </row>
    <row r="151" spans="1:11" x14ac:dyDescent="0.25">
      <c r="A151" t="s">
        <v>105</v>
      </c>
      <c r="B151" s="1">
        <v>43190</v>
      </c>
      <c r="C151">
        <v>11966000000</v>
      </c>
      <c r="D151">
        <v>2812000000</v>
      </c>
      <c r="E151">
        <v>5048000000</v>
      </c>
      <c r="F151">
        <v>0.41684773524987462</v>
      </c>
      <c r="G151">
        <v>24</v>
      </c>
      <c r="H151">
        <f>查询7[[#This Row],[capex]]/查询7[[#This Row],[revenue]]</f>
        <v>0.23499916429884674</v>
      </c>
      <c r="I151">
        <f>查询7[[#This Row],[net_profit_margin]]-F154</f>
        <v>3.5373631664217253E-2</v>
      </c>
      <c r="J151">
        <f>查询7[[#This Row],[free_cash_flow]]/E154-1</f>
        <v>0.33298125165038295</v>
      </c>
      <c r="K151">
        <f>查询7[[#This Row],[free_cash_flow]]/E154-1</f>
        <v>0.33298125165038295</v>
      </c>
    </row>
    <row r="152" spans="1:11" x14ac:dyDescent="0.25">
      <c r="A152" t="s">
        <v>105</v>
      </c>
      <c r="B152" s="1">
        <v>43008</v>
      </c>
      <c r="C152">
        <v>27681000000</v>
      </c>
      <c r="D152">
        <v>4470000000</v>
      </c>
      <c r="E152">
        <v>12075000000</v>
      </c>
      <c r="F152">
        <v>0.42140818612044362</v>
      </c>
      <c r="G152">
        <v>25</v>
      </c>
      <c r="H152">
        <f>查询7[[#This Row],[capex]]/查询7[[#This Row],[revenue]]</f>
        <v>0.16148260539720385</v>
      </c>
      <c r="I152">
        <f>查询7[[#This Row],[net_profit_margin]]-F155</f>
        <v>0.10572493156629842</v>
      </c>
      <c r="J152">
        <f>查询7[[#This Row],[free_cash_flow]]/E155-1</f>
        <v>0.84746022031823753</v>
      </c>
      <c r="K152">
        <f>查询7[[#This Row],[free_cash_flow]]/E155-1</f>
        <v>0.84746022031823753</v>
      </c>
    </row>
    <row r="153" spans="1:11" x14ac:dyDescent="0.25">
      <c r="A153" t="s">
        <v>105</v>
      </c>
      <c r="B153" s="1">
        <v>42916</v>
      </c>
      <c r="C153">
        <v>17353000000</v>
      </c>
      <c r="D153">
        <v>2715000000</v>
      </c>
      <c r="E153">
        <v>7703000000</v>
      </c>
      <c r="F153">
        <v>0.40102575923471445</v>
      </c>
      <c r="G153">
        <v>26</v>
      </c>
      <c r="H153">
        <f>查询7[[#This Row],[capex]]/查询7[[#This Row],[revenue]]</f>
        <v>0.15645709675560421</v>
      </c>
      <c r="I153">
        <f>查询7[[#This Row],[net_profit_margin]]-F156</f>
        <v>9.9367272181067445E-2</v>
      </c>
      <c r="J153">
        <f>查询7[[#This Row],[free_cash_flow]]/E156-1</f>
        <v>0.90009866798223981</v>
      </c>
      <c r="K153">
        <f>查询7[[#This Row],[free_cash_flow]]/E156-1</f>
        <v>0.90009866798223981</v>
      </c>
    </row>
    <row r="154" spans="1:11" x14ac:dyDescent="0.25">
      <c r="A154" t="s">
        <v>105</v>
      </c>
      <c r="B154" s="1">
        <v>42825</v>
      </c>
      <c r="C154">
        <v>8032000000</v>
      </c>
      <c r="D154">
        <v>1271000000</v>
      </c>
      <c r="E154">
        <v>3787000000</v>
      </c>
      <c r="F154">
        <v>0.38147410358565736</v>
      </c>
      <c r="G154">
        <v>27</v>
      </c>
      <c r="H154">
        <f>查询7[[#This Row],[capex]]/查询7[[#This Row],[revenue]]</f>
        <v>0.15824203187250996</v>
      </c>
      <c r="I154">
        <f>查询7[[#This Row],[net_profit_margin]]-F157</f>
        <v>0.1009092578034203</v>
      </c>
      <c r="J154">
        <f>查询7[[#This Row],[free_cash_flow]]/E157-1</f>
        <v>1.0459211237169099</v>
      </c>
      <c r="K154">
        <f>查询7[[#This Row],[free_cash_flow]]/E157-1</f>
        <v>1.0459211237169099</v>
      </c>
    </row>
    <row r="155" spans="1:11" x14ac:dyDescent="0.25">
      <c r="A155" t="s">
        <v>105</v>
      </c>
      <c r="B155" s="1">
        <v>42643</v>
      </c>
      <c r="C155">
        <v>18829000000</v>
      </c>
      <c r="D155">
        <v>3222000000</v>
      </c>
      <c r="E155">
        <v>6536000000</v>
      </c>
      <c r="F155">
        <v>0.3156832545541452</v>
      </c>
      <c r="G155">
        <v>28</v>
      </c>
      <c r="H155">
        <f>查询7[[#This Row],[capex]]/查询7[[#This Row],[revenue]]</f>
        <v>0.1711190185352382</v>
      </c>
      <c r="I155">
        <f>查询7[[#This Row],[net_profit_margin]]-F158</f>
        <v>0.13970906741093347</v>
      </c>
      <c r="J155">
        <f>查询7[[#This Row],[free_cash_flow]]/E158-1</f>
        <v>0.65846231920832277</v>
      </c>
      <c r="K155">
        <f>查询7[[#This Row],[free_cash_flow]]/E158-1</f>
        <v>0.65846231920832277</v>
      </c>
    </row>
    <row r="156" spans="1:11" x14ac:dyDescent="0.25">
      <c r="A156" t="s">
        <v>105</v>
      </c>
      <c r="B156" s="1">
        <v>42551</v>
      </c>
      <c r="C156">
        <v>11818000000</v>
      </c>
      <c r="D156">
        <v>2127000000</v>
      </c>
      <c r="E156">
        <v>4054000000</v>
      </c>
      <c r="F156">
        <v>0.30165848705364701</v>
      </c>
      <c r="G156">
        <v>29</v>
      </c>
      <c r="H156">
        <f>查询7[[#This Row],[capex]]/查询7[[#This Row],[revenue]]</f>
        <v>0.17997969199526145</v>
      </c>
      <c r="I156">
        <f>查询7[[#This Row],[net_profit_margin]]-F159</f>
        <v>0.13938587961889878</v>
      </c>
      <c r="J156">
        <f>查询7[[#This Row],[free_cash_flow]]/E159-1</f>
        <v>0.60300514037168851</v>
      </c>
      <c r="K156">
        <f>查询7[[#This Row],[free_cash_flow]]/E159-1</f>
        <v>0.60300514037168851</v>
      </c>
    </row>
    <row r="157" spans="1:11" x14ac:dyDescent="0.25">
      <c r="A157" t="s">
        <v>105</v>
      </c>
      <c r="B157" s="1">
        <v>42460</v>
      </c>
      <c r="C157">
        <v>5382000000</v>
      </c>
      <c r="D157">
        <v>1132000000</v>
      </c>
      <c r="E157">
        <v>1851000000</v>
      </c>
      <c r="F157">
        <v>0.28056484578223706</v>
      </c>
      <c r="G157">
        <v>30</v>
      </c>
      <c r="H157">
        <f>查询7[[#This Row],[capex]]/查询7[[#This Row],[revenue]]</f>
        <v>0.2103307320698625</v>
      </c>
      <c r="I157">
        <f>查询7[[#This Row],[net_profit_margin]]-F160</f>
        <v>0.1360545437782856</v>
      </c>
      <c r="J157">
        <f>查询7[[#This Row],[free_cash_flow]]/E160-1</f>
        <v>0.54507512520868118</v>
      </c>
      <c r="K157">
        <f>查询7[[#This Row],[free_cash_flow]]/E160-1</f>
        <v>0.54507512520868118</v>
      </c>
    </row>
    <row r="158" spans="1:11" x14ac:dyDescent="0.25">
      <c r="A158" t="s">
        <v>105</v>
      </c>
      <c r="B158" s="1">
        <v>42277</v>
      </c>
      <c r="C158">
        <v>12087000000</v>
      </c>
      <c r="D158">
        <v>1831000000</v>
      </c>
      <c r="E158">
        <v>3941000000</v>
      </c>
      <c r="F158">
        <v>0.17597418714321172</v>
      </c>
      <c r="G158">
        <v>31</v>
      </c>
      <c r="H158">
        <f>查询7[[#This Row],[capex]]/查询7[[#This Row],[revenue]]</f>
        <v>0.15148506660047986</v>
      </c>
      <c r="I158">
        <f>查询7[[#This Row],[net_profit_margin]]-F161</f>
        <v>-8.392134390728162E-2</v>
      </c>
      <c r="J158">
        <f>查询7[[#This Row],[free_cash_flow]]/E161-1</f>
        <v>0.53945312500000009</v>
      </c>
      <c r="K158">
        <f>查询7[[#This Row],[free_cash_flow]]/E161-1</f>
        <v>0.53945312500000009</v>
      </c>
    </row>
    <row r="159" spans="1:11" x14ac:dyDescent="0.25">
      <c r="A159" t="s">
        <v>105</v>
      </c>
      <c r="B159" s="1">
        <v>42185</v>
      </c>
      <c r="C159">
        <v>7586000000</v>
      </c>
      <c r="D159">
        <v>1051000000</v>
      </c>
      <c r="E159">
        <v>2529000000</v>
      </c>
      <c r="F159">
        <v>0.16227260743474822</v>
      </c>
      <c r="G159">
        <v>32</v>
      </c>
      <c r="H159">
        <f>查询7[[#This Row],[capex]]/查询7[[#This Row],[revenue]]</f>
        <v>0.13854468758238861</v>
      </c>
      <c r="I159">
        <f>查询7[[#This Row],[net_profit_margin]]-F162</f>
        <v>-0.10250935856672996</v>
      </c>
      <c r="J159">
        <f>查询7[[#This Row],[free_cash_flow]]/E162-1</f>
        <v>0.40969899665551845</v>
      </c>
      <c r="K159">
        <f>查询7[[#This Row],[free_cash_flow]]/E162-1</f>
        <v>0.40969899665551845</v>
      </c>
    </row>
    <row r="160" spans="1:11" x14ac:dyDescent="0.25">
      <c r="A160" t="s">
        <v>105</v>
      </c>
      <c r="B160" s="1">
        <v>42094</v>
      </c>
      <c r="C160">
        <v>3543000000</v>
      </c>
      <c r="D160">
        <v>502000000</v>
      </c>
      <c r="E160">
        <v>1198000000</v>
      </c>
      <c r="F160">
        <v>0.14451030200395146</v>
      </c>
      <c r="G160">
        <v>33</v>
      </c>
      <c r="H160">
        <f>查询7[[#This Row],[capex]]/查询7[[#This Row],[revenue]]</f>
        <v>0.14168783516793679</v>
      </c>
      <c r="I160">
        <f>查询7[[#This Row],[net_profit_margin]]-F163</f>
        <v>-0.11208442221667206</v>
      </c>
      <c r="J160">
        <f>查询7[[#This Row],[free_cash_flow]]/E163-1</f>
        <v>0.29934924078091107</v>
      </c>
      <c r="K160">
        <f>查询7[[#This Row],[free_cash_flow]]/E163-1</f>
        <v>0.29934924078091107</v>
      </c>
    </row>
    <row r="161" spans="1:11" x14ac:dyDescent="0.25">
      <c r="A161" t="s">
        <v>105</v>
      </c>
      <c r="B161" s="1">
        <v>41912</v>
      </c>
      <c r="C161">
        <v>8615000000</v>
      </c>
      <c r="D161">
        <v>1314000000</v>
      </c>
      <c r="E161">
        <v>2560000000</v>
      </c>
      <c r="F161">
        <v>0.25989553105049334</v>
      </c>
      <c r="G161">
        <v>34</v>
      </c>
      <c r="H161">
        <f>查询7[[#This Row],[capex]]/查询7[[#This Row],[revenue]]</f>
        <v>0.15252466627974462</v>
      </c>
      <c r="I161">
        <f>查询7[[#This Row],[net_profit_margin]]-F164</f>
        <v>7.50676839070957E-2</v>
      </c>
      <c r="J161">
        <f>查询7[[#This Row],[free_cash_flow]]/E164-1</f>
        <v>0.21212121212121215</v>
      </c>
      <c r="K161">
        <f>查询7[[#This Row],[free_cash_flow]]/E164-1</f>
        <v>0.21212121212121215</v>
      </c>
    </row>
    <row r="162" spans="1:11" x14ac:dyDescent="0.25">
      <c r="A162" t="s">
        <v>105</v>
      </c>
      <c r="B162" s="1">
        <v>41820</v>
      </c>
      <c r="C162">
        <v>5412000000</v>
      </c>
      <c r="D162">
        <v>832000000</v>
      </c>
      <c r="E162">
        <v>1794000000</v>
      </c>
      <c r="F162">
        <v>0.26478196600147819</v>
      </c>
      <c r="G162">
        <v>35</v>
      </c>
      <c r="H162">
        <f>查询7[[#This Row],[capex]]/查询7[[#This Row],[revenue]]</f>
        <v>0.15373244641537326</v>
      </c>
      <c r="I162">
        <f>查询7[[#This Row],[net_profit_margin]]-F165</f>
        <v>9.6026233809487965E-2</v>
      </c>
      <c r="J162">
        <f>查询7[[#This Row],[free_cash_flow]]/E165-1</f>
        <v>0.24066390041493779</v>
      </c>
      <c r="K162">
        <f>查询7[[#This Row],[free_cash_flow]]/E165-1</f>
        <v>0.24066390041493779</v>
      </c>
    </row>
    <row r="163" spans="1:11" x14ac:dyDescent="0.25">
      <c r="A163" t="s">
        <v>105</v>
      </c>
      <c r="B163" s="1">
        <v>41729</v>
      </c>
      <c r="C163">
        <v>2502000000</v>
      </c>
      <c r="D163">
        <v>363000000</v>
      </c>
      <c r="E163">
        <v>922000000</v>
      </c>
      <c r="F163">
        <v>0.25659472422062352</v>
      </c>
      <c r="G163">
        <v>36</v>
      </c>
      <c r="H163">
        <f>查询7[[#This Row],[capex]]/查询7[[#This Row],[revenue]]</f>
        <v>0.14508393285371701</v>
      </c>
      <c r="I163">
        <f>查询7[[#This Row],[net_profit_margin]]-F166</f>
        <v>0.10638896290375108</v>
      </c>
      <c r="J163">
        <f>查询7[[#This Row],[free_cash_flow]]/E166-1</f>
        <v>1.3520408163265305</v>
      </c>
      <c r="K163">
        <f>查询7[[#This Row],[free_cash_flow]]/E166-1</f>
        <v>1.3520408163265305</v>
      </c>
    </row>
    <row r="164" spans="1:11" x14ac:dyDescent="0.25">
      <c r="A164" t="s">
        <v>105</v>
      </c>
      <c r="B164" s="1">
        <v>41547</v>
      </c>
      <c r="C164">
        <v>5286000000</v>
      </c>
      <c r="D164">
        <v>879000000</v>
      </c>
      <c r="E164">
        <v>2112000000</v>
      </c>
      <c r="F164">
        <v>0.18482784714339764</v>
      </c>
      <c r="G164">
        <v>37</v>
      </c>
      <c r="H164">
        <f>查询7[[#This Row],[capex]]/查询7[[#This Row],[revenue]]</f>
        <v>0.16628830874006811</v>
      </c>
      <c r="I164">
        <f>查询7[[#This Row],[net_profit_margin]]-F167</f>
        <v>0.18796711654979034</v>
      </c>
      <c r="J164">
        <f>查询7[[#This Row],[free_cash_flow]]/E167-1</f>
        <v>-20.924528301886792</v>
      </c>
      <c r="K164">
        <f>查询7[[#This Row],[free_cash_flow]]/E167-1</f>
        <v>-20.924528301886792</v>
      </c>
    </row>
    <row r="165" spans="1:11" x14ac:dyDescent="0.25">
      <c r="A165" t="s">
        <v>105</v>
      </c>
      <c r="B165" s="1">
        <v>41455</v>
      </c>
      <c r="C165">
        <v>3271000000</v>
      </c>
      <c r="D165">
        <v>595000000</v>
      </c>
      <c r="E165">
        <v>1446000000</v>
      </c>
      <c r="F165">
        <v>0.16875573219199022</v>
      </c>
      <c r="G165">
        <v>38</v>
      </c>
      <c r="H165">
        <f>查询7[[#This Row],[capex]]/查询7[[#This Row],[revenue]]</f>
        <v>0.18190155915622133</v>
      </c>
      <c r="I165">
        <f>查询7[[#This Row],[net_profit_margin]]-F168</f>
        <v>0.14734627634899289</v>
      </c>
      <c r="J165">
        <f>查询7[[#This Row],[free_cash_flow]]/E168-1</f>
        <v>-8.9016393442622963</v>
      </c>
      <c r="K165">
        <f>查询7[[#This Row],[free_cash_flow]]/E168-1</f>
        <v>-8.9016393442622963</v>
      </c>
    </row>
    <row r="166" spans="1:11" x14ac:dyDescent="0.25">
      <c r="A166" t="s">
        <v>105</v>
      </c>
      <c r="B166" s="1">
        <v>41364</v>
      </c>
      <c r="C166">
        <v>1458000000</v>
      </c>
      <c r="D166">
        <v>327000000</v>
      </c>
      <c r="E166">
        <v>392000000</v>
      </c>
      <c r="F166">
        <v>0.15020576131687244</v>
      </c>
      <c r="G166">
        <v>39</v>
      </c>
      <c r="H166">
        <f>查询7[[#This Row],[capex]]/查询7[[#This Row],[revenue]]</f>
        <v>0.22427983539094651</v>
      </c>
      <c r="I166">
        <f>查询7[[#This Row],[net_profit_margin]]-F169</f>
        <v>-0.26631934783969646</v>
      </c>
      <c r="J166">
        <f>查询7[[#This Row],[free_cash_flow]]/E169-1</f>
        <v>-0.98757330797273735</v>
      </c>
      <c r="K166">
        <f>查询7[[#This Row],[free_cash_flow]]/E169-1</f>
        <v>-0.98757330797273735</v>
      </c>
    </row>
    <row r="167" spans="1:11" x14ac:dyDescent="0.25">
      <c r="A167" t="s">
        <v>105</v>
      </c>
      <c r="B167" s="1">
        <v>41182</v>
      </c>
      <c r="C167">
        <v>3504000000</v>
      </c>
      <c r="D167">
        <v>1037000000</v>
      </c>
      <c r="E167">
        <v>-106000000</v>
      </c>
      <c r="F167">
        <v>-3.1392694063926939E-3</v>
      </c>
      <c r="G167">
        <v>40</v>
      </c>
      <c r="H167">
        <f>查询7[[#This Row],[capex]]/查询7[[#This Row],[revenue]]</f>
        <v>0.29594748858447489</v>
      </c>
      <c r="I167">
        <f>查询7[[#This Row],[net_profit_margin]]-F170</f>
        <v>-0.36036764992471954</v>
      </c>
      <c r="J167">
        <f>查询7[[#This Row],[free_cash_flow]]/E170-1</f>
        <v>-1.0041304601956123</v>
      </c>
      <c r="K167">
        <f>查询7[[#This Row],[free_cash_flow]]/E170-1</f>
        <v>-1.0041304601956123</v>
      </c>
    </row>
    <row r="168" spans="1:11" x14ac:dyDescent="0.25">
      <c r="A168" t="s">
        <v>105</v>
      </c>
      <c r="B168" s="1">
        <v>41090</v>
      </c>
      <c r="C168">
        <v>2242000000</v>
      </c>
      <c r="D168">
        <v>866000000</v>
      </c>
      <c r="E168">
        <v>-183000000</v>
      </c>
      <c r="F168">
        <v>2.1409455842997322E-2</v>
      </c>
      <c r="G168">
        <v>41</v>
      </c>
      <c r="H168">
        <f>查询7[[#This Row],[capex]]/查询7[[#This Row],[revenue]]</f>
        <v>0.38626226583407669</v>
      </c>
      <c r="I168">
        <f>查询7[[#This Row],[net_profit_margin]]-F171</f>
        <v>-0.34198644152794916</v>
      </c>
      <c r="J168">
        <f>查询7[[#This Row],[free_cash_flow]]/E171-1</f>
        <v>-1.0039745455335229</v>
      </c>
      <c r="K168">
        <f>查询7[[#This Row],[free_cash_flow]]/E171-1</f>
        <v>-1.0039745455335229</v>
      </c>
    </row>
    <row r="169" spans="1:11" x14ac:dyDescent="0.25">
      <c r="A169" t="s">
        <v>97</v>
      </c>
      <c r="B169" s="1">
        <v>46022</v>
      </c>
      <c r="C169">
        <v>158946000000</v>
      </c>
      <c r="D169">
        <v>49270000000</v>
      </c>
      <c r="E169">
        <v>31545000000</v>
      </c>
      <c r="F169">
        <v>0.41652510915656887</v>
      </c>
      <c r="G169">
        <v>1</v>
      </c>
      <c r="H169">
        <f>查询7[[#This Row],[capex]]/查询7[[#This Row],[revenue]]</f>
        <v>0.30997948988964807</v>
      </c>
      <c r="I169">
        <f>查询7[[#This Row],[net_profit_margin]]-F172</f>
        <v>5.5808631198915604E-2</v>
      </c>
      <c r="J169">
        <f>查询7[[#This Row],[free_cash_flow]]/E172-1</f>
        <v>0.22533405842137966</v>
      </c>
      <c r="K169">
        <f>查询7[[#This Row],[free_cash_flow]]/E172-1</f>
        <v>0.22533405842137966</v>
      </c>
    </row>
    <row r="170" spans="1:11" x14ac:dyDescent="0.25">
      <c r="A170" t="s">
        <v>97</v>
      </c>
      <c r="B170" s="1">
        <v>45930</v>
      </c>
      <c r="C170">
        <v>77673000000</v>
      </c>
      <c r="D170">
        <v>19394000000</v>
      </c>
      <c r="E170">
        <v>25663000000</v>
      </c>
      <c r="F170">
        <v>0.35722838051832684</v>
      </c>
      <c r="G170">
        <v>2</v>
      </c>
      <c r="H170">
        <f>查询7[[#This Row],[capex]]/查询7[[#This Row],[revenue]]</f>
        <v>0.24968779369922625</v>
      </c>
      <c r="I170">
        <f>查询7[[#This Row],[net_profit_margin]]-F173</f>
        <v>-1.887896109942111E-2</v>
      </c>
      <c r="J170">
        <f>查询7[[#This Row],[free_cash_flow]]/E173-1</f>
        <v>0.3326582541413512</v>
      </c>
      <c r="K170">
        <f>查询7[[#This Row],[free_cash_flow]]/E173-1</f>
        <v>0.3326582541413512</v>
      </c>
    </row>
    <row r="171" spans="1:11" x14ac:dyDescent="0.25">
      <c r="A171" t="s">
        <v>97</v>
      </c>
      <c r="B171" s="1">
        <v>45747</v>
      </c>
      <c r="C171">
        <v>205283000000</v>
      </c>
      <c r="D171">
        <v>47472000000</v>
      </c>
      <c r="E171">
        <v>46043000000</v>
      </c>
      <c r="F171">
        <v>0.36339589737094646</v>
      </c>
      <c r="G171">
        <v>3</v>
      </c>
      <c r="H171">
        <f>查询7[[#This Row],[capex]]/查询7[[#This Row],[revenue]]</f>
        <v>0.231251491842968</v>
      </c>
      <c r="I171">
        <f>查询7[[#This Row],[net_profit_margin]]-F174</f>
        <v>-3.1016403352729593E-2</v>
      </c>
      <c r="J171">
        <f>查询7[[#This Row],[free_cash_flow]]/E174-1</f>
        <v>1.2279589664182717</v>
      </c>
      <c r="K171">
        <f>查询7[[#This Row],[free_cash_flow]]/E174-1</f>
        <v>1.2279589664182717</v>
      </c>
    </row>
    <row r="172" spans="1:11" x14ac:dyDescent="0.25">
      <c r="A172" t="s">
        <v>97</v>
      </c>
      <c r="B172" s="1">
        <v>45657</v>
      </c>
      <c r="C172">
        <v>135217000000</v>
      </c>
      <c r="D172">
        <v>30727000000</v>
      </c>
      <c r="E172">
        <v>25744000000</v>
      </c>
      <c r="F172">
        <v>0.36071647795765327</v>
      </c>
      <c r="G172">
        <v>4</v>
      </c>
      <c r="H172">
        <f>查询7[[#This Row],[capex]]/查询7[[#This Row],[revenue]]</f>
        <v>0.2272421367135789</v>
      </c>
      <c r="I172">
        <f>查询7[[#This Row],[net_profit_margin]]-F175</f>
        <v>2.4998614530865215E-2</v>
      </c>
      <c r="J172">
        <f>查询7[[#This Row],[free_cash_flow]]/E175-1</f>
        <v>-0.35068603712671509</v>
      </c>
      <c r="K172">
        <f>查询7[[#This Row],[free_cash_flow]]/E175-1</f>
        <v>-0.35068603712671509</v>
      </c>
    </row>
    <row r="173" spans="1:11" x14ac:dyDescent="0.25">
      <c r="A173" t="s">
        <v>97</v>
      </c>
      <c r="B173" s="1">
        <v>45565</v>
      </c>
      <c r="C173">
        <v>65585000000</v>
      </c>
      <c r="D173">
        <v>14923000000</v>
      </c>
      <c r="E173">
        <v>19257000000</v>
      </c>
      <c r="F173">
        <v>0.37610734161774795</v>
      </c>
      <c r="G173">
        <v>5</v>
      </c>
      <c r="H173">
        <f>查询7[[#This Row],[capex]]/查询7[[#This Row],[revenue]]</f>
        <v>0.22753678432568422</v>
      </c>
      <c r="I173">
        <f>查询7[[#This Row],[net_profit_margin]]-F176</f>
        <v>4.5774588310143138E-2</v>
      </c>
      <c r="J173">
        <f>查询7[[#This Row],[free_cash_flow]]/E176-1</f>
        <v>-0.1172183001742001</v>
      </c>
      <c r="K173">
        <f>查询7[[#This Row],[free_cash_flow]]/E176-1</f>
        <v>-0.1172183001742001</v>
      </c>
    </row>
    <row r="174" spans="1:11" x14ac:dyDescent="0.25">
      <c r="A174" t="s">
        <v>97</v>
      </c>
      <c r="B174" s="1">
        <v>45199</v>
      </c>
      <c r="C174">
        <v>56517000000</v>
      </c>
      <c r="D174">
        <v>9917000000</v>
      </c>
      <c r="E174">
        <v>20666000000</v>
      </c>
      <c r="F174">
        <v>0.39441230072367606</v>
      </c>
      <c r="G174">
        <v>6</v>
      </c>
      <c r="H174">
        <f>查询7[[#This Row],[capex]]/查询7[[#This Row],[revenue]]</f>
        <v>0.17546932781287047</v>
      </c>
      <c r="I174">
        <f>查询7[[#This Row],[net_profit_margin]]-F177</f>
        <v>4.4146948183873158E-2</v>
      </c>
      <c r="J174">
        <f>查询7[[#This Row],[free_cash_flow]]/E177-1</f>
        <v>0.22175583801359733</v>
      </c>
      <c r="K174">
        <f>查询7[[#This Row],[free_cash_flow]]/E177-1</f>
        <v>0.22175583801359733</v>
      </c>
    </row>
    <row r="175" spans="1:11" x14ac:dyDescent="0.25">
      <c r="A175" t="s">
        <v>97</v>
      </c>
      <c r="B175" s="1">
        <v>45016</v>
      </c>
      <c r="C175">
        <v>155726000000</v>
      </c>
      <c r="D175">
        <v>19164000000</v>
      </c>
      <c r="E175">
        <v>39648000000</v>
      </c>
      <c r="F175">
        <v>0.33571786342678805</v>
      </c>
      <c r="G175">
        <v>7</v>
      </c>
      <c r="H175">
        <f>查询7[[#This Row],[capex]]/查询7[[#This Row],[revenue]]</f>
        <v>0.12306230173509883</v>
      </c>
      <c r="I175">
        <f>查询7[[#This Row],[net_profit_margin]]-F178</f>
        <v>-4.6769073494765168E-2</v>
      </c>
      <c r="J175">
        <f>查询7[[#This Row],[free_cash_flow]]/E178-1</f>
        <v>-0.16338545293410145</v>
      </c>
      <c r="K175">
        <f>查询7[[#This Row],[free_cash_flow]]/E178-1</f>
        <v>-0.16338545293410145</v>
      </c>
    </row>
    <row r="176" spans="1:11" x14ac:dyDescent="0.25">
      <c r="A176" t="s">
        <v>97</v>
      </c>
      <c r="B176" s="1">
        <v>44926</v>
      </c>
      <c r="C176">
        <v>102869000000</v>
      </c>
      <c r="D176">
        <v>12557000000</v>
      </c>
      <c r="E176">
        <v>21814000000</v>
      </c>
      <c r="F176">
        <v>0.33033275330760481</v>
      </c>
      <c r="G176">
        <v>8</v>
      </c>
      <c r="H176">
        <f>查询7[[#This Row],[capex]]/查询7[[#This Row],[revenue]]</f>
        <v>0.12206787273133791</v>
      </c>
      <c r="I176">
        <f>查询7[[#This Row],[net_profit_margin]]-F179</f>
        <v>-7.4324879749224471E-2</v>
      </c>
      <c r="J176">
        <f>查询7[[#This Row],[free_cash_flow]]/E179-1</f>
        <v>-0.20226732492228927</v>
      </c>
      <c r="K176">
        <f>查询7[[#This Row],[free_cash_flow]]/E179-1</f>
        <v>-0.20226732492228927</v>
      </c>
    </row>
    <row r="177" spans="1:11" x14ac:dyDescent="0.25">
      <c r="A177" t="s">
        <v>97</v>
      </c>
      <c r="B177" s="1">
        <v>44834</v>
      </c>
      <c r="C177">
        <v>50122000000</v>
      </c>
      <c r="D177">
        <v>6283000000</v>
      </c>
      <c r="E177">
        <v>16915000000</v>
      </c>
      <c r="F177">
        <v>0.3502653525398029</v>
      </c>
      <c r="G177">
        <v>9</v>
      </c>
      <c r="H177">
        <f>查询7[[#This Row],[capex]]/查询7[[#This Row],[revenue]]</f>
        <v>0.12535413590838354</v>
      </c>
      <c r="I177">
        <f>查询7[[#This Row],[net_profit_margin]]-F180</f>
        <v>-0.10221384952564716</v>
      </c>
      <c r="J177">
        <f>查询7[[#This Row],[free_cash_flow]]/E180-1</f>
        <v>-9.6903363587827029E-2</v>
      </c>
      <c r="K177">
        <f>查询7[[#This Row],[free_cash_flow]]/E180-1</f>
        <v>-9.6903363587827029E-2</v>
      </c>
    </row>
    <row r="178" spans="1:11" x14ac:dyDescent="0.25">
      <c r="A178" t="s">
        <v>97</v>
      </c>
      <c r="B178" s="1">
        <v>44651</v>
      </c>
      <c r="C178">
        <v>146405000000</v>
      </c>
      <c r="D178">
        <v>17015000000</v>
      </c>
      <c r="E178">
        <v>47391000000</v>
      </c>
      <c r="F178">
        <v>0.38248693692155322</v>
      </c>
      <c r="G178">
        <v>10</v>
      </c>
      <c r="H178">
        <f>查询7[[#This Row],[capex]]/查询7[[#This Row],[revenue]]</f>
        <v>0.11621870837744612</v>
      </c>
      <c r="I178">
        <f>查询7[[#This Row],[net_profit_margin]]-F181</f>
        <v>1.4974471365851894E-2</v>
      </c>
      <c r="J178">
        <f>查询7[[#This Row],[free_cash_flow]]/E181-1</f>
        <v>0.18893627696939297</v>
      </c>
      <c r="K178">
        <f>查询7[[#This Row],[free_cash_flow]]/E181-1</f>
        <v>0.18893627696939297</v>
      </c>
    </row>
    <row r="179" spans="1:11" x14ac:dyDescent="0.25">
      <c r="A179" t="s">
        <v>97</v>
      </c>
      <c r="B179" s="1">
        <v>44561</v>
      </c>
      <c r="C179">
        <v>97045000000</v>
      </c>
      <c r="D179">
        <v>11675000000</v>
      </c>
      <c r="E179">
        <v>27345000000</v>
      </c>
      <c r="F179">
        <v>0.40465763305682928</v>
      </c>
      <c r="G179">
        <v>11</v>
      </c>
      <c r="H179">
        <f>查询7[[#This Row],[capex]]/查询7[[#This Row],[revenue]]</f>
        <v>0.12030501313823484</v>
      </c>
      <c r="I179">
        <f>查询7[[#This Row],[net_profit_margin]]-F182</f>
        <v>3.8759589930816574E-2</v>
      </c>
      <c r="J179">
        <f>查询7[[#This Row],[free_cash_flow]]/E182-1</f>
        <v>0.20092226613965747</v>
      </c>
      <c r="K179">
        <f>查询7[[#This Row],[free_cash_flow]]/E182-1</f>
        <v>0.20092226613965747</v>
      </c>
    </row>
    <row r="180" spans="1:11" x14ac:dyDescent="0.25">
      <c r="A180" t="s">
        <v>97</v>
      </c>
      <c r="B180" s="1">
        <v>44469</v>
      </c>
      <c r="C180">
        <v>45317000000</v>
      </c>
      <c r="D180">
        <v>5810000000</v>
      </c>
      <c r="E180">
        <v>18730000000</v>
      </c>
      <c r="F180">
        <v>0.45247920206545006</v>
      </c>
      <c r="G180">
        <v>12</v>
      </c>
      <c r="H180">
        <f>查询7[[#This Row],[capex]]/查询7[[#This Row],[revenue]]</f>
        <v>0.12820795727872542</v>
      </c>
      <c r="I180">
        <f>查询7[[#This Row],[net_profit_margin]]-F183</f>
        <v>7.8549073411738501E-2</v>
      </c>
      <c r="J180">
        <f>查询7[[#This Row],[free_cash_flow]]/E183-1</f>
        <v>0.29817022456334907</v>
      </c>
      <c r="K180">
        <f>查询7[[#This Row],[free_cash_flow]]/E183-1</f>
        <v>0.29817022456334907</v>
      </c>
    </row>
    <row r="181" spans="1:11" x14ac:dyDescent="0.25">
      <c r="A181" t="s">
        <v>97</v>
      </c>
      <c r="B181" s="1">
        <v>44286</v>
      </c>
      <c r="C181">
        <v>121936000000</v>
      </c>
      <c r="D181">
        <v>14170000000</v>
      </c>
      <c r="E181">
        <v>39860000000</v>
      </c>
      <c r="F181">
        <v>0.36751246555570133</v>
      </c>
      <c r="G181">
        <v>13</v>
      </c>
      <c r="H181">
        <f>查询7[[#This Row],[capex]]/查询7[[#This Row],[revenue]]</f>
        <v>0.11620850282115208</v>
      </c>
      <c r="I181">
        <f>查询7[[#This Row],[net_profit_margin]]-F184</f>
        <v>5.2420354527144053E-2</v>
      </c>
      <c r="J181">
        <f>查询7[[#This Row],[free_cash_flow]]/E184-1</f>
        <v>0.27327902890912004</v>
      </c>
      <c r="K181">
        <f>查询7[[#This Row],[free_cash_flow]]/E184-1</f>
        <v>0.27327902890912004</v>
      </c>
    </row>
    <row r="182" spans="1:11" x14ac:dyDescent="0.25">
      <c r="A182" t="s">
        <v>97</v>
      </c>
      <c r="B182" s="1">
        <v>44196</v>
      </c>
      <c r="C182">
        <v>80230000000</v>
      </c>
      <c r="D182">
        <v>9081000000</v>
      </c>
      <c r="E182">
        <v>22770000000</v>
      </c>
      <c r="F182">
        <v>0.36589804312601271</v>
      </c>
      <c r="G182">
        <v>14</v>
      </c>
      <c r="H182">
        <f>查询7[[#This Row],[capex]]/查询7[[#This Row],[revenue]]</f>
        <v>0.11318708712451701</v>
      </c>
      <c r="I182">
        <f>查询7[[#This Row],[net_profit_margin]]-F185</f>
        <v>4.6763096512899671E-2</v>
      </c>
      <c r="J182">
        <f>查询7[[#This Row],[free_cash_flow]]/E185-1</f>
        <v>0.29610655737704916</v>
      </c>
      <c r="K182">
        <f>查询7[[#This Row],[free_cash_flow]]/E185-1</f>
        <v>0.29610655737704916</v>
      </c>
    </row>
    <row r="183" spans="1:11" x14ac:dyDescent="0.25">
      <c r="A183" t="s">
        <v>97</v>
      </c>
      <c r="B183" s="1">
        <v>44104</v>
      </c>
      <c r="C183">
        <v>37154000000</v>
      </c>
      <c r="D183">
        <v>4907000000</v>
      </c>
      <c r="E183">
        <v>14428000000</v>
      </c>
      <c r="F183">
        <v>0.37393012865371156</v>
      </c>
      <c r="G183">
        <v>15</v>
      </c>
      <c r="H183">
        <f>查询7[[#This Row],[capex]]/查询7[[#This Row],[revenue]]</f>
        <v>0.13207191688647252</v>
      </c>
      <c r="I183">
        <f>查询7[[#This Row],[net_profit_margin]]-F186</f>
        <v>5.089276668124143E-2</v>
      </c>
      <c r="J183">
        <f>查询7[[#This Row],[free_cash_flow]]/E186-1</f>
        <v>0.38291958209527466</v>
      </c>
      <c r="K183">
        <f>查询7[[#This Row],[free_cash_flow]]/E186-1</f>
        <v>0.38291958209527466</v>
      </c>
    </row>
    <row r="184" spans="1:11" x14ac:dyDescent="0.25">
      <c r="A184" t="s">
        <v>97</v>
      </c>
      <c r="B184" s="1">
        <v>43921</v>
      </c>
      <c r="C184">
        <v>104982000000</v>
      </c>
      <c r="D184">
        <v>10697000000</v>
      </c>
      <c r="E184">
        <v>31305000000</v>
      </c>
      <c r="F184">
        <v>0.31509211102855728</v>
      </c>
      <c r="G184">
        <v>16</v>
      </c>
      <c r="H184">
        <f>查询7[[#This Row],[capex]]/查询7[[#This Row],[revenue]]</f>
        <v>0.10189365796041226</v>
      </c>
      <c r="I184">
        <f>查询7[[#This Row],[net_profit_margin]]-F187</f>
        <v>3.2294638002484277E-2</v>
      </c>
      <c r="J184">
        <f>查询7[[#This Row],[free_cash_flow]]/E187-1</f>
        <v>0.19471052932870281</v>
      </c>
      <c r="K184">
        <f>查询7[[#This Row],[free_cash_flow]]/E187-1</f>
        <v>0.19471052932870281</v>
      </c>
    </row>
    <row r="185" spans="1:11" x14ac:dyDescent="0.25">
      <c r="A185" t="s">
        <v>97</v>
      </c>
      <c r="B185" s="1">
        <v>43830</v>
      </c>
      <c r="C185">
        <v>69961000000</v>
      </c>
      <c r="D185">
        <v>6930000000</v>
      </c>
      <c r="E185">
        <v>17568000000</v>
      </c>
      <c r="F185">
        <v>0.31913494661311304</v>
      </c>
      <c r="G185">
        <v>17</v>
      </c>
      <c r="H185">
        <f>查询7[[#This Row],[capex]]/查询7[[#This Row],[revenue]]</f>
        <v>9.9055187890396079E-2</v>
      </c>
      <c r="I185">
        <f>查询7[[#This Row],[net_profit_margin]]-F188</f>
        <v>3.8995234160834558E-2</v>
      </c>
      <c r="J185">
        <f>查询7[[#This Row],[free_cash_flow]]/E188-1</f>
        <v>0.15215110178384061</v>
      </c>
      <c r="K185">
        <f>查询7[[#This Row],[free_cash_flow]]/E188-1</f>
        <v>0.15215110178384061</v>
      </c>
    </row>
    <row r="186" spans="1:11" x14ac:dyDescent="0.25">
      <c r="A186" t="s">
        <v>97</v>
      </c>
      <c r="B186" s="1">
        <v>43738</v>
      </c>
      <c r="C186">
        <v>33055000000</v>
      </c>
      <c r="D186">
        <v>3385000000</v>
      </c>
      <c r="E186">
        <v>10433000000</v>
      </c>
      <c r="F186">
        <v>0.32303736197247013</v>
      </c>
      <c r="G186">
        <v>18</v>
      </c>
      <c r="H186">
        <f>查询7[[#This Row],[capex]]/查询7[[#This Row],[revenue]]</f>
        <v>0.10240508243836031</v>
      </c>
      <c r="I186">
        <f>查询7[[#This Row],[net_profit_margin]]-F189</f>
        <v>1.964030517147991E-2</v>
      </c>
      <c r="J186">
        <f>查询7[[#This Row],[free_cash_flow]]/E189-1</f>
        <v>3.7593237195425067E-2</v>
      </c>
      <c r="K186">
        <f>查询7[[#This Row],[free_cash_flow]]/E189-1</f>
        <v>3.7593237195425067E-2</v>
      </c>
    </row>
    <row r="187" spans="1:11" x14ac:dyDescent="0.25">
      <c r="A187" t="s">
        <v>97</v>
      </c>
      <c r="B187" s="1">
        <v>43555</v>
      </c>
      <c r="C187">
        <v>92126000000</v>
      </c>
      <c r="D187">
        <v>9874000000</v>
      </c>
      <c r="E187">
        <v>26203000000</v>
      </c>
      <c r="F187">
        <v>0.282797473026073</v>
      </c>
      <c r="G187">
        <v>19</v>
      </c>
      <c r="H187">
        <f>查询7[[#This Row],[capex]]/查询7[[#This Row],[revenue]]</f>
        <v>0.10717929791806874</v>
      </c>
      <c r="I187">
        <f>查询7[[#This Row],[net_profit_margin]]-F190</f>
        <v>0.18690211332504528</v>
      </c>
      <c r="J187">
        <f>查询7[[#This Row],[free_cash_flow]]/E190-1</f>
        <v>5.5976464898847444E-2</v>
      </c>
      <c r="K187">
        <f>查询7[[#This Row],[free_cash_flow]]/E190-1</f>
        <v>5.5976464898847444E-2</v>
      </c>
    </row>
    <row r="188" spans="1:11" x14ac:dyDescent="0.25">
      <c r="A188" t="s">
        <v>97</v>
      </c>
      <c r="B188" s="1">
        <v>43465</v>
      </c>
      <c r="C188">
        <v>61555000000</v>
      </c>
      <c r="D188">
        <v>7309000000</v>
      </c>
      <c r="E188">
        <v>15248000000</v>
      </c>
      <c r="F188">
        <v>0.28013971245227848</v>
      </c>
      <c r="G188">
        <v>20</v>
      </c>
      <c r="H188">
        <f>查询7[[#This Row],[capex]]/查询7[[#This Row],[revenue]]</f>
        <v>0.11873933880269677</v>
      </c>
      <c r="I188">
        <f>查询7[[#This Row],[net_profit_margin]]-F191</f>
        <v>0.27501400158726802</v>
      </c>
      <c r="J188">
        <f>查询7[[#This Row],[free_cash_flow]]/E191-1</f>
        <v>-2.2376097967557906E-2</v>
      </c>
      <c r="K188">
        <f>查询7[[#This Row],[free_cash_flow]]/E191-1</f>
        <v>-2.2376097967557906E-2</v>
      </c>
    </row>
    <row r="189" spans="1:11" x14ac:dyDescent="0.25">
      <c r="A189" t="s">
        <v>97</v>
      </c>
      <c r="B189" s="1">
        <v>43373</v>
      </c>
      <c r="C189">
        <v>29084000000</v>
      </c>
      <c r="D189">
        <v>3602000000</v>
      </c>
      <c r="E189">
        <v>10055000000</v>
      </c>
      <c r="F189">
        <v>0.30339705680099022</v>
      </c>
      <c r="G189">
        <v>21</v>
      </c>
      <c r="H189">
        <f>查询7[[#This Row],[capex]]/查询7[[#This Row],[revenue]]</f>
        <v>0.1238481639389355</v>
      </c>
      <c r="I189">
        <f>查询7[[#This Row],[net_profit_margin]]-F192</f>
        <v>3.5404555374631108E-2</v>
      </c>
      <c r="J189" t="e">
        <f>查询7[[#This Row],[free_cash_flow]]/E192-1</f>
        <v>#DIV/0!</v>
      </c>
      <c r="K189" t="e">
        <f>查询7[[#This Row],[free_cash_flow]]/E192-1</f>
        <v>#DIV/0!</v>
      </c>
    </row>
    <row r="190" spans="1:11" x14ac:dyDescent="0.25">
      <c r="A190" t="s">
        <v>97</v>
      </c>
      <c r="B190" s="1">
        <v>43190</v>
      </c>
      <c r="C190">
        <v>80275000000</v>
      </c>
      <c r="D190">
        <v>7652000000</v>
      </c>
      <c r="E190">
        <v>24814000000</v>
      </c>
      <c r="F190">
        <v>9.5895359701027721E-2</v>
      </c>
      <c r="G190">
        <v>22</v>
      </c>
      <c r="H190">
        <f>查询7[[#This Row],[capex]]/查询7[[#This Row],[revenue]]</f>
        <v>9.5322329492369975E-2</v>
      </c>
      <c r="I190">
        <f>查询7[[#This Row],[net_profit_margin]]-F193</f>
        <v>-0.12458098085095104</v>
      </c>
      <c r="J190" t="e">
        <f>查询7[[#This Row],[free_cash_flow]]/E193-1</f>
        <v>#DIV/0!</v>
      </c>
      <c r="K190" t="e">
        <f>查询7[[#This Row],[free_cash_flow]]/E193-1</f>
        <v>#DIV/0!</v>
      </c>
    </row>
    <row r="191" spans="1:11" x14ac:dyDescent="0.25">
      <c r="A191" t="s">
        <v>97</v>
      </c>
      <c r="B191" s="1">
        <v>43100</v>
      </c>
      <c r="C191">
        <v>53456000000</v>
      </c>
      <c r="D191">
        <v>4718000000</v>
      </c>
      <c r="E191">
        <v>15597000000</v>
      </c>
      <c r="F191">
        <v>5.1257108650104759E-3</v>
      </c>
      <c r="G191">
        <v>23</v>
      </c>
      <c r="H191">
        <f>查询7[[#This Row],[capex]]/查询7[[#This Row],[revenue]]</f>
        <v>8.8259503142771631E-2</v>
      </c>
      <c r="I191">
        <f>查询7[[#This Row],[net_profit_margin]]-F194</f>
        <v>-0.21690693174999076</v>
      </c>
      <c r="J191" t="e">
        <f>查询7[[#This Row],[free_cash_flow]]/E194-1</f>
        <v>#DIV/0!</v>
      </c>
      <c r="K191" t="e">
        <f>查询7[[#This Row],[free_cash_flow]]/E194-1</f>
        <v>#DIV/0!</v>
      </c>
    </row>
    <row r="192" spans="1:11" x14ac:dyDescent="0.25">
      <c r="A192" t="s">
        <v>97</v>
      </c>
      <c r="B192" s="1">
        <v>43008</v>
      </c>
      <c r="C192">
        <v>24538000000</v>
      </c>
      <c r="D192">
        <v>2132000000</v>
      </c>
      <c r="F192">
        <v>0.26799250142635911</v>
      </c>
      <c r="G192">
        <v>24</v>
      </c>
      <c r="H192">
        <f>查询7[[#This Row],[capex]]/查询7[[#This Row],[revenue]]</f>
        <v>8.688564675197652E-2</v>
      </c>
      <c r="I192">
        <f>查询7[[#This Row],[net_profit_margin]]-F195</f>
        <v>3.8686287179060419E-2</v>
      </c>
      <c r="J192" t="e">
        <f>查询7[[#This Row],[free_cash_flow]]/E195-1</f>
        <v>#DIV/0!</v>
      </c>
      <c r="K192" t="e">
        <f>查询7[[#This Row],[free_cash_flow]]/E195-1</f>
        <v>#DIV/0!</v>
      </c>
    </row>
    <row r="193" spans="1:11" x14ac:dyDescent="0.25">
      <c r="A193" t="s">
        <v>97</v>
      </c>
      <c r="B193" s="1">
        <v>42825</v>
      </c>
      <c r="C193">
        <v>66633000000</v>
      </c>
      <c r="D193">
        <v>5846000000</v>
      </c>
      <c r="F193">
        <v>0.22047634055197876</v>
      </c>
      <c r="G193">
        <v>25</v>
      </c>
      <c r="H193">
        <f>查询7[[#This Row],[capex]]/查询7[[#This Row],[revenue]]</f>
        <v>8.7734305824441347E-2</v>
      </c>
      <c r="I193">
        <f>查询7[[#This Row],[net_profit_margin]]-F196</f>
        <v>9.1203611992139444E-3</v>
      </c>
      <c r="J193" t="e">
        <f>查询7[[#This Row],[free_cash_flow]]/E196-1</f>
        <v>#DIV/0!</v>
      </c>
      <c r="K193" t="e">
        <f>查询7[[#This Row],[free_cash_flow]]/E196-1</f>
        <v>#DIV/0!</v>
      </c>
    </row>
    <row r="194" spans="1:11" x14ac:dyDescent="0.25">
      <c r="A194" t="s">
        <v>97</v>
      </c>
      <c r="B194" s="1">
        <v>42735</v>
      </c>
      <c r="C194">
        <v>44543000000</v>
      </c>
      <c r="D194">
        <v>4151000000</v>
      </c>
      <c r="F194">
        <v>0.22203264261500125</v>
      </c>
      <c r="G194">
        <v>26</v>
      </c>
      <c r="H194">
        <f>查询7[[#This Row],[capex]]/查询7[[#This Row],[revenue]]</f>
        <v>9.319084929169566E-2</v>
      </c>
      <c r="I194">
        <f>查询7[[#This Row],[net_profit_margin]]-F197</f>
        <v>4.3076850598229854E-3</v>
      </c>
      <c r="J194" t="e">
        <f>查询7[[#This Row],[free_cash_flow]]/E197-1</f>
        <v>#DIV/0!</v>
      </c>
      <c r="K194" t="e">
        <f>查询7[[#This Row],[free_cash_flow]]/E197-1</f>
        <v>#DIV/0!</v>
      </c>
    </row>
    <row r="195" spans="1:11" x14ac:dyDescent="0.25">
      <c r="A195" t="s">
        <v>97</v>
      </c>
      <c r="B195" s="1">
        <v>42643</v>
      </c>
      <c r="C195">
        <v>20453000000</v>
      </c>
      <c r="D195">
        <v>2163000000</v>
      </c>
      <c r="F195">
        <v>0.22930621424729869</v>
      </c>
      <c r="G195">
        <v>27</v>
      </c>
      <c r="H195">
        <f>查询7[[#This Row],[capex]]/查询7[[#This Row],[revenue]]</f>
        <v>0.10575465701853029</v>
      </c>
      <c r="I195">
        <f>查询7[[#This Row],[net_profit_margin]]-F198</f>
        <v>2.602254288517597E-3</v>
      </c>
      <c r="J195" t="e">
        <f>查询7[[#This Row],[free_cash_flow]]/E198-1</f>
        <v>#DIV/0!</v>
      </c>
      <c r="K195" t="e">
        <f>查询7[[#This Row],[free_cash_flow]]/E198-1</f>
        <v>#DIV/0!</v>
      </c>
    </row>
    <row r="196" spans="1:11" x14ac:dyDescent="0.25">
      <c r="A196" t="s">
        <v>97</v>
      </c>
      <c r="B196" s="1">
        <v>42460</v>
      </c>
      <c r="C196">
        <v>64706000000</v>
      </c>
      <c r="D196">
        <v>5688000000</v>
      </c>
      <c r="F196">
        <v>0.21135597935276482</v>
      </c>
      <c r="G196">
        <v>28</v>
      </c>
      <c r="H196">
        <f>查询7[[#This Row],[capex]]/查询7[[#This Row],[revenue]]</f>
        <v>8.7905294717645965E-2</v>
      </c>
      <c r="I196">
        <f>查询7[[#This Row],[net_profit_margin]]-F199</f>
        <v>-4.1622279301483378E-3</v>
      </c>
      <c r="J196" t="e">
        <f>查询7[[#This Row],[free_cash_flow]]/E199-1</f>
        <v>#DIV/0!</v>
      </c>
      <c r="K196" t="e">
        <f>查询7[[#This Row],[free_cash_flow]]/E199-1</f>
        <v>#DIV/0!</v>
      </c>
    </row>
    <row r="197" spans="1:11" x14ac:dyDescent="0.25">
      <c r="A197" t="s">
        <v>97</v>
      </c>
      <c r="B197" s="1">
        <v>42369</v>
      </c>
      <c r="C197">
        <v>44175000000</v>
      </c>
      <c r="D197">
        <v>3380000000</v>
      </c>
      <c r="F197">
        <v>0.21772495755517826</v>
      </c>
      <c r="G197">
        <v>29</v>
      </c>
      <c r="H197">
        <f>查询7[[#This Row],[capex]]/查询7[[#This Row],[revenue]]</f>
        <v>7.6513865308432377E-2</v>
      </c>
      <c r="I197">
        <f>查询7[[#This Row],[net_profit_margin]]-F200</f>
        <v>8.2868548393078278E-3</v>
      </c>
      <c r="J197" t="e">
        <f>查询7[[#This Row],[free_cash_flow]]/E200-1</f>
        <v>#DIV/0!</v>
      </c>
      <c r="K197" t="e">
        <f>查询7[[#This Row],[free_cash_flow]]/E200-1</f>
        <v>#DIV/0!</v>
      </c>
    </row>
    <row r="198" spans="1:11" x14ac:dyDescent="0.25">
      <c r="A198" t="s">
        <v>97</v>
      </c>
      <c r="B198" s="1">
        <v>42277</v>
      </c>
      <c r="C198">
        <v>20379000000</v>
      </c>
      <c r="D198">
        <v>1356000000</v>
      </c>
      <c r="F198">
        <v>0.22670395995878109</v>
      </c>
      <c r="G198">
        <v>30</v>
      </c>
      <c r="H198">
        <f>查询7[[#This Row],[capex]]/查询7[[#This Row],[revenue]]</f>
        <v>6.6539084351538352E-2</v>
      </c>
      <c r="I198">
        <f>查询7[[#This Row],[net_profit_margin]]-F201</f>
        <v>3.1022739321739573E-2</v>
      </c>
      <c r="J198" t="e">
        <f>查询7[[#This Row],[free_cash_flow]]/E201-1</f>
        <v>#DIV/0!</v>
      </c>
      <c r="K198" t="e">
        <f>查询7[[#This Row],[free_cash_flow]]/E201-1</f>
        <v>#DIV/0!</v>
      </c>
    </row>
    <row r="199" spans="1:11" x14ac:dyDescent="0.25">
      <c r="A199" t="s">
        <v>97</v>
      </c>
      <c r="B199" s="1">
        <v>42094</v>
      </c>
      <c r="C199">
        <v>71400000000</v>
      </c>
      <c r="D199">
        <v>4163000000</v>
      </c>
      <c r="F199">
        <v>0.21551820728291315</v>
      </c>
      <c r="G199">
        <v>31</v>
      </c>
      <c r="H199">
        <f>查询7[[#This Row],[capex]]/查询7[[#This Row],[revenue]]</f>
        <v>5.830532212885154E-2</v>
      </c>
      <c r="I199">
        <f>查询7[[#This Row],[net_profit_margin]]-F202</f>
        <v>-5.9686281220026116E-2</v>
      </c>
      <c r="J199" t="e">
        <f>查询7[[#This Row],[free_cash_flow]]/E202-1</f>
        <v>#DIV/0!</v>
      </c>
      <c r="K199" t="e">
        <f>查询7[[#This Row],[free_cash_flow]]/E202-1</f>
        <v>#DIV/0!</v>
      </c>
    </row>
    <row r="200" spans="1:11" x14ac:dyDescent="0.25">
      <c r="A200" t="s">
        <v>97</v>
      </c>
      <c r="B200" s="1">
        <v>42004</v>
      </c>
      <c r="C200">
        <v>49671000000</v>
      </c>
      <c r="D200">
        <v>2772000000</v>
      </c>
      <c r="F200">
        <v>0.20943810271587043</v>
      </c>
      <c r="G200">
        <v>32</v>
      </c>
      <c r="H200">
        <f>查询7[[#This Row],[capex]]/查询7[[#This Row],[revenue]]</f>
        <v>5.5807211451349883E-2</v>
      </c>
      <c r="I200">
        <f>查询7[[#This Row],[net_profit_margin]]-F203</f>
        <v>-6.4720975522375268E-2</v>
      </c>
      <c r="J200" t="e">
        <f>查询7[[#This Row],[free_cash_flow]]/E203-1</f>
        <v>#DIV/0!</v>
      </c>
      <c r="K200" t="e">
        <f>查询7[[#This Row],[free_cash_flow]]/E203-1</f>
        <v>#DIV/0!</v>
      </c>
    </row>
    <row r="201" spans="1:11" x14ac:dyDescent="0.25">
      <c r="A201" t="s">
        <v>97</v>
      </c>
      <c r="B201" s="1">
        <v>41912</v>
      </c>
      <c r="C201">
        <v>23201000000</v>
      </c>
      <c r="D201">
        <v>1282000000</v>
      </c>
      <c r="F201">
        <v>0.19568122063704152</v>
      </c>
      <c r="G201">
        <v>33</v>
      </c>
      <c r="H201">
        <f>查询7[[#This Row],[capex]]/查询7[[#This Row],[revenue]]</f>
        <v>5.5256238955217446E-2</v>
      </c>
      <c r="I201">
        <f>查询7[[#This Row],[net_profit_margin]]-F204</f>
        <v>-8.7334592412772305E-2</v>
      </c>
      <c r="J201" t="e">
        <f>查询7[[#This Row],[free_cash_flow]]/E204-1</f>
        <v>#DIV/0!</v>
      </c>
      <c r="K201" t="e">
        <f>查询7[[#This Row],[free_cash_flow]]/E204-1</f>
        <v>#DIV/0!</v>
      </c>
    </row>
    <row r="202" spans="1:11" x14ac:dyDescent="0.25">
      <c r="A202" t="s">
        <v>97</v>
      </c>
      <c r="B202" s="1">
        <v>41729</v>
      </c>
      <c r="C202">
        <v>63451000000</v>
      </c>
      <c r="D202">
        <v>4155000000</v>
      </c>
      <c r="F202">
        <v>0.27520448850293927</v>
      </c>
      <c r="G202">
        <v>34</v>
      </c>
      <c r="H202">
        <f>查询7[[#This Row],[capex]]/查询7[[#This Row],[revenue]]</f>
        <v>6.5483601519282592E-2</v>
      </c>
      <c r="I202">
        <f>查询7[[#This Row],[net_profit_margin]]-F205</f>
        <v>-1.637662032662951E-2</v>
      </c>
      <c r="J202">
        <f>查询7[[#This Row],[free_cash_flow]]/E205-1</f>
        <v>-1</v>
      </c>
      <c r="K202">
        <f>查询7[[#This Row],[free_cash_flow]]/E205-1</f>
        <v>-1</v>
      </c>
    </row>
    <row r="203" spans="1:11" x14ac:dyDescent="0.25">
      <c r="A203" t="s">
        <v>97</v>
      </c>
      <c r="B203" s="1">
        <v>41639</v>
      </c>
      <c r="C203">
        <v>43048000000</v>
      </c>
      <c r="D203">
        <v>2963000000</v>
      </c>
      <c r="F203">
        <v>0.2741590782382457</v>
      </c>
      <c r="G203">
        <v>35</v>
      </c>
      <c r="H203">
        <f>查询7[[#This Row],[capex]]/查询7[[#This Row],[revenue]]</f>
        <v>6.8830143096078794E-2</v>
      </c>
      <c r="I203">
        <f>查询7[[#This Row],[net_profit_margin]]-F206</f>
        <v>-1.5265435962053264E-2</v>
      </c>
      <c r="J203">
        <f>查询7[[#This Row],[free_cash_flow]]/E206-1</f>
        <v>-1</v>
      </c>
      <c r="K203">
        <f>查询7[[#This Row],[free_cash_flow]]/E206-1</f>
        <v>-1</v>
      </c>
    </row>
    <row r="204" spans="1:11" x14ac:dyDescent="0.25">
      <c r="A204" t="s">
        <v>97</v>
      </c>
      <c r="B204" s="1">
        <v>41547</v>
      </c>
      <c r="C204">
        <v>18529000000</v>
      </c>
      <c r="D204">
        <v>1231000000</v>
      </c>
      <c r="F204">
        <v>0.28301581304981382</v>
      </c>
      <c r="G204">
        <v>36</v>
      </c>
      <c r="H204">
        <f>查询7[[#This Row],[capex]]/查询7[[#This Row],[revenue]]</f>
        <v>6.6436396999298403E-2</v>
      </c>
      <c r="I204">
        <f>查询7[[#This Row],[net_profit_margin]]-F207</f>
        <v>4.0303058034369954E-3</v>
      </c>
      <c r="J204">
        <f>查询7[[#This Row],[free_cash_flow]]/E207-1</f>
        <v>-1</v>
      </c>
      <c r="K204">
        <f>查询7[[#This Row],[free_cash_flow]]/E207-1</f>
        <v>-1</v>
      </c>
    </row>
    <row r="205" spans="1:11" x14ac:dyDescent="0.25">
      <c r="A205" t="s">
        <v>97</v>
      </c>
      <c r="B205" s="1">
        <v>41364</v>
      </c>
      <c r="C205">
        <v>57953000000</v>
      </c>
      <c r="D205">
        <v>2463000000</v>
      </c>
      <c r="E205">
        <v>20467000000</v>
      </c>
      <c r="F205">
        <v>0.29158110882956878</v>
      </c>
      <c r="G205">
        <v>37</v>
      </c>
      <c r="H205">
        <f>查询7[[#This Row],[capex]]/查询7[[#This Row],[revenue]]</f>
        <v>4.2499956861594738E-2</v>
      </c>
      <c r="I205">
        <f>查询7[[#This Row],[net_profit_margin]]-F208</f>
        <v>-2.2266261104320284E-2</v>
      </c>
      <c r="J205">
        <f>查询7[[#This Row],[free_cash_flow]]/E208-1</f>
        <v>-8.0795832210545204E-2</v>
      </c>
      <c r="K205">
        <f>查询7[[#This Row],[free_cash_flow]]/E208-1</f>
        <v>-8.0795832210545204E-2</v>
      </c>
    </row>
    <row r="206" spans="1:11" x14ac:dyDescent="0.25">
      <c r="A206" t="s">
        <v>97</v>
      </c>
      <c r="B206" s="1">
        <v>41274</v>
      </c>
      <c r="C206">
        <v>37464000000</v>
      </c>
      <c r="D206">
        <v>1533000000</v>
      </c>
      <c r="E206">
        <v>11731000000</v>
      </c>
      <c r="F206">
        <v>0.28942451420029897</v>
      </c>
      <c r="G206">
        <v>38</v>
      </c>
      <c r="H206">
        <f>查询7[[#This Row],[capex]]/查询7[[#This Row],[revenue]]</f>
        <v>4.0919282511210762E-2</v>
      </c>
      <c r="I206">
        <f>查询7[[#This Row],[net_profit_margin]]-F209</f>
        <v>-4.0877120614345286E-2</v>
      </c>
      <c r="J206">
        <f>查询7[[#This Row],[free_cash_flow]]/E209-1</f>
        <v>0.45600099292540652</v>
      </c>
      <c r="K206">
        <f>查询7[[#This Row],[free_cash_flow]]/E209-1</f>
        <v>0.45600099292540652</v>
      </c>
    </row>
    <row r="207" spans="1:11" x14ac:dyDescent="0.25">
      <c r="A207" t="s">
        <v>97</v>
      </c>
      <c r="B207" s="1">
        <v>41182</v>
      </c>
      <c r="C207">
        <v>16008000000</v>
      </c>
      <c r="D207">
        <v>603000000</v>
      </c>
      <c r="E207">
        <v>7881000000</v>
      </c>
      <c r="F207">
        <v>0.27898550724637683</v>
      </c>
      <c r="G207">
        <v>39</v>
      </c>
      <c r="H207">
        <f>查询7[[#This Row],[capex]]/查询7[[#This Row],[revenue]]</f>
        <v>3.7668665667166416E-2</v>
      </c>
      <c r="I207">
        <f>查询7[[#This Row],[net_profit_margin]]-F210</f>
        <v>-4.96054848412677E-2</v>
      </c>
      <c r="J207">
        <f>查询7[[#This Row],[free_cash_flow]]/E210-1</f>
        <v>-0.59248151403898852</v>
      </c>
      <c r="K207">
        <f>查询7[[#This Row],[free_cash_flow]]/E210-1</f>
        <v>-0.59248151403898852</v>
      </c>
    </row>
    <row r="208" spans="1:11" x14ac:dyDescent="0.25">
      <c r="A208" t="s">
        <v>97</v>
      </c>
      <c r="B208" s="1">
        <v>40999</v>
      </c>
      <c r="C208">
        <v>55664000000</v>
      </c>
      <c r="D208">
        <v>1683000000</v>
      </c>
      <c r="E208">
        <v>22266000000</v>
      </c>
      <c r="F208">
        <v>0.31384736993388906</v>
      </c>
      <c r="G208">
        <v>40</v>
      </c>
      <c r="H208">
        <f>查询7[[#This Row],[capex]]/查询7[[#This Row],[revenue]]</f>
        <v>3.023498131647025E-2</v>
      </c>
      <c r="I208">
        <f>查询7[[#This Row],[net_profit_margin]]-F211</f>
        <v>-1.9338421811159079E-2</v>
      </c>
      <c r="J208">
        <f>查询7[[#This Row],[free_cash_flow]]/E211-1</f>
        <v>0.96609271523178819</v>
      </c>
      <c r="K208">
        <f>查询7[[#This Row],[free_cash_flow]]/E211-1</f>
        <v>0.96609271523178819</v>
      </c>
    </row>
    <row r="209" spans="1:11" x14ac:dyDescent="0.25">
      <c r="A209" t="s">
        <v>97</v>
      </c>
      <c r="B209" s="1">
        <v>40816</v>
      </c>
      <c r="C209">
        <v>17372000000</v>
      </c>
      <c r="D209">
        <v>436000000</v>
      </c>
      <c r="E209">
        <v>8057000000</v>
      </c>
      <c r="F209">
        <v>0.33030163481464425</v>
      </c>
      <c r="G209">
        <v>41</v>
      </c>
      <c r="H209">
        <f>查询7[[#This Row],[capex]]/查询7[[#This Row],[revenue]]</f>
        <v>2.5097858623071609E-2</v>
      </c>
      <c r="I209">
        <f>查询7[[#This Row],[net_profit_margin]]-F212</f>
        <v>-3.7520854693940398E-3</v>
      </c>
      <c r="J209">
        <f>查询7[[#This Row],[free_cash_flow]]/E212-1</f>
        <v>5.5963302752293664E-2</v>
      </c>
      <c r="K209">
        <f>查询7[[#This Row],[free_cash_flow]]/E212-1</f>
        <v>5.5963302752293664E-2</v>
      </c>
    </row>
    <row r="210" spans="1:11" x14ac:dyDescent="0.25">
      <c r="A210" t="s">
        <v>97</v>
      </c>
      <c r="B210" s="1">
        <v>40633</v>
      </c>
      <c r="C210">
        <v>52576000000</v>
      </c>
      <c r="D210">
        <v>1713000000</v>
      </c>
      <c r="E210">
        <v>19339000000</v>
      </c>
      <c r="F210">
        <v>0.32859099208764453</v>
      </c>
      <c r="G210">
        <v>42</v>
      </c>
      <c r="H210">
        <f>查询7[[#This Row],[capex]]/查询7[[#This Row],[revenue]]</f>
        <v>3.2581405964698724E-2</v>
      </c>
      <c r="I210">
        <f>查询7[[#This Row],[net_profit_margin]]-F213</f>
        <v>2.1948727042968019E-2</v>
      </c>
      <c r="J210">
        <f>查询7[[#This Row],[free_cash_flow]]/E213-1</f>
        <v>0.12110144927536237</v>
      </c>
      <c r="K210">
        <f>查询7[[#This Row],[free_cash_flow]]/E213-1</f>
        <v>0.12110144927536237</v>
      </c>
    </row>
    <row r="211" spans="1:11" x14ac:dyDescent="0.25">
      <c r="A211" t="s">
        <v>97</v>
      </c>
      <c r="B211" s="1">
        <v>40543</v>
      </c>
      <c r="C211">
        <v>36148000000</v>
      </c>
      <c r="D211">
        <v>1055000000</v>
      </c>
      <c r="E211">
        <v>11325000000</v>
      </c>
      <c r="F211">
        <v>0.33318579174504814</v>
      </c>
      <c r="G211">
        <v>43</v>
      </c>
      <c r="H211">
        <f>查询7[[#This Row],[capex]]/查询7[[#This Row],[revenue]]</f>
        <v>2.9185570432665706E-2</v>
      </c>
      <c r="I211">
        <f>查询7[[#This Row],[net_profit_margin]]-F214</f>
        <v>-0.18847362467186268</v>
      </c>
      <c r="J211">
        <f>查询7[[#This Row],[free_cash_flow]]/E214-1</f>
        <v>-0.81666450819141356</v>
      </c>
      <c r="K211">
        <f>查询7[[#This Row],[free_cash_flow]]/E214-1</f>
        <v>-0.81666450819141356</v>
      </c>
    </row>
    <row r="212" spans="1:11" x14ac:dyDescent="0.25">
      <c r="A212" t="s">
        <v>97</v>
      </c>
      <c r="B212" s="1">
        <v>40451</v>
      </c>
      <c r="C212">
        <v>16195000000</v>
      </c>
      <c r="D212">
        <v>564000000</v>
      </c>
      <c r="E212">
        <v>7630000000</v>
      </c>
      <c r="F212">
        <v>0.33405372028403829</v>
      </c>
      <c r="G212">
        <v>44</v>
      </c>
      <c r="H212">
        <f>查询7[[#This Row],[capex]]/查询7[[#This Row],[revenue]]</f>
        <v>3.4825563445507871E-2</v>
      </c>
      <c r="I212">
        <f>查询7[[#This Row],[net_profit_margin]]-F215</f>
        <v>-0.16368318847649249</v>
      </c>
      <c r="J212">
        <f>查询7[[#This Row],[free_cash_flow]]/E215-1</f>
        <v>-0.80760017147035834</v>
      </c>
      <c r="K212">
        <f>查询7[[#This Row],[free_cash_flow]]/E215-1</f>
        <v>-0.80760017147035834</v>
      </c>
    </row>
    <row r="213" spans="1:11" x14ac:dyDescent="0.25">
      <c r="A213" t="s">
        <v>97</v>
      </c>
      <c r="B213" s="1">
        <v>40268</v>
      </c>
      <c r="C213">
        <v>46445000000</v>
      </c>
      <c r="D213">
        <v>1219000000</v>
      </c>
      <c r="E213">
        <v>17250000000</v>
      </c>
      <c r="F213">
        <v>0.30664226504467651</v>
      </c>
      <c r="G213">
        <v>45</v>
      </c>
      <c r="H213">
        <f>查询7[[#This Row],[capex]]/查询7[[#This Row],[revenue]]</f>
        <v>2.6246097534718484E-2</v>
      </c>
      <c r="I213">
        <f>查询7[[#This Row],[net_profit_margin]]-F216</f>
        <v>-0.11946186095959022</v>
      </c>
      <c r="J213">
        <f>查询7[[#This Row],[free_cash_flow]]/E216-1</f>
        <v>-0.34127620575094508</v>
      </c>
      <c r="K213">
        <f>查询7[[#This Row],[free_cash_flow]]/E216-1</f>
        <v>-0.34127620575094508</v>
      </c>
    </row>
    <row r="214" spans="1:11" x14ac:dyDescent="0.25">
      <c r="A214" t="s">
        <v>99</v>
      </c>
      <c r="B214" s="1">
        <v>45956</v>
      </c>
      <c r="C214">
        <v>147811000000</v>
      </c>
      <c r="D214">
        <v>4758000000</v>
      </c>
      <c r="E214">
        <v>61772000000</v>
      </c>
      <c r="F214">
        <v>0.52165941641691083</v>
      </c>
      <c r="G214">
        <v>1</v>
      </c>
      <c r="H214">
        <f>查询7[[#This Row],[capex]]/查询7[[#This Row],[revenue]]</f>
        <v>3.2189755836845704E-2</v>
      </c>
      <c r="I214">
        <f>查询7[[#This Row],[net_profit_margin]]-F217</f>
        <v>-3.5445205920364042E-2</v>
      </c>
      <c r="J214">
        <f>查询7[[#This Row],[free_cash_flow]]/E217-1</f>
        <v>0.36359020772168393</v>
      </c>
      <c r="K214">
        <f>查询7[[#This Row],[free_cash_flow]]/E217-1</f>
        <v>0.36359020772168393</v>
      </c>
    </row>
    <row r="215" spans="1:11" x14ac:dyDescent="0.25">
      <c r="A215" t="s">
        <v>99</v>
      </c>
      <c r="B215" s="1">
        <v>45865</v>
      </c>
      <c r="C215">
        <v>90805000000</v>
      </c>
      <c r="D215">
        <v>3122000000</v>
      </c>
      <c r="E215">
        <v>39657000000</v>
      </c>
      <c r="F215">
        <v>0.49773690876053078</v>
      </c>
      <c r="G215">
        <v>2</v>
      </c>
      <c r="H215">
        <f>查询7[[#This Row],[capex]]/查询7[[#This Row],[revenue]]</f>
        <v>3.4381366664831235E-2</v>
      </c>
      <c r="I215">
        <f>查询7[[#This Row],[net_profit_margin]]-F218</f>
        <v>-6.3563997023650121E-2</v>
      </c>
      <c r="J215">
        <f>查询7[[#This Row],[free_cash_flow]]/E218-1</f>
        <v>0.3921086811528065</v>
      </c>
      <c r="K215">
        <f>查询7[[#This Row],[free_cash_flow]]/E218-1</f>
        <v>0.3921086811528065</v>
      </c>
    </row>
    <row r="216" spans="1:11" x14ac:dyDescent="0.25">
      <c r="A216" t="s">
        <v>99</v>
      </c>
      <c r="B216" s="1">
        <v>45774</v>
      </c>
      <c r="C216">
        <v>44062000000</v>
      </c>
      <c r="D216">
        <v>1227000000</v>
      </c>
      <c r="E216">
        <v>26187000000</v>
      </c>
      <c r="F216">
        <v>0.42610412600426673</v>
      </c>
      <c r="G216">
        <v>3</v>
      </c>
      <c r="H216">
        <f>查询7[[#This Row],[capex]]/查询7[[#This Row],[revenue]]</f>
        <v>2.7847124506377378E-2</v>
      </c>
      <c r="I216">
        <f>查询7[[#This Row],[net_profit_margin]]-F219</f>
        <v>-0.14527507841901699</v>
      </c>
      <c r="J216">
        <f>查询7[[#This Row],[free_cash_flow]]/E219-1</f>
        <v>0.74859775641025639</v>
      </c>
      <c r="K216">
        <f>查询7[[#This Row],[free_cash_flow]]/E219-1</f>
        <v>0.74859775641025639</v>
      </c>
    </row>
    <row r="217" spans="1:11" x14ac:dyDescent="0.25">
      <c r="A217" t="s">
        <v>99</v>
      </c>
      <c r="B217" s="1">
        <v>45592</v>
      </c>
      <c r="C217">
        <v>91166000000</v>
      </c>
      <c r="D217">
        <v>2159000000</v>
      </c>
      <c r="E217">
        <v>45301000000</v>
      </c>
      <c r="F217">
        <v>0.55710462233727487</v>
      </c>
      <c r="G217">
        <v>4</v>
      </c>
      <c r="H217">
        <f>查询7[[#This Row],[capex]]/查询7[[#This Row],[revenue]]</f>
        <v>2.3682074457582872E-2</v>
      </c>
      <c r="I217">
        <f>查询7[[#This Row],[net_profit_margin]]-F220</f>
        <v>0.10693846658880118</v>
      </c>
      <c r="J217">
        <f>查询7[[#This Row],[free_cash_flow]]/E220-1</f>
        <v>1.8715136916835702</v>
      </c>
      <c r="K217">
        <f>查询7[[#This Row],[free_cash_flow]]/E220-1</f>
        <v>1.8715136916835702</v>
      </c>
    </row>
    <row r="218" spans="1:11" x14ac:dyDescent="0.25">
      <c r="A218" t="s">
        <v>99</v>
      </c>
      <c r="B218" s="1">
        <v>45501</v>
      </c>
      <c r="C218">
        <v>56084000000</v>
      </c>
      <c r="D218">
        <v>1346000000</v>
      </c>
      <c r="E218">
        <v>28487000000</v>
      </c>
      <c r="F218">
        <v>0.5613009057841809</v>
      </c>
      <c r="G218">
        <v>5</v>
      </c>
      <c r="H218">
        <f>查询7[[#This Row],[capex]]/查询7[[#This Row],[revenue]]</f>
        <v>2.399971471364382E-2</v>
      </c>
      <c r="I218">
        <f>查询7[[#This Row],[net_profit_margin]]-F221</f>
        <v>0.16360053378553363</v>
      </c>
      <c r="J218" t="e">
        <f>查询7[[#This Row],[free_cash_flow]]/E221-1</f>
        <v>#DIV/0!</v>
      </c>
      <c r="K218" t="e">
        <f>查询7[[#This Row],[free_cash_flow]]/E221-1</f>
        <v>#DIV/0!</v>
      </c>
    </row>
    <row r="219" spans="1:11" x14ac:dyDescent="0.25">
      <c r="A219" t="s">
        <v>99</v>
      </c>
      <c r="B219" s="1">
        <v>45410</v>
      </c>
      <c r="C219">
        <v>26044000000</v>
      </c>
      <c r="D219">
        <v>369000000</v>
      </c>
      <c r="E219">
        <v>14976000000</v>
      </c>
      <c r="F219">
        <v>0.57137920442328372</v>
      </c>
      <c r="G219">
        <v>6</v>
      </c>
      <c r="H219">
        <f>查询7[[#This Row],[capex]]/查询7[[#This Row],[revenue]]</f>
        <v>1.4168330517585623E-2</v>
      </c>
      <c r="I219">
        <f>查询7[[#This Row],[net_profit_margin]]-F222</f>
        <v>0.43019486183378891</v>
      </c>
      <c r="J219" t="e">
        <f>查询7[[#This Row],[free_cash_flow]]/E222-1</f>
        <v>#DIV/0!</v>
      </c>
      <c r="K219" t="e">
        <f>查询7[[#This Row],[free_cash_flow]]/E222-1</f>
        <v>#DIV/0!</v>
      </c>
    </row>
    <row r="220" spans="1:11" x14ac:dyDescent="0.25">
      <c r="A220" t="s">
        <v>99</v>
      </c>
      <c r="B220" s="1">
        <v>45228</v>
      </c>
      <c r="C220">
        <v>38819000000</v>
      </c>
      <c r="D220">
        <v>815000000</v>
      </c>
      <c r="E220">
        <v>15776000000</v>
      </c>
      <c r="F220">
        <v>0.45016615574847368</v>
      </c>
      <c r="G220">
        <v>7</v>
      </c>
      <c r="H220">
        <f>查询7[[#This Row],[capex]]/查询7[[#This Row],[revenue]]</f>
        <v>2.0994873644349415E-2</v>
      </c>
      <c r="I220">
        <f>查询7[[#This Row],[net_profit_margin]]-F223</f>
        <v>0.29848525927035202</v>
      </c>
      <c r="J220" t="e">
        <f>查询7[[#This Row],[free_cash_flow]]/E223-1</f>
        <v>#DIV/0!</v>
      </c>
      <c r="K220" t="e">
        <f>查询7[[#This Row],[free_cash_flow]]/E223-1</f>
        <v>#DIV/0!</v>
      </c>
    </row>
    <row r="221" spans="1:11" x14ac:dyDescent="0.25">
      <c r="A221" t="s">
        <v>99</v>
      </c>
      <c r="B221" s="1">
        <v>45137</v>
      </c>
      <c r="C221">
        <v>20699000000</v>
      </c>
      <c r="F221">
        <v>0.39770037199864727</v>
      </c>
      <c r="G221">
        <v>8</v>
      </c>
      <c r="H221">
        <f>查询7[[#This Row],[capex]]/查询7[[#This Row],[revenue]]</f>
        <v>0</v>
      </c>
      <c r="I221">
        <f>查询7[[#This Row],[net_profit_margin]]-F224</f>
        <v>0.20247836427663954</v>
      </c>
      <c r="J221" t="e">
        <f>查询7[[#This Row],[free_cash_flow]]/E224-1</f>
        <v>#DIV/0!</v>
      </c>
      <c r="K221" t="e">
        <f>查询7[[#This Row],[free_cash_flow]]/E224-1</f>
        <v>#DIV/0!</v>
      </c>
    </row>
    <row r="222" spans="1:11" x14ac:dyDescent="0.25">
      <c r="A222" t="s">
        <v>99</v>
      </c>
      <c r="B222" s="1">
        <v>44864</v>
      </c>
      <c r="C222">
        <v>20923000000</v>
      </c>
      <c r="F222">
        <v>0.1411843425894948</v>
      </c>
      <c r="G222">
        <v>9</v>
      </c>
      <c r="H222">
        <f>查询7[[#This Row],[capex]]/查询7[[#This Row],[revenue]]</f>
        <v>0</v>
      </c>
      <c r="I222">
        <f>查询7[[#This Row],[net_profit_margin]]-F225</f>
        <v>-0.20903100689937448</v>
      </c>
      <c r="J222">
        <f>查询7[[#This Row],[free_cash_flow]]/E225-1</f>
        <v>-1</v>
      </c>
      <c r="K222">
        <f>查询7[[#This Row],[free_cash_flow]]/E225-1</f>
        <v>-1</v>
      </c>
    </row>
    <row r="223" spans="1:11" x14ac:dyDescent="0.25">
      <c r="A223" t="s">
        <v>99</v>
      </c>
      <c r="B223" s="1">
        <v>44773</v>
      </c>
      <c r="C223">
        <v>14992000000</v>
      </c>
      <c r="F223">
        <v>0.15168089647812166</v>
      </c>
      <c r="G223">
        <v>10</v>
      </c>
      <c r="H223">
        <f>查询7[[#This Row],[capex]]/查询7[[#This Row],[revenue]]</f>
        <v>0</v>
      </c>
      <c r="I223">
        <f>查询7[[#This Row],[net_profit_margin]]-F226</f>
        <v>-0.20047229221352858</v>
      </c>
      <c r="J223">
        <f>查询7[[#This Row],[free_cash_flow]]/E226-1</f>
        <v>-1</v>
      </c>
      <c r="K223">
        <f>查询7[[#This Row],[free_cash_flow]]/E226-1</f>
        <v>-1</v>
      </c>
    </row>
    <row r="224" spans="1:11" x14ac:dyDescent="0.25">
      <c r="A224" t="s">
        <v>99</v>
      </c>
      <c r="B224" s="1">
        <v>44682</v>
      </c>
      <c r="C224">
        <v>8288000000</v>
      </c>
      <c r="F224">
        <v>0.19522200772200773</v>
      </c>
      <c r="G224">
        <v>11</v>
      </c>
      <c r="H224">
        <f>查询7[[#This Row],[capex]]/查询7[[#This Row],[revenue]]</f>
        <v>0</v>
      </c>
      <c r="I224">
        <f>查询7[[#This Row],[net_profit_margin]]-F227</f>
        <v>-0.14252750649809473</v>
      </c>
      <c r="J224">
        <f>查询7[[#This Row],[free_cash_flow]]/E227-1</f>
        <v>-1</v>
      </c>
      <c r="K224">
        <f>查询7[[#This Row],[free_cash_flow]]/E227-1</f>
        <v>-1</v>
      </c>
    </row>
    <row r="225" spans="1:11" x14ac:dyDescent="0.25">
      <c r="A225" t="s">
        <v>99</v>
      </c>
      <c r="B225" s="1">
        <v>44500</v>
      </c>
      <c r="C225">
        <v>19271000000</v>
      </c>
      <c r="D225">
        <v>703000000</v>
      </c>
      <c r="E225">
        <v>5372000000</v>
      </c>
      <c r="F225">
        <v>0.35021534948886929</v>
      </c>
      <c r="G225">
        <v>12</v>
      </c>
      <c r="H225">
        <f>查询7[[#This Row],[capex]]/查询7[[#This Row],[revenue]]</f>
        <v>3.6479684500025943E-2</v>
      </c>
      <c r="I225">
        <f>查询7[[#This Row],[net_profit_margin]]-F228</f>
        <v>0.1038993796465115</v>
      </c>
      <c r="J225">
        <f>查询7[[#This Row],[free_cash_flow]]/E228-1</f>
        <v>0.84604810996563584</v>
      </c>
      <c r="K225">
        <f>查询7[[#This Row],[free_cash_flow]]/E228-1</f>
        <v>0.84604810996563584</v>
      </c>
    </row>
    <row r="226" spans="1:11" x14ac:dyDescent="0.25">
      <c r="A226" t="s">
        <v>99</v>
      </c>
      <c r="B226" s="1">
        <v>44409</v>
      </c>
      <c r="C226">
        <v>12168000000</v>
      </c>
      <c r="D226">
        <v>481000000</v>
      </c>
      <c r="E226">
        <v>4075000000</v>
      </c>
      <c r="F226">
        <v>0.35215318869165024</v>
      </c>
      <c r="G226">
        <v>13</v>
      </c>
      <c r="H226">
        <f>查询7[[#This Row],[capex]]/查询7[[#This Row],[revenue]]</f>
        <v>3.9529914529914528E-2</v>
      </c>
      <c r="I226">
        <f>查询7[[#This Row],[net_profit_margin]]-F229</f>
        <v>0.13058681955833609</v>
      </c>
      <c r="J226">
        <f>查询7[[#This Row],[free_cash_flow]]/E229-1</f>
        <v>0.93678707224334601</v>
      </c>
      <c r="K226">
        <f>查询7[[#This Row],[free_cash_flow]]/E229-1</f>
        <v>0.93678707224334601</v>
      </c>
    </row>
    <row r="227" spans="1:11" x14ac:dyDescent="0.25">
      <c r="A227" t="s">
        <v>99</v>
      </c>
      <c r="B227" s="1">
        <v>44318</v>
      </c>
      <c r="C227">
        <v>5661000000</v>
      </c>
      <c r="D227">
        <v>298000000</v>
      </c>
      <c r="E227">
        <v>1576000000</v>
      </c>
      <c r="F227">
        <v>0.33774951422010246</v>
      </c>
      <c r="G227">
        <v>14</v>
      </c>
      <c r="H227">
        <f>查询7[[#This Row],[capex]]/查询7[[#This Row],[revenue]]</f>
        <v>5.2640876170287933E-2</v>
      </c>
      <c r="I227">
        <f>查询7[[#This Row],[net_profit_margin]]-F230</f>
        <v>4.0022241492829735E-2</v>
      </c>
      <c r="J227">
        <f>查询7[[#This Row],[free_cash_flow]]/E230-1</f>
        <v>1.090185676392573</v>
      </c>
      <c r="K227">
        <f>查询7[[#This Row],[free_cash_flow]]/E230-1</f>
        <v>1.090185676392573</v>
      </c>
    </row>
    <row r="228" spans="1:11" x14ac:dyDescent="0.25">
      <c r="A228" t="s">
        <v>99</v>
      </c>
      <c r="B228" s="1">
        <v>44129</v>
      </c>
      <c r="C228">
        <v>11672000000</v>
      </c>
      <c r="D228">
        <v>845000000</v>
      </c>
      <c r="E228">
        <v>2910000000</v>
      </c>
      <c r="F228">
        <v>0.24631596984235779</v>
      </c>
      <c r="G228">
        <v>15</v>
      </c>
      <c r="H228">
        <f>查询7[[#This Row],[capex]]/查询7[[#This Row],[revenue]]</f>
        <v>7.2395476353666902E-2</v>
      </c>
      <c r="I228">
        <f>查询7[[#This Row],[net_profit_margin]]-F231</f>
        <v>1.0171083115108337E-2</v>
      </c>
      <c r="J228">
        <f>查询7[[#This Row],[free_cash_flow]]/E231-1</f>
        <v>-1.4227642276422814E-2</v>
      </c>
      <c r="K228">
        <f>查询7[[#This Row],[free_cash_flow]]/E231-1</f>
        <v>-1.4227642276422814E-2</v>
      </c>
    </row>
    <row r="229" spans="1:11" x14ac:dyDescent="0.25">
      <c r="A229" t="s">
        <v>99</v>
      </c>
      <c r="B229" s="1">
        <v>44038</v>
      </c>
      <c r="C229">
        <v>6946000000</v>
      </c>
      <c r="D229">
        <v>372000000</v>
      </c>
      <c r="E229">
        <v>2104000000</v>
      </c>
      <c r="F229">
        <v>0.22156636913331415</v>
      </c>
      <c r="G229">
        <v>16</v>
      </c>
      <c r="H229">
        <f>查询7[[#This Row],[capex]]/查询7[[#This Row],[revenue]]</f>
        <v>5.3556003455226028E-2</v>
      </c>
      <c r="I229">
        <f>查询7[[#This Row],[net_profit_margin]]-F232</f>
        <v>2.4233591471301219E-2</v>
      </c>
      <c r="J229">
        <f>查询7[[#This Row],[free_cash_flow]]/E232-1</f>
        <v>0.48692579505300349</v>
      </c>
      <c r="K229">
        <f>查询7[[#This Row],[free_cash_flow]]/E232-1</f>
        <v>0.48692579505300349</v>
      </c>
    </row>
    <row r="230" spans="1:11" x14ac:dyDescent="0.25">
      <c r="A230" t="s">
        <v>99</v>
      </c>
      <c r="B230" s="1">
        <v>43947</v>
      </c>
      <c r="C230">
        <v>3080000000</v>
      </c>
      <c r="D230">
        <v>155000000</v>
      </c>
      <c r="E230">
        <v>754000000</v>
      </c>
      <c r="F230">
        <v>0.29772727272727273</v>
      </c>
      <c r="G230">
        <v>17</v>
      </c>
      <c r="H230">
        <f>查询7[[#This Row],[capex]]/查询7[[#This Row],[revenue]]</f>
        <v>5.0324675324675328E-2</v>
      </c>
      <c r="I230">
        <f>查询7[[#This Row],[net_profit_margin]]-F233</f>
        <v>0.29772727272727273</v>
      </c>
      <c r="J230" t="e">
        <f>查询7[[#This Row],[free_cash_flow]]/E233-1</f>
        <v>#DIV/0!</v>
      </c>
      <c r="K230" t="e">
        <f>查询7[[#This Row],[free_cash_flow]]/E233-1</f>
        <v>#DIV/0!</v>
      </c>
    </row>
    <row r="231" spans="1:11" x14ac:dyDescent="0.25">
      <c r="A231" t="s">
        <v>99</v>
      </c>
      <c r="B231" s="1">
        <v>43765</v>
      </c>
      <c r="C231">
        <v>7813000000</v>
      </c>
      <c r="D231">
        <v>344000000</v>
      </c>
      <c r="E231">
        <v>2952000000</v>
      </c>
      <c r="F231">
        <v>0.23614488672724945</v>
      </c>
      <c r="G231">
        <v>18</v>
      </c>
      <c r="H231">
        <f>查询7[[#This Row],[capex]]/查询7[[#This Row],[revenue]]</f>
        <v>4.4029182132343532E-2</v>
      </c>
      <c r="I231">
        <f>查询7[[#This Row],[net_profit_margin]]-F234</f>
        <v>-0.13973567262507944</v>
      </c>
      <c r="J231">
        <f>查询7[[#This Row],[free_cash_flow]]/E234-1</f>
        <v>0.20588235294117641</v>
      </c>
      <c r="K231">
        <f>查询7[[#This Row],[free_cash_flow]]/E234-1</f>
        <v>0.20588235294117641</v>
      </c>
    </row>
    <row r="232" spans="1:11" x14ac:dyDescent="0.25">
      <c r="A232" t="s">
        <v>99</v>
      </c>
      <c r="B232" s="1">
        <v>43674</v>
      </c>
      <c r="C232">
        <v>4799000000</v>
      </c>
      <c r="D232">
        <v>241000000</v>
      </c>
      <c r="E232">
        <v>1415000000</v>
      </c>
      <c r="F232">
        <v>0.19733277766201293</v>
      </c>
      <c r="G232">
        <v>19</v>
      </c>
      <c r="H232">
        <f>查询7[[#This Row],[capex]]/查询7[[#This Row],[revenue]]</f>
        <v>5.0218795582413003E-2</v>
      </c>
      <c r="I232">
        <f>查询7[[#This Row],[net_profit_margin]]-F235</f>
        <v>-0.17312535819896654</v>
      </c>
      <c r="J232">
        <f>查询7[[#This Row],[free_cash_flow]]/E235-1</f>
        <v>-0.32970156324017053</v>
      </c>
      <c r="K232">
        <f>查询7[[#This Row],[free_cash_flow]]/E235-1</f>
        <v>-0.32970156324017053</v>
      </c>
    </row>
    <row r="233" spans="1:11" x14ac:dyDescent="0.25">
      <c r="A233" t="s">
        <v>99</v>
      </c>
      <c r="B233" s="1">
        <v>43583</v>
      </c>
      <c r="G233">
        <v>20</v>
      </c>
      <c r="H233" t="e">
        <f>查询7[[#This Row],[capex]]/查询7[[#This Row],[revenue]]</f>
        <v>#DIV/0!</v>
      </c>
      <c r="I233">
        <f>查询7[[#This Row],[net_profit_margin]]-F236</f>
        <v>-0.38790146554412225</v>
      </c>
      <c r="J233">
        <f>查询7[[#This Row],[free_cash_flow]]/E236-1</f>
        <v>-1</v>
      </c>
      <c r="K233">
        <f>查询7[[#This Row],[free_cash_flow]]/E236-1</f>
        <v>-1</v>
      </c>
    </row>
    <row r="234" spans="1:11" x14ac:dyDescent="0.25">
      <c r="A234" t="s">
        <v>99</v>
      </c>
      <c r="B234" s="1">
        <v>43401</v>
      </c>
      <c r="C234">
        <v>9511000000</v>
      </c>
      <c r="D234">
        <v>397000000</v>
      </c>
      <c r="E234">
        <v>2448000000</v>
      </c>
      <c r="F234">
        <v>0.37588055935232889</v>
      </c>
      <c r="G234">
        <v>21</v>
      </c>
      <c r="H234">
        <f>查询7[[#This Row],[capex]]/查询7[[#This Row],[revenue]]</f>
        <v>4.1741141835769109E-2</v>
      </c>
      <c r="I234">
        <f>查询7[[#This Row],[net_profit_margin]]-F237</f>
        <v>9.2476178931926112E-2</v>
      </c>
      <c r="J234">
        <f>查询7[[#This Row],[free_cash_flow]]/E237-1</f>
        <v>0.24453482460599907</v>
      </c>
      <c r="K234">
        <f>查询7[[#This Row],[free_cash_flow]]/E237-1</f>
        <v>0.24453482460599907</v>
      </c>
    </row>
    <row r="235" spans="1:11" x14ac:dyDescent="0.25">
      <c r="A235" t="s">
        <v>99</v>
      </c>
      <c r="B235" s="1">
        <v>43310</v>
      </c>
      <c r="C235">
        <v>6330000000</v>
      </c>
      <c r="D235">
        <v>247000000</v>
      </c>
      <c r="E235">
        <v>2111000000</v>
      </c>
      <c r="F235">
        <v>0.37045813586097948</v>
      </c>
      <c r="G235">
        <v>22</v>
      </c>
      <c r="H235">
        <f>查询7[[#This Row],[capex]]/查询7[[#This Row],[revenue]]</f>
        <v>3.902053712480253E-2</v>
      </c>
      <c r="I235">
        <f>查询7[[#This Row],[net_profit_margin]]-F238</f>
        <v>0.10863908138533751</v>
      </c>
      <c r="J235">
        <f>查询7[[#This Row],[free_cash_flow]]/E238-1</f>
        <v>1.4015927189988622</v>
      </c>
      <c r="K235">
        <f>查询7[[#This Row],[free_cash_flow]]/E238-1</f>
        <v>1.4015927189988622</v>
      </c>
    </row>
    <row r="236" spans="1:11" x14ac:dyDescent="0.25">
      <c r="A236" t="s">
        <v>99</v>
      </c>
      <c r="B236" s="1">
        <v>43219</v>
      </c>
      <c r="C236">
        <v>3207000000</v>
      </c>
      <c r="D236">
        <v>118000000</v>
      </c>
      <c r="E236">
        <v>1327000000</v>
      </c>
      <c r="F236">
        <v>0.38790146554412225</v>
      </c>
      <c r="G236">
        <v>23</v>
      </c>
      <c r="H236">
        <f>查询7[[#This Row],[capex]]/查询7[[#This Row],[revenue]]</f>
        <v>3.6794512004989087E-2</v>
      </c>
      <c r="I236">
        <f>查询7[[#This Row],[net_profit_margin]]-F239</f>
        <v>0.12615649910116922</v>
      </c>
      <c r="J236">
        <f>查询7[[#This Row],[free_cash_flow]]/E239-1</f>
        <v>4.8201754385964914</v>
      </c>
      <c r="K236">
        <f>查询7[[#This Row],[free_cash_flow]]/E239-1</f>
        <v>4.8201754385964914</v>
      </c>
    </row>
    <row r="237" spans="1:11" x14ac:dyDescent="0.25">
      <c r="A237" t="s">
        <v>99</v>
      </c>
      <c r="B237" s="1">
        <v>43037</v>
      </c>
      <c r="C237">
        <v>6803000000</v>
      </c>
      <c r="D237">
        <v>177000000</v>
      </c>
      <c r="E237">
        <v>1967000000</v>
      </c>
      <c r="F237">
        <v>0.28340438042040278</v>
      </c>
      <c r="G237">
        <v>24</v>
      </c>
      <c r="H237">
        <f>查询7[[#This Row],[capex]]/查询7[[#This Row],[revenue]]</f>
        <v>2.6017933264736146E-2</v>
      </c>
      <c r="I237">
        <f>查询7[[#This Row],[net_profit_margin]]-F240</f>
        <v>6.9767057220065015E-2</v>
      </c>
      <c r="J237">
        <f>查询7[[#This Row],[free_cash_flow]]/E240-1</f>
        <v>1.3813559322033897</v>
      </c>
      <c r="K237">
        <f>查询7[[#This Row],[free_cash_flow]]/E240-1</f>
        <v>1.3813559322033897</v>
      </c>
    </row>
    <row r="238" spans="1:11" x14ac:dyDescent="0.25">
      <c r="A238" t="s">
        <v>99</v>
      </c>
      <c r="B238" s="1">
        <v>42946</v>
      </c>
      <c r="C238">
        <v>4167000000</v>
      </c>
      <c r="D238">
        <v>108000000</v>
      </c>
      <c r="E238">
        <v>879000000</v>
      </c>
      <c r="F238">
        <v>0.26181905447564197</v>
      </c>
      <c r="G238">
        <v>25</v>
      </c>
      <c r="H238">
        <f>查询7[[#This Row],[capex]]/查询7[[#This Row],[revenue]]</f>
        <v>2.591792656587473E-2</v>
      </c>
      <c r="I238">
        <f>查询7[[#This Row],[net_profit_margin]]-F241</f>
        <v>9.7530726630782827E-2</v>
      </c>
      <c r="J238">
        <f>查询7[[#This Row],[free_cash_flow]]/E241-1</f>
        <v>1.1650246305418719</v>
      </c>
      <c r="K238">
        <f>查询7[[#This Row],[free_cash_flow]]/E241-1</f>
        <v>1.1650246305418719</v>
      </c>
    </row>
    <row r="239" spans="1:11" x14ac:dyDescent="0.25">
      <c r="A239" t="s">
        <v>99</v>
      </c>
      <c r="B239" s="1">
        <v>42855</v>
      </c>
      <c r="C239">
        <v>1937000000</v>
      </c>
      <c r="D239">
        <v>54000000</v>
      </c>
      <c r="E239">
        <v>228000000</v>
      </c>
      <c r="F239">
        <v>0.26174496644295303</v>
      </c>
      <c r="G239">
        <v>26</v>
      </c>
      <c r="H239">
        <f>查询7[[#This Row],[capex]]/查询7[[#This Row],[revenue]]</f>
        <v>2.7878162106350027E-2</v>
      </c>
      <c r="I239">
        <f>查询7[[#This Row],[net_profit_margin]]-F242</f>
        <v>0.11155339556172697</v>
      </c>
      <c r="J239">
        <f>查询7[[#This Row],[free_cash_flow]]/E242-1</f>
        <v>-0.10236220472440949</v>
      </c>
      <c r="K239">
        <f>查询7[[#This Row],[free_cash_flow]]/E242-1</f>
        <v>-0.10236220472440949</v>
      </c>
    </row>
    <row r="240" spans="1:11" x14ac:dyDescent="0.25">
      <c r="A240" t="s">
        <v>99</v>
      </c>
      <c r="B240" s="1">
        <v>42673</v>
      </c>
      <c r="C240">
        <v>4737000000</v>
      </c>
      <c r="D240">
        <v>125000000</v>
      </c>
      <c r="E240">
        <v>826000000</v>
      </c>
      <c r="F240">
        <v>0.21363732320033776</v>
      </c>
      <c r="G240">
        <v>27</v>
      </c>
      <c r="H240">
        <f>查询7[[#This Row],[capex]]/查询7[[#This Row],[revenue]]</f>
        <v>2.6388009288579269E-2</v>
      </c>
      <c r="I240">
        <f>查询7[[#This Row],[net_profit_margin]]-F243</f>
        <v>0.10114078676365171</v>
      </c>
      <c r="J240">
        <f>查询7[[#This Row],[free_cash_flow]]/E243-1</f>
        <v>0.39291736930860033</v>
      </c>
      <c r="K240">
        <f>查询7[[#This Row],[free_cash_flow]]/E243-1</f>
        <v>0.39291736930860033</v>
      </c>
    </row>
    <row r="241" spans="1:11" x14ac:dyDescent="0.25">
      <c r="A241" t="s">
        <v>99</v>
      </c>
      <c r="B241" s="1">
        <v>42582</v>
      </c>
      <c r="C241">
        <v>2733000000</v>
      </c>
      <c r="D241">
        <v>87000000</v>
      </c>
      <c r="E241">
        <v>406000000</v>
      </c>
      <c r="F241">
        <v>0.16428832784485914</v>
      </c>
      <c r="G241">
        <v>28</v>
      </c>
      <c r="H241">
        <f>查询7[[#This Row],[capex]]/查询7[[#This Row],[revenue]]</f>
        <v>3.1833150384193196E-2</v>
      </c>
      <c r="I241">
        <f>查询7[[#This Row],[net_profit_margin]]-F244</f>
        <v>9.4843883400414691E-2</v>
      </c>
      <c r="J241">
        <f>查询7[[#This Row],[free_cash_flow]]/E244-1</f>
        <v>0.14366197183098595</v>
      </c>
      <c r="K241">
        <f>查询7[[#This Row],[free_cash_flow]]/E244-1</f>
        <v>0.14366197183098595</v>
      </c>
    </row>
    <row r="242" spans="1:11" x14ac:dyDescent="0.25">
      <c r="A242" t="s">
        <v>99</v>
      </c>
      <c r="B242" s="1">
        <v>42491</v>
      </c>
      <c r="C242">
        <v>1305000000</v>
      </c>
      <c r="D242">
        <v>55000000</v>
      </c>
      <c r="E242">
        <v>254000000</v>
      </c>
      <c r="F242">
        <v>0.15019157088122606</v>
      </c>
      <c r="G242">
        <v>29</v>
      </c>
      <c r="H242">
        <f>查询7[[#This Row],[capex]]/查询7[[#This Row],[revenue]]</f>
        <v>4.2145593869731802E-2</v>
      </c>
      <c r="I242">
        <f>查询7[[#This Row],[net_profit_margin]]-F245</f>
        <v>3.3771066971582275E-2</v>
      </c>
      <c r="J242">
        <f>查询7[[#This Row],[free_cash_flow]]/E245-1</f>
        <v>0.17592592592592582</v>
      </c>
      <c r="K242">
        <f>查询7[[#This Row],[free_cash_flow]]/E245-1</f>
        <v>0.17592592592592582</v>
      </c>
    </row>
    <row r="243" spans="1:11" x14ac:dyDescent="0.25">
      <c r="A243" t="s">
        <v>99</v>
      </c>
      <c r="B243" s="1">
        <v>42302</v>
      </c>
      <c r="C243">
        <v>3609000000</v>
      </c>
      <c r="D243">
        <v>71000000</v>
      </c>
      <c r="E243">
        <v>593000000</v>
      </c>
      <c r="F243">
        <v>0.11249653643668606</v>
      </c>
      <c r="G243">
        <v>30</v>
      </c>
      <c r="H243">
        <f>查询7[[#This Row],[capex]]/查询7[[#This Row],[revenue]]</f>
        <v>1.9673039623164312E-2</v>
      </c>
      <c r="I243">
        <f>查询7[[#This Row],[net_profit_margin]]-F246</f>
        <v>-1.5005618187354269E-2</v>
      </c>
      <c r="J243">
        <f>查询7[[#This Row],[free_cash_flow]]/E246-1</f>
        <v>0.59584058817355645</v>
      </c>
      <c r="K243">
        <f>查询7[[#This Row],[free_cash_flow]]/E246-1</f>
        <v>0.59584058817355645</v>
      </c>
    </row>
    <row r="244" spans="1:11" x14ac:dyDescent="0.25">
      <c r="A244" t="s">
        <v>99</v>
      </c>
      <c r="B244" s="1">
        <v>42211</v>
      </c>
      <c r="C244">
        <v>2304000000</v>
      </c>
      <c r="D244">
        <v>54000000</v>
      </c>
      <c r="E244">
        <v>355000000</v>
      </c>
      <c r="F244">
        <v>6.9444444444444448E-2</v>
      </c>
      <c r="G244">
        <v>31</v>
      </c>
      <c r="H244">
        <f>查询7[[#This Row],[capex]]/查询7[[#This Row],[revenue]]</f>
        <v>2.34375E-2</v>
      </c>
      <c r="I244">
        <f>查询7[[#This Row],[net_profit_margin]]-F247</f>
        <v>-5.0473347042812367E-2</v>
      </c>
      <c r="J244">
        <f>查询7[[#This Row],[free_cash_flow]]/E247-1</f>
        <v>0.81391760215421871</v>
      </c>
      <c r="K244">
        <f>查询7[[#This Row],[free_cash_flow]]/E247-1</f>
        <v>0.81391760215421871</v>
      </c>
    </row>
    <row r="245" spans="1:11" x14ac:dyDescent="0.25">
      <c r="A245" t="s">
        <v>99</v>
      </c>
      <c r="B245" s="1">
        <v>42120</v>
      </c>
      <c r="C245">
        <v>1151000000</v>
      </c>
      <c r="D245">
        <v>30000000</v>
      </c>
      <c r="E245">
        <v>216000000</v>
      </c>
      <c r="F245">
        <v>0.11642050390964379</v>
      </c>
      <c r="G245">
        <v>32</v>
      </c>
      <c r="H245">
        <f>查询7[[#This Row],[capex]]/查询7[[#This Row],[revenue]]</f>
        <v>2.6064291920069503E-2</v>
      </c>
      <c r="I245">
        <f>查询7[[#This Row],[net_profit_margin]]-F248</f>
        <v>-7.3713072016587666E-3</v>
      </c>
      <c r="J245">
        <f>查询7[[#This Row],[free_cash_flow]]/E248-1</f>
        <v>0.7711596175607196</v>
      </c>
      <c r="K245">
        <f>查询7[[#This Row],[free_cash_flow]]/E248-1</f>
        <v>0.7711596175607196</v>
      </c>
    </row>
    <row r="246" spans="1:11" x14ac:dyDescent="0.25">
      <c r="A246" t="s">
        <v>99</v>
      </c>
      <c r="B246" s="1">
        <v>41938</v>
      </c>
      <c r="C246">
        <v>3430993000</v>
      </c>
      <c r="D246">
        <v>91336000</v>
      </c>
      <c r="E246">
        <v>371591000</v>
      </c>
      <c r="F246">
        <v>0.12750215462404033</v>
      </c>
      <c r="G246">
        <v>33</v>
      </c>
      <c r="H246">
        <f>查询7[[#This Row],[capex]]/查询7[[#This Row],[revenue]]</f>
        <v>2.6620864571860098E-2</v>
      </c>
      <c r="I246">
        <f>查询7[[#This Row],[net_profit_margin]]-F249</f>
        <v>2.9351285083285369E-2</v>
      </c>
      <c r="J246">
        <f>查询7[[#This Row],[free_cash_flow]]/E249-1</f>
        <v>0.51285715448941871</v>
      </c>
      <c r="K246">
        <f>查询7[[#This Row],[free_cash_flow]]/E249-1</f>
        <v>0.51285715448941871</v>
      </c>
    </row>
    <row r="247" spans="1:11" x14ac:dyDescent="0.25">
      <c r="A247" t="s">
        <v>99</v>
      </c>
      <c r="B247" s="1">
        <v>41847</v>
      </c>
      <c r="C247">
        <v>2205611000</v>
      </c>
      <c r="D247">
        <v>51595000</v>
      </c>
      <c r="E247">
        <v>195709000</v>
      </c>
      <c r="F247">
        <v>0.11991779148725681</v>
      </c>
      <c r="G247">
        <v>34</v>
      </c>
      <c r="H247">
        <f>查询7[[#This Row],[capex]]/查询7[[#This Row],[revenue]]</f>
        <v>2.3392610936379989E-2</v>
      </c>
      <c r="I247">
        <f>查询7[[#This Row],[net_profit_margin]]-F250</f>
        <v>2.9679139577839672E-2</v>
      </c>
      <c r="J247">
        <f>查询7[[#This Row],[free_cash_flow]]/E250-1</f>
        <v>0.61122454020054984</v>
      </c>
      <c r="K247">
        <f>查询7[[#This Row],[free_cash_flow]]/E250-1</f>
        <v>0.61122454020054984</v>
      </c>
    </row>
    <row r="248" spans="1:11" x14ac:dyDescent="0.25">
      <c r="A248" t="s">
        <v>99</v>
      </c>
      <c r="B248" s="1">
        <v>41756</v>
      </c>
      <c r="C248">
        <v>1102787000</v>
      </c>
      <c r="D248">
        <v>29068000</v>
      </c>
      <c r="E248">
        <v>121954000</v>
      </c>
      <c r="F248">
        <v>0.12379181111130255</v>
      </c>
      <c r="G248">
        <v>35</v>
      </c>
      <c r="H248">
        <f>查询7[[#This Row],[capex]]/查询7[[#This Row],[revenue]]</f>
        <v>2.6358671257459509E-2</v>
      </c>
      <c r="I248">
        <f>查询7[[#This Row],[net_profit_margin]]-F251</f>
        <v>4.2208257909851679E-2</v>
      </c>
      <c r="J248">
        <f>查询7[[#This Row],[free_cash_flow]]/E251-1</f>
        <v>0.10884409408726814</v>
      </c>
      <c r="K248">
        <f>查询7[[#This Row],[free_cash_flow]]/E251-1</f>
        <v>0.10884409408726814</v>
      </c>
    </row>
    <row r="249" spans="1:11" x14ac:dyDescent="0.25">
      <c r="A249" t="s">
        <v>99</v>
      </c>
      <c r="B249" s="1">
        <v>41574</v>
      </c>
      <c r="C249">
        <v>2985944000</v>
      </c>
      <c r="D249">
        <v>188812000</v>
      </c>
      <c r="E249">
        <v>245622000</v>
      </c>
      <c r="F249">
        <v>9.8150869540754956E-2</v>
      </c>
      <c r="G249">
        <v>36</v>
      </c>
      <c r="H249">
        <f>查询7[[#This Row],[capex]]/查询7[[#This Row],[revenue]]</f>
        <v>6.3233603845216119E-2</v>
      </c>
      <c r="I249">
        <f>查询7[[#This Row],[net_profit_margin]]-F252</f>
        <v>9.8150869540754956E-2</v>
      </c>
      <c r="J249" t="e">
        <f>查询7[[#This Row],[free_cash_flow]]/E252-1</f>
        <v>#DIV/0!</v>
      </c>
      <c r="K249" t="e">
        <f>查询7[[#This Row],[free_cash_flow]]/E252-1</f>
        <v>#DIV/0!</v>
      </c>
    </row>
    <row r="250" spans="1:11" x14ac:dyDescent="0.25">
      <c r="A250" t="s">
        <v>99</v>
      </c>
      <c r="B250" s="1">
        <v>41483</v>
      </c>
      <c r="C250">
        <v>1931977000</v>
      </c>
      <c r="D250">
        <v>150653000</v>
      </c>
      <c r="E250">
        <v>121466000</v>
      </c>
      <c r="F250">
        <v>9.0238651909417142E-2</v>
      </c>
      <c r="G250">
        <v>37</v>
      </c>
      <c r="H250">
        <f>查询7[[#This Row],[capex]]/查询7[[#This Row],[revenue]]</f>
        <v>7.7978671588740445E-2</v>
      </c>
      <c r="I250">
        <f>查询7[[#This Row],[net_profit_margin]]-F253</f>
        <v>9.0238651909417142E-2</v>
      </c>
      <c r="J250" t="e">
        <f>查询7[[#This Row],[free_cash_flow]]/E253-1</f>
        <v>#DIV/0!</v>
      </c>
      <c r="K250" t="e">
        <f>查询7[[#This Row],[free_cash_flow]]/E253-1</f>
        <v>#DIV/0!</v>
      </c>
    </row>
    <row r="251" spans="1:11" x14ac:dyDescent="0.25">
      <c r="A251" t="s">
        <v>99</v>
      </c>
      <c r="B251" s="1">
        <v>41392</v>
      </c>
      <c r="C251">
        <v>954739000</v>
      </c>
      <c r="D251">
        <v>65667000</v>
      </c>
      <c r="E251">
        <v>109983000</v>
      </c>
      <c r="F251">
        <v>8.1583553201450873E-2</v>
      </c>
      <c r="G251">
        <v>38</v>
      </c>
      <c r="H251">
        <f>查询7[[#This Row],[capex]]/查询7[[#This Row],[revenue]]</f>
        <v>6.8780054025236223E-2</v>
      </c>
      <c r="I251">
        <f>查询7[[#This Row],[net_profit_margin]]-F254</f>
        <v>8.1583553201450873E-2</v>
      </c>
      <c r="J251" t="e">
        <f>查询7[[#This Row],[free_cash_flow]]/E254-1</f>
        <v>#DIV/0!</v>
      </c>
      <c r="K251" t="e">
        <f>查询7[[#This Row],[free_cash_flow]]/E254-1</f>
        <v>#DIV/0!</v>
      </c>
    </row>
    <row r="252" spans="1:11" x14ac:dyDescent="0.25">
      <c r="A252" t="s">
        <v>99</v>
      </c>
      <c r="B252" s="1">
        <v>41210</v>
      </c>
      <c r="G252">
        <v>39</v>
      </c>
      <c r="H252" t="e">
        <f>查询7[[#This Row],[capex]]/查询7[[#This Row],[revenue]]</f>
        <v>#DIV/0!</v>
      </c>
      <c r="I252">
        <f>查询7[[#This Row],[net_profit_margin]]-F255</f>
        <v>0</v>
      </c>
      <c r="J252" t="e">
        <f>查询7[[#This Row],[free_cash_flow]]/E255-1</f>
        <v>#DIV/0!</v>
      </c>
      <c r="K252" t="e">
        <f>查询7[[#This Row],[free_cash_flow]]/E255-1</f>
        <v>#DIV/0!</v>
      </c>
    </row>
    <row r="253" spans="1:11" x14ac:dyDescent="0.25">
      <c r="A253" t="s">
        <v>99</v>
      </c>
      <c r="B253" s="1">
        <v>41119</v>
      </c>
      <c r="G253">
        <v>40</v>
      </c>
      <c r="H253" t="e">
        <f>查询7[[#This Row],[capex]]/查询7[[#This Row],[revenue]]</f>
        <v>#DIV/0!</v>
      </c>
      <c r="I253">
        <f>查询7[[#This Row],[net_profit_margin]]-F256</f>
        <v>0</v>
      </c>
      <c r="J253" t="e">
        <f>查询7[[#This Row],[free_cash_flow]]/E256-1</f>
        <v>#DIV/0!</v>
      </c>
      <c r="K253" t="e">
        <f>查询7[[#This Row],[free_cash_flow]]/E256-1</f>
        <v>#DIV/0!</v>
      </c>
    </row>
    <row r="254" spans="1:11" x14ac:dyDescent="0.25">
      <c r="A254" t="s">
        <v>99</v>
      </c>
      <c r="B254" s="1">
        <v>41028</v>
      </c>
      <c r="G254">
        <v>41</v>
      </c>
      <c r="H254" t="e">
        <f>查询7[[#This Row],[capex]]/查询7[[#This Row],[revenue]]</f>
        <v>#DIV/0!</v>
      </c>
      <c r="I254">
        <f>查询7[[#This Row],[net_profit_margin]]-F257</f>
        <v>0</v>
      </c>
      <c r="J254" t="e">
        <f>查询7[[#This Row],[free_cash_flow]]/E257-1</f>
        <v>#DIV/0!</v>
      </c>
      <c r="K254" t="e">
        <f>查询7[[#This Row],[free_cash_flow]]/E257-1</f>
        <v>#DIV/0!</v>
      </c>
    </row>
    <row r="255" spans="1:11" x14ac:dyDescent="0.25">
      <c r="A255" t="s">
        <v>99</v>
      </c>
      <c r="B255" s="1">
        <v>40846</v>
      </c>
      <c r="G255">
        <v>42</v>
      </c>
      <c r="H255" t="e">
        <f>查询7[[#This Row],[capex]]/查询7[[#This Row],[revenue]]</f>
        <v>#DIV/0!</v>
      </c>
      <c r="I255">
        <f>查询7[[#This Row],[net_profit_margin]]-F258</f>
        <v>0</v>
      </c>
      <c r="J255" t="e">
        <f>查询7[[#This Row],[free_cash_flow]]/E258-1</f>
        <v>#DIV/0!</v>
      </c>
      <c r="K255" t="e">
        <f>查询7[[#This Row],[free_cash_flow]]/E258-1</f>
        <v>#DIV/0!</v>
      </c>
    </row>
    <row r="256" spans="1:11" x14ac:dyDescent="0.25">
      <c r="A256" t="s">
        <v>99</v>
      </c>
      <c r="B256" s="1">
        <v>40755</v>
      </c>
      <c r="G256">
        <v>43</v>
      </c>
      <c r="H256" t="e">
        <f>查询7[[#This Row],[capex]]/查询7[[#This Row],[revenue]]</f>
        <v>#DIV/0!</v>
      </c>
      <c r="I256">
        <f>查询7[[#This Row],[net_profit_margin]]-F259</f>
        <v>0</v>
      </c>
      <c r="J256" t="e">
        <f>查询7[[#This Row],[free_cash_flow]]/E259-1</f>
        <v>#DIV/0!</v>
      </c>
      <c r="K256" t="e">
        <f>查询7[[#This Row],[free_cash_flow]]/E259-1</f>
        <v>#DIV/0!</v>
      </c>
    </row>
    <row r="257" spans="1:11" x14ac:dyDescent="0.25">
      <c r="A257" t="s">
        <v>99</v>
      </c>
      <c r="B257" s="1">
        <v>40664</v>
      </c>
      <c r="G257">
        <v>44</v>
      </c>
      <c r="H257" t="e">
        <f>查询7[[#This Row],[capex]]/查询7[[#This Row],[revenue]]</f>
        <v>#DIV/0!</v>
      </c>
      <c r="I257">
        <f>查询7[[#This Row],[net_profit_margin]]-F260</f>
        <v>-0.13734499352673601</v>
      </c>
      <c r="J257" t="e">
        <f>查询7[[#This Row],[free_cash_flow]]/E260-1</f>
        <v>#DIV/0!</v>
      </c>
      <c r="K257" t="e">
        <f>查询7[[#This Row],[free_cash_flow]]/E260-1</f>
        <v>#DIV/0!</v>
      </c>
    </row>
    <row r="258" spans="1:11" x14ac:dyDescent="0.25">
      <c r="A258" t="s">
        <v>99</v>
      </c>
      <c r="B258" s="1">
        <v>40482</v>
      </c>
      <c r="G258">
        <v>45</v>
      </c>
      <c r="H258" t="e">
        <f>查询7[[#This Row],[capex]]/查询7[[#This Row],[revenue]]</f>
        <v>#DIV/0!</v>
      </c>
      <c r="I258">
        <f>查询7[[#This Row],[net_profit_margin]]-F261</f>
        <v>-4.22446586391328E-2</v>
      </c>
      <c r="J258">
        <f>查询7[[#This Row],[free_cash_flow]]/E261-1</f>
        <v>-1</v>
      </c>
      <c r="K258">
        <f>查询7[[#This Row],[free_cash_flow]]/E261-1</f>
        <v>-1</v>
      </c>
    </row>
    <row r="259" spans="1:11" x14ac:dyDescent="0.25">
      <c r="A259" t="s">
        <v>99</v>
      </c>
      <c r="B259" s="1">
        <v>40391</v>
      </c>
      <c r="G259">
        <v>46</v>
      </c>
      <c r="H259" t="e">
        <f>查询7[[#This Row],[capex]]/查询7[[#This Row],[revenue]]</f>
        <v>#DIV/0!</v>
      </c>
      <c r="I259">
        <f>查询7[[#This Row],[net_profit_margin]]-F262</f>
        <v>-3.779493676938156E-2</v>
      </c>
      <c r="J259">
        <f>查询7[[#This Row],[free_cash_flow]]/E262-1</f>
        <v>-1</v>
      </c>
      <c r="K259">
        <f>查询7[[#This Row],[free_cash_flow]]/E262-1</f>
        <v>-1</v>
      </c>
    </row>
    <row r="260" spans="1:11" x14ac:dyDescent="0.25">
      <c r="A260" t="s">
        <v>99</v>
      </c>
      <c r="B260" s="1">
        <v>40300</v>
      </c>
      <c r="C260">
        <v>1001813000</v>
      </c>
      <c r="F260">
        <v>0.13734499352673601</v>
      </c>
      <c r="G260">
        <v>47</v>
      </c>
      <c r="H260">
        <f>查询7[[#This Row],[capex]]/查询7[[#This Row],[revenue]]</f>
        <v>0</v>
      </c>
      <c r="I260">
        <f>查询7[[#This Row],[net_profit_margin]]-F263</f>
        <v>0.11619164467749887</v>
      </c>
      <c r="J260">
        <f>查询7[[#This Row],[free_cash_flow]]/E263-1</f>
        <v>-1</v>
      </c>
      <c r="K260">
        <f>查询7[[#This Row],[free_cash_flow]]/E263-1</f>
        <v>-1</v>
      </c>
    </row>
    <row r="261" spans="1:11" x14ac:dyDescent="0.25">
      <c r="A261" t="s">
        <v>107</v>
      </c>
      <c r="B261" s="1">
        <v>45930</v>
      </c>
      <c r="C261">
        <v>69926000000</v>
      </c>
      <c r="D261">
        <v>6134000000</v>
      </c>
      <c r="E261">
        <v>4800000000</v>
      </c>
      <c r="F261">
        <v>4.22446586391328E-2</v>
      </c>
      <c r="G261">
        <v>1</v>
      </c>
      <c r="H261">
        <f>查询7[[#This Row],[capex]]/查询7[[#This Row],[revenue]]</f>
        <v>8.7721305379973108E-2</v>
      </c>
      <c r="I261">
        <f>查询7[[#This Row],[net_profit_margin]]-F264</f>
        <v>-2.407655609212319E-2</v>
      </c>
      <c r="J261">
        <f>查询7[[#This Row],[free_cash_flow]]/E264-1</f>
        <v>2.0907920154539599</v>
      </c>
      <c r="K261">
        <f>查询7[[#This Row],[free_cash_flow]]/E264-1</f>
        <v>2.0907920154539599</v>
      </c>
    </row>
    <row r="262" spans="1:11" x14ac:dyDescent="0.25">
      <c r="A262" t="s">
        <v>107</v>
      </c>
      <c r="B262" s="1">
        <v>45838</v>
      </c>
      <c r="C262">
        <v>41831000000</v>
      </c>
      <c r="D262">
        <v>3886000000</v>
      </c>
      <c r="E262">
        <v>810000000</v>
      </c>
      <c r="F262">
        <v>3.779493676938156E-2</v>
      </c>
      <c r="G262">
        <v>2</v>
      </c>
      <c r="H262">
        <f>查询7[[#This Row],[capex]]/查询7[[#This Row],[revenue]]</f>
        <v>9.2897611818985926E-2</v>
      </c>
      <c r="I262">
        <f>查询7[[#This Row],[net_profit_margin]]-F265</f>
        <v>-1.7909001180662243E-2</v>
      </c>
      <c r="J262">
        <f>查询7[[#This Row],[free_cash_flow]]/E265-1</f>
        <v>-1.6812447434819175</v>
      </c>
      <c r="K262">
        <f>查询7[[#This Row],[free_cash_flow]]/E265-1</f>
        <v>-1.6812447434819175</v>
      </c>
    </row>
    <row r="263" spans="1:11" x14ac:dyDescent="0.25">
      <c r="A263" t="s">
        <v>107</v>
      </c>
      <c r="B263" s="1">
        <v>45747</v>
      </c>
      <c r="C263">
        <v>19335000000</v>
      </c>
      <c r="D263">
        <v>1492000000</v>
      </c>
      <c r="E263">
        <v>664000000</v>
      </c>
      <c r="F263">
        <v>2.1153348849237134E-2</v>
      </c>
      <c r="G263">
        <v>3</v>
      </c>
      <c r="H263">
        <f>查询7[[#This Row],[capex]]/查询7[[#This Row],[revenue]]</f>
        <v>7.7165761572278252E-2</v>
      </c>
      <c r="I263">
        <f>查询7[[#This Row],[net_profit_margin]]-F266</f>
        <v>-3.1848857619942716E-2</v>
      </c>
      <c r="J263">
        <f>查询7[[#This Row],[free_cash_flow]]/E266-1</f>
        <v>-1.2623468984591071</v>
      </c>
      <c r="K263">
        <f>查询7[[#This Row],[free_cash_flow]]/E266-1</f>
        <v>-1.2623468984591071</v>
      </c>
    </row>
    <row r="264" spans="1:11" x14ac:dyDescent="0.25">
      <c r="A264" t="s">
        <v>107</v>
      </c>
      <c r="B264" s="1">
        <v>45565</v>
      </c>
      <c r="C264">
        <v>71983000000</v>
      </c>
      <c r="D264">
        <v>8556000000</v>
      </c>
      <c r="E264">
        <v>1553000000</v>
      </c>
      <c r="F264">
        <v>6.632121473125599E-2</v>
      </c>
      <c r="G264">
        <v>4</v>
      </c>
      <c r="H264">
        <f>查询7[[#This Row],[capex]]/查询7[[#This Row],[revenue]]</f>
        <v>0.11886139783004321</v>
      </c>
      <c r="I264">
        <f>查询7[[#This Row],[net_profit_margin]]-F267</f>
        <v>-3.2399562857214251E-2</v>
      </c>
      <c r="J264">
        <f>查询7[[#This Row],[free_cash_flow]]/E267-1</f>
        <v>-0.32301656495204878</v>
      </c>
      <c r="K264">
        <f>查询7[[#This Row],[free_cash_flow]]/E267-1</f>
        <v>-0.32301656495204878</v>
      </c>
    </row>
    <row r="265" spans="1:11" x14ac:dyDescent="0.25">
      <c r="A265" t="s">
        <v>107</v>
      </c>
      <c r="B265" s="1">
        <v>45473</v>
      </c>
      <c r="C265">
        <v>46801000000</v>
      </c>
      <c r="D265">
        <v>5043000000</v>
      </c>
      <c r="E265">
        <v>-1189000000</v>
      </c>
      <c r="F265">
        <v>5.5703937950043803E-2</v>
      </c>
      <c r="G265">
        <v>5</v>
      </c>
      <c r="H265">
        <f>查询7[[#This Row],[capex]]/查询7[[#This Row],[revenue]]</f>
        <v>0.10775410781820902</v>
      </c>
      <c r="I265">
        <f>查询7[[#This Row],[net_profit_margin]]-F268</f>
        <v>-5.238624772634877E-2</v>
      </c>
      <c r="J265">
        <f>查询7[[#This Row],[free_cash_flow]]/E268-1</f>
        <v>-1.822268326417704</v>
      </c>
      <c r="K265">
        <f>查询7[[#This Row],[free_cash_flow]]/E268-1</f>
        <v>-1.822268326417704</v>
      </c>
    </row>
    <row r="266" spans="1:11" x14ac:dyDescent="0.25">
      <c r="A266" t="s">
        <v>107</v>
      </c>
      <c r="B266" s="1">
        <v>45382</v>
      </c>
      <c r="C266">
        <v>21301000000</v>
      </c>
      <c r="D266">
        <v>2773000000</v>
      </c>
      <c r="E266">
        <v>-2531000000</v>
      </c>
      <c r="F266">
        <v>5.3002206469179851E-2</v>
      </c>
      <c r="G266">
        <v>6</v>
      </c>
      <c r="H266">
        <f>查询7[[#This Row],[capex]]/查询7[[#This Row],[revenue]]</f>
        <v>0.13018168161119195</v>
      </c>
      <c r="I266">
        <f>查询7[[#This Row],[net_profit_margin]]-F269</f>
        <v>-5.4717798674632577E-2</v>
      </c>
      <c r="J266">
        <f>查询7[[#This Row],[free_cash_flow]]/E269-1</f>
        <v>-6.7392290249433104</v>
      </c>
      <c r="K266">
        <f>查询7[[#This Row],[free_cash_flow]]/E269-1</f>
        <v>-6.7392290249433104</v>
      </c>
    </row>
    <row r="267" spans="1:11" x14ac:dyDescent="0.25">
      <c r="A267" t="s">
        <v>107</v>
      </c>
      <c r="B267" s="1">
        <v>45199</v>
      </c>
      <c r="C267">
        <v>71606000000</v>
      </c>
      <c r="D267">
        <v>6592000000</v>
      </c>
      <c r="E267">
        <v>2294000000</v>
      </c>
      <c r="F267">
        <v>9.872077758847024E-2</v>
      </c>
      <c r="G267">
        <v>7</v>
      </c>
      <c r="H267">
        <f>查询7[[#This Row],[capex]]/查询7[[#This Row],[revenue]]</f>
        <v>9.2059324637600207E-2</v>
      </c>
      <c r="I267">
        <f>查询7[[#This Row],[net_profit_margin]]-F270</f>
        <v>-5.6483618323611526E-2</v>
      </c>
      <c r="J267">
        <f>查询7[[#This Row],[free_cash_flow]]/E270-1</f>
        <v>-0.62674910510901394</v>
      </c>
      <c r="K267">
        <f>查询7[[#This Row],[free_cash_flow]]/E270-1</f>
        <v>-0.62674910510901394</v>
      </c>
    </row>
    <row r="268" spans="1:11" x14ac:dyDescent="0.25">
      <c r="A268" t="s">
        <v>107</v>
      </c>
      <c r="B268" s="1">
        <v>45107</v>
      </c>
      <c r="C268">
        <v>48256000000</v>
      </c>
      <c r="D268">
        <v>4132000000</v>
      </c>
      <c r="E268">
        <v>1446000000</v>
      </c>
      <c r="F268">
        <v>0.10809018567639257</v>
      </c>
      <c r="G268">
        <v>8</v>
      </c>
      <c r="H268">
        <f>查询7[[#This Row],[capex]]/查询7[[#This Row],[revenue]]</f>
        <v>8.5626657824933686E-2</v>
      </c>
      <c r="I268">
        <f>查询7[[#This Row],[net_profit_margin]]-F271</f>
        <v>-4.8172072659275686E-2</v>
      </c>
      <c r="J268">
        <f>查询7[[#This Row],[free_cash_flow]]/E271-1</f>
        <v>-0.49245349245349246</v>
      </c>
      <c r="K268">
        <f>查询7[[#This Row],[free_cash_flow]]/E271-1</f>
        <v>-0.49245349245349246</v>
      </c>
    </row>
    <row r="269" spans="1:11" x14ac:dyDescent="0.25">
      <c r="A269" t="s">
        <v>107</v>
      </c>
      <c r="B269" s="1">
        <v>45016</v>
      </c>
      <c r="C269">
        <v>23329000000</v>
      </c>
      <c r="D269">
        <v>2072000000</v>
      </c>
      <c r="E269">
        <v>441000000</v>
      </c>
      <c r="F269">
        <v>0.10772000514381243</v>
      </c>
      <c r="G269">
        <v>9</v>
      </c>
      <c r="H269">
        <f>查询7[[#This Row],[capex]]/查询7[[#This Row],[revenue]]</f>
        <v>8.8816494491834194E-2</v>
      </c>
      <c r="I269">
        <f>查询7[[#This Row],[net_profit_margin]]-F272</f>
        <v>-6.9183385771094799E-2</v>
      </c>
      <c r="J269">
        <f>查询7[[#This Row],[free_cash_flow]]/E272-1</f>
        <v>-0.80206463195691202</v>
      </c>
      <c r="K269">
        <f>查询7[[#This Row],[free_cash_flow]]/E272-1</f>
        <v>-0.80206463195691202</v>
      </c>
    </row>
    <row r="270" spans="1:11" x14ac:dyDescent="0.25">
      <c r="A270" t="s">
        <v>107</v>
      </c>
      <c r="B270" s="1">
        <v>44834</v>
      </c>
      <c r="C270">
        <v>57144000000</v>
      </c>
      <c r="D270">
        <v>5300000000</v>
      </c>
      <c r="E270">
        <v>6146000000</v>
      </c>
      <c r="F270">
        <v>0.15520439591208177</v>
      </c>
      <c r="G270">
        <v>10</v>
      </c>
      <c r="H270">
        <f>查询7[[#This Row],[capex]]/查询7[[#This Row],[revenue]]</f>
        <v>9.2748145037099258E-2</v>
      </c>
      <c r="I270">
        <f>查询7[[#This Row],[net_profit_margin]]-F273</f>
        <v>6.6626952969471534E-2</v>
      </c>
      <c r="J270">
        <f>查询7[[#This Row],[free_cash_flow]]/E273-1</f>
        <v>1.7437499999999999</v>
      </c>
      <c r="K270">
        <f>查询7[[#This Row],[free_cash_flow]]/E273-1</f>
        <v>1.7437499999999999</v>
      </c>
    </row>
    <row r="271" spans="1:11" x14ac:dyDescent="0.25">
      <c r="A271" t="s">
        <v>107</v>
      </c>
      <c r="B271" s="1">
        <v>44742</v>
      </c>
      <c r="C271">
        <v>35690000000</v>
      </c>
      <c r="D271">
        <v>3497000000</v>
      </c>
      <c r="E271">
        <v>2849000000</v>
      </c>
      <c r="F271">
        <v>0.15626225833566826</v>
      </c>
      <c r="G271">
        <v>11</v>
      </c>
      <c r="H271">
        <f>查询7[[#This Row],[capex]]/查询7[[#This Row],[revenue]]</f>
        <v>9.798262818716727E-2</v>
      </c>
      <c r="I271">
        <f>查询7[[#This Row],[net_profit_margin]]-F274</f>
        <v>8.5559255695492845E-2</v>
      </c>
      <c r="J271">
        <f>查询7[[#This Row],[free_cash_flow]]/E274-1</f>
        <v>2.1239035087719298</v>
      </c>
      <c r="K271">
        <f>查询7[[#This Row],[free_cash_flow]]/E274-1</f>
        <v>2.1239035087719298</v>
      </c>
    </row>
    <row r="272" spans="1:11" x14ac:dyDescent="0.25">
      <c r="A272" t="s">
        <v>107</v>
      </c>
      <c r="B272" s="1">
        <v>44651</v>
      </c>
      <c r="C272">
        <v>18756000000</v>
      </c>
      <c r="D272">
        <v>1767000000</v>
      </c>
      <c r="E272">
        <v>2228000000</v>
      </c>
      <c r="F272">
        <v>0.17690339091490723</v>
      </c>
      <c r="G272">
        <v>12</v>
      </c>
      <c r="H272">
        <f>查询7[[#This Row],[capex]]/查询7[[#This Row],[revenue]]</f>
        <v>9.4209852847088937E-2</v>
      </c>
      <c r="I272">
        <f>查询7[[#This Row],[net_profit_margin]]-F275</f>
        <v>0.13474341401626444</v>
      </c>
      <c r="J272">
        <f>查询7[[#This Row],[free_cash_flow]]/E275-1</f>
        <v>6.6040955631399321</v>
      </c>
      <c r="K272">
        <f>查询7[[#This Row],[free_cash_flow]]/E275-1</f>
        <v>6.6040955631399321</v>
      </c>
    </row>
    <row r="273" spans="1:11" x14ac:dyDescent="0.25">
      <c r="A273" t="s">
        <v>107</v>
      </c>
      <c r="B273" s="1">
        <v>44469</v>
      </c>
      <c r="C273">
        <v>36104000000</v>
      </c>
      <c r="D273">
        <v>4672000000</v>
      </c>
      <c r="E273">
        <v>2240000000</v>
      </c>
      <c r="F273">
        <v>8.8577442942610232E-2</v>
      </c>
      <c r="G273">
        <v>13</v>
      </c>
      <c r="H273">
        <f>查询7[[#This Row],[capex]]/查询7[[#This Row],[revenue]]</f>
        <v>0.12940394416131176</v>
      </c>
      <c r="I273">
        <f>查询7[[#This Row],[net_profit_margin]]-F276</f>
        <v>6.6886407929143521E-2</v>
      </c>
      <c r="J273">
        <f>查询7[[#This Row],[free_cash_flow]]/E276-1</f>
        <v>1.4400871459694988</v>
      </c>
      <c r="K273">
        <f>查询7[[#This Row],[free_cash_flow]]/E276-1</f>
        <v>1.4400871459694988</v>
      </c>
    </row>
    <row r="274" spans="1:11" x14ac:dyDescent="0.25">
      <c r="A274" t="s">
        <v>107</v>
      </c>
      <c r="B274" s="1">
        <v>44377</v>
      </c>
      <c r="C274">
        <v>22347000000</v>
      </c>
      <c r="D274">
        <v>2853000000</v>
      </c>
      <c r="E274">
        <v>912000000</v>
      </c>
      <c r="F274">
        <v>7.0703002640175414E-2</v>
      </c>
      <c r="G274">
        <v>14</v>
      </c>
      <c r="H274">
        <f>查询7[[#This Row],[capex]]/查询7[[#This Row],[revenue]]</f>
        <v>0.12766814337494967</v>
      </c>
      <c r="I274">
        <f>查询7[[#This Row],[net_profit_margin]]-F277</f>
        <v>6.0720472068675535E-2</v>
      </c>
      <c r="J274">
        <f>查询7[[#This Row],[free_cash_flow]]/E277-1</f>
        <v>-2.9119496855345912</v>
      </c>
      <c r="K274">
        <f>查询7[[#This Row],[free_cash_flow]]/E277-1</f>
        <v>-2.9119496855345912</v>
      </c>
    </row>
    <row r="275" spans="1:11" x14ac:dyDescent="0.25">
      <c r="A275" t="s">
        <v>107</v>
      </c>
      <c r="B275" s="1">
        <v>44286</v>
      </c>
      <c r="C275">
        <v>10389000000</v>
      </c>
      <c r="D275">
        <v>1348000000</v>
      </c>
      <c r="E275">
        <v>293000000</v>
      </c>
      <c r="F275">
        <v>4.2159976898642794E-2</v>
      </c>
      <c r="G275">
        <v>15</v>
      </c>
      <c r="H275">
        <f>查询7[[#This Row],[capex]]/查询7[[#This Row],[revenue]]</f>
        <v>0.12975262296659928</v>
      </c>
      <c r="I275">
        <f>查询7[[#This Row],[net_profit_margin]]-F278</f>
        <v>3.9486626856871702E-2</v>
      </c>
      <c r="J275">
        <f>查询7[[#This Row],[free_cash_flow]]/E278-1</f>
        <v>-1.3273743016759776</v>
      </c>
      <c r="K275">
        <f>查询7[[#This Row],[free_cash_flow]]/E278-1</f>
        <v>-1.3273743016759776</v>
      </c>
    </row>
    <row r="276" spans="1:11" x14ac:dyDescent="0.25">
      <c r="A276" t="s">
        <v>107</v>
      </c>
      <c r="B276" s="1">
        <v>44104</v>
      </c>
      <c r="C276">
        <v>20792000000</v>
      </c>
      <c r="D276">
        <v>2006000000</v>
      </c>
      <c r="E276">
        <v>918000000</v>
      </c>
      <c r="F276">
        <v>2.1691035013466718E-2</v>
      </c>
      <c r="G276">
        <v>16</v>
      </c>
      <c r="H276">
        <f>查询7[[#This Row],[capex]]/查询7[[#This Row],[revenue]]</f>
        <v>9.6479415159676798E-2</v>
      </c>
      <c r="I276">
        <f>查询7[[#This Row],[net_profit_margin]]-F279</f>
        <v>7.7931584042197674E-2</v>
      </c>
      <c r="J276">
        <f>查询7[[#This Row],[free_cash_flow]]/E279-1</f>
        <v>13.123076923076923</v>
      </c>
      <c r="K276">
        <f>查询7[[#This Row],[free_cash_flow]]/E279-1</f>
        <v>13.123076923076923</v>
      </c>
    </row>
    <row r="277" spans="1:11" x14ac:dyDescent="0.25">
      <c r="A277" t="s">
        <v>107</v>
      </c>
      <c r="B277" s="1">
        <v>44012</v>
      </c>
      <c r="C277">
        <v>12021000000</v>
      </c>
      <c r="D277">
        <v>1001000000</v>
      </c>
      <c r="E277">
        <v>-477000000</v>
      </c>
      <c r="F277">
        <v>9.9825305714998751E-3</v>
      </c>
      <c r="G277">
        <v>17</v>
      </c>
      <c r="H277">
        <f>查询7[[#This Row],[capex]]/查询7[[#This Row],[revenue]]</f>
        <v>8.3270942517261456E-2</v>
      </c>
      <c r="I277">
        <f>查询7[[#This Row],[net_profit_margin]]-F280</f>
        <v>0.11194329868209253</v>
      </c>
      <c r="J277">
        <f>查询7[[#This Row],[free_cash_flow]]/E280-1</f>
        <v>0.56081790784957253</v>
      </c>
      <c r="K277">
        <f>查询7[[#This Row],[free_cash_flow]]/E280-1</f>
        <v>0.56081790784957253</v>
      </c>
    </row>
    <row r="278" spans="1:11" x14ac:dyDescent="0.25">
      <c r="A278" t="s">
        <v>107</v>
      </c>
      <c r="B278" s="1">
        <v>43921</v>
      </c>
      <c r="C278">
        <v>5985000000</v>
      </c>
      <c r="D278">
        <v>455000000</v>
      </c>
      <c r="E278">
        <v>-895000000</v>
      </c>
      <c r="F278">
        <v>2.6733500417710945E-3</v>
      </c>
      <c r="G278">
        <v>18</v>
      </c>
      <c r="H278">
        <f>查询7[[#This Row],[capex]]/查询7[[#This Row],[revenue]]</f>
        <v>7.6023391812865493E-2</v>
      </c>
      <c r="I278">
        <f>查询7[[#This Row],[net_profit_margin]]-F281</f>
        <v>0.15727878124193034</v>
      </c>
      <c r="J278">
        <f>查询7[[#This Row],[free_cash_flow]]/E281-1</f>
        <v>-2.6685139711463801E-2</v>
      </c>
      <c r="K278">
        <f>查询7[[#This Row],[free_cash_flow]]/E281-1</f>
        <v>-2.6685139711463801E-2</v>
      </c>
    </row>
    <row r="279" spans="1:11" x14ac:dyDescent="0.25">
      <c r="A279" t="s">
        <v>107</v>
      </c>
      <c r="B279" s="1">
        <v>43738</v>
      </c>
      <c r="C279">
        <v>17194000000</v>
      </c>
      <c r="D279">
        <v>915000000</v>
      </c>
      <c r="E279">
        <v>65000000</v>
      </c>
      <c r="F279">
        <v>-5.6240549028730956E-2</v>
      </c>
      <c r="G279">
        <v>19</v>
      </c>
      <c r="H279">
        <f>查询7[[#This Row],[capex]]/查询7[[#This Row],[revenue]]</f>
        <v>5.3216238222635805E-2</v>
      </c>
      <c r="I279">
        <f>查询7[[#This Row],[net_profit_margin]]-F282</f>
        <v>2.2125664202443877E-2</v>
      </c>
      <c r="J279">
        <f>查询7[[#This Row],[free_cash_flow]]/E282-1</f>
        <v>-1.0712324863973348</v>
      </c>
      <c r="K279">
        <f>查询7[[#This Row],[free_cash_flow]]/E282-1</f>
        <v>-1.0712324863973348</v>
      </c>
    </row>
    <row r="280" spans="1:11" x14ac:dyDescent="0.25">
      <c r="A280" t="s">
        <v>107</v>
      </c>
      <c r="B280" s="1">
        <v>43646</v>
      </c>
      <c r="C280">
        <v>10891140000</v>
      </c>
      <c r="D280">
        <v>529609000</v>
      </c>
      <c r="E280">
        <v>-305609000</v>
      </c>
      <c r="F280">
        <v>-0.10196076811059265</v>
      </c>
      <c r="G280">
        <v>20</v>
      </c>
      <c r="H280">
        <f>查询7[[#This Row],[capex]]/查询7[[#This Row],[revenue]]</f>
        <v>4.8627508231461537E-2</v>
      </c>
      <c r="I280">
        <f>查询7[[#This Row],[net_profit_margin]]-F283</f>
        <v>9.0603456171695435E-2</v>
      </c>
      <c r="J280">
        <f>查询7[[#This Row],[free_cash_flow]]/E283-1</f>
        <v>-0.829603320853185</v>
      </c>
      <c r="K280">
        <f>查询7[[#This Row],[free_cash_flow]]/E283-1</f>
        <v>-0.829603320853185</v>
      </c>
    </row>
    <row r="281" spans="1:11" x14ac:dyDescent="0.25">
      <c r="A281" t="s">
        <v>107</v>
      </c>
      <c r="B281" s="1">
        <v>43555</v>
      </c>
      <c r="C281">
        <v>4541464000</v>
      </c>
      <c r="D281">
        <v>279932000</v>
      </c>
      <c r="E281">
        <v>-919538000</v>
      </c>
      <c r="F281">
        <v>-0.15460543120015924</v>
      </c>
      <c r="G281">
        <v>21</v>
      </c>
      <c r="H281">
        <f>查询7[[#This Row],[capex]]/查询7[[#This Row],[revenue]]</f>
        <v>6.1639154246295909E-2</v>
      </c>
      <c r="I281">
        <f>查询7[[#This Row],[net_profit_margin]]-F284</f>
        <v>5.3550283312282426E-2</v>
      </c>
      <c r="J281" t="e">
        <f>查询7[[#This Row],[free_cash_flow]]/E284-1</f>
        <v>#DIV/0!</v>
      </c>
      <c r="K281" t="e">
        <f>查询7[[#This Row],[free_cash_flow]]/E284-1</f>
        <v>#DIV/0!</v>
      </c>
    </row>
    <row r="282" spans="1:11" x14ac:dyDescent="0.25">
      <c r="A282" t="s">
        <v>107</v>
      </c>
      <c r="B282" s="1">
        <v>43373</v>
      </c>
      <c r="C282">
        <v>14235395000</v>
      </c>
      <c r="D282">
        <v>1775746000</v>
      </c>
      <c r="E282">
        <v>-912505000</v>
      </c>
      <c r="F282">
        <v>-7.8366213231174833E-2</v>
      </c>
      <c r="G282">
        <v>22</v>
      </c>
      <c r="H282">
        <f>查询7[[#This Row],[capex]]/查询7[[#This Row],[revenue]]</f>
        <v>0.12474160358739607</v>
      </c>
      <c r="I282">
        <f>查询7[[#This Row],[net_profit_margin]]-F285</f>
        <v>7.3460679673165427E-2</v>
      </c>
      <c r="J282" t="e">
        <f>查询7[[#This Row],[free_cash_flow]]/E285-1</f>
        <v>#DIV/0!</v>
      </c>
      <c r="K282" t="e">
        <f>查询7[[#This Row],[free_cash_flow]]/E285-1</f>
        <v>#DIV/0!</v>
      </c>
    </row>
    <row r="283" spans="1:11" x14ac:dyDescent="0.25">
      <c r="A283" t="s">
        <v>107</v>
      </c>
      <c r="B283" s="1">
        <v>43281</v>
      </c>
      <c r="C283">
        <v>7410982000</v>
      </c>
      <c r="D283">
        <v>1265475000</v>
      </c>
      <c r="E283">
        <v>-1793515000</v>
      </c>
      <c r="F283">
        <v>-0.19256422428228809</v>
      </c>
      <c r="G283">
        <v>23</v>
      </c>
      <c r="H283">
        <f>查询7[[#This Row],[capex]]/查询7[[#This Row],[revenue]]</f>
        <v>0.17075672292821653</v>
      </c>
      <c r="I283">
        <f>查询7[[#This Row],[net_profit_margin]]-F286</f>
        <v>-7.1037606691175578E-2</v>
      </c>
      <c r="J283" t="e">
        <f>查询7[[#This Row],[free_cash_flow]]/E286-1</f>
        <v>#DIV/0!</v>
      </c>
      <c r="K283" t="e">
        <f>查询7[[#This Row],[free_cash_flow]]/E286-1</f>
        <v>#DIV/0!</v>
      </c>
    </row>
    <row r="284" spans="1:11" x14ac:dyDescent="0.25">
      <c r="A284" t="s">
        <v>107</v>
      </c>
      <c r="B284" s="1">
        <v>43190</v>
      </c>
      <c r="C284">
        <v>3408751000</v>
      </c>
      <c r="D284">
        <v>655662000</v>
      </c>
      <c r="F284">
        <v>-0.20815571451244166</v>
      </c>
      <c r="G284">
        <v>24</v>
      </c>
      <c r="H284">
        <f>查询7[[#This Row],[capex]]/查询7[[#This Row],[revenue]]</f>
        <v>0.19234669824812667</v>
      </c>
      <c r="I284">
        <f>查询7[[#This Row],[net_profit_margin]]-F287</f>
        <v>-8.5661676452455093E-2</v>
      </c>
      <c r="J284" t="e">
        <f>查询7[[#This Row],[free_cash_flow]]/E287-1</f>
        <v>#DIV/0!</v>
      </c>
      <c r="K284" t="e">
        <f>查询7[[#This Row],[free_cash_flow]]/E287-1</f>
        <v>#DIV/0!</v>
      </c>
    </row>
    <row r="285" spans="1:11" x14ac:dyDescent="0.25">
      <c r="A285" t="s">
        <v>107</v>
      </c>
      <c r="B285" s="1">
        <v>43008</v>
      </c>
      <c r="C285">
        <v>8470502000</v>
      </c>
      <c r="D285">
        <v>2628126000</v>
      </c>
      <c r="F285">
        <v>-0.15182689290434026</v>
      </c>
      <c r="G285">
        <v>25</v>
      </c>
      <c r="H285">
        <f>查询7[[#This Row],[capex]]/查询7[[#This Row],[revenue]]</f>
        <v>0.31026803370095418</v>
      </c>
      <c r="I285">
        <f>查询7[[#This Row],[net_profit_margin]]-F288</f>
        <v>-3.443173171149988E-2</v>
      </c>
      <c r="J285" t="e">
        <f>查询7[[#This Row],[free_cash_flow]]/E288-1</f>
        <v>#DIV/0!</v>
      </c>
      <c r="K285" t="e">
        <f>查询7[[#This Row],[free_cash_flow]]/E288-1</f>
        <v>#DIV/0!</v>
      </c>
    </row>
    <row r="286" spans="1:11" x14ac:dyDescent="0.25">
      <c r="A286" t="s">
        <v>107</v>
      </c>
      <c r="B286" s="1">
        <v>42916</v>
      </c>
      <c r="C286">
        <v>5485827000</v>
      </c>
      <c r="D286">
        <v>1511692000</v>
      </c>
      <c r="F286">
        <v>-0.12152661759111251</v>
      </c>
      <c r="G286">
        <v>26</v>
      </c>
      <c r="H286">
        <f>查询7[[#This Row],[capex]]/查询7[[#This Row],[revenue]]</f>
        <v>0.27556319220420183</v>
      </c>
      <c r="I286">
        <f>查询7[[#This Row],[net_profit_margin]]-F289</f>
        <v>0.11655345059075269</v>
      </c>
      <c r="J286" t="e">
        <f>查询7[[#This Row],[free_cash_flow]]/E289-1</f>
        <v>#DIV/0!</v>
      </c>
      <c r="K286" t="e">
        <f>查询7[[#This Row],[free_cash_flow]]/E289-1</f>
        <v>#DIV/0!</v>
      </c>
    </row>
    <row r="287" spans="1:11" x14ac:dyDescent="0.25">
      <c r="A287" t="s">
        <v>107</v>
      </c>
      <c r="B287" s="1">
        <v>42825</v>
      </c>
      <c r="C287">
        <v>2696270000</v>
      </c>
      <c r="D287">
        <v>552624000</v>
      </c>
      <c r="F287">
        <v>-0.12249403805998657</v>
      </c>
      <c r="G287">
        <v>27</v>
      </c>
      <c r="H287">
        <f>查询7[[#This Row],[capex]]/查询7[[#This Row],[revenue]]</f>
        <v>0.20495870220712317</v>
      </c>
      <c r="I287">
        <f>查询7[[#This Row],[net_profit_margin]]-F290</f>
        <v>0.12358720701432593</v>
      </c>
      <c r="J287" t="e">
        <f>查询7[[#This Row],[free_cash_flow]]/E290-1</f>
        <v>#DIV/0!</v>
      </c>
      <c r="K287" t="e">
        <f>查询7[[#This Row],[free_cash_flow]]/E290-1</f>
        <v>#DIV/0!</v>
      </c>
    </row>
    <row r="288" spans="1:11" x14ac:dyDescent="0.25">
      <c r="A288" t="s">
        <v>107</v>
      </c>
      <c r="B288" s="1">
        <v>42643</v>
      </c>
      <c r="C288">
        <v>4715501000</v>
      </c>
      <c r="D288">
        <v>759190000</v>
      </c>
      <c r="F288">
        <v>-0.11739516119284038</v>
      </c>
      <c r="G288">
        <v>28</v>
      </c>
      <c r="H288">
        <f>查询7[[#This Row],[capex]]/查询7[[#This Row],[revenue]]</f>
        <v>0.16099879949129478</v>
      </c>
      <c r="I288">
        <f>查询7[[#This Row],[net_profit_margin]]-F291</f>
        <v>8.3288893482092397E-2</v>
      </c>
      <c r="J288" t="e">
        <f>查询7[[#This Row],[free_cash_flow]]/E291-1</f>
        <v>#DIV/0!</v>
      </c>
      <c r="K288" t="e">
        <f>查询7[[#This Row],[free_cash_flow]]/E291-1</f>
        <v>#DIV/0!</v>
      </c>
    </row>
    <row r="289" spans="1:11" x14ac:dyDescent="0.25">
      <c r="A289" t="s">
        <v>107</v>
      </c>
      <c r="B289" s="1">
        <v>42551</v>
      </c>
      <c r="C289">
        <v>2417065000</v>
      </c>
      <c r="D289">
        <v>511579000</v>
      </c>
      <c r="F289">
        <v>-0.2380800681818652</v>
      </c>
      <c r="G289">
        <v>29</v>
      </c>
      <c r="H289">
        <f>查询7[[#This Row],[capex]]/查询7[[#This Row],[revenue]]</f>
        <v>0.21165297581984763</v>
      </c>
      <c r="I289">
        <f>查询7[[#This Row],[net_profit_margin]]-F292</f>
        <v>-5.9487077474391914E-2</v>
      </c>
      <c r="J289" t="e">
        <f>查询7[[#This Row],[free_cash_flow]]/E292-1</f>
        <v>#DIV/0!</v>
      </c>
      <c r="K289" t="e">
        <f>查询7[[#This Row],[free_cash_flow]]/E292-1</f>
        <v>#DIV/0!</v>
      </c>
    </row>
    <row r="290" spans="1:11" x14ac:dyDescent="0.25">
      <c r="A290" t="s">
        <v>107</v>
      </c>
      <c r="B290" s="1">
        <v>42460</v>
      </c>
      <c r="C290">
        <v>1147048000</v>
      </c>
      <c r="D290">
        <v>216859000</v>
      </c>
      <c r="F290">
        <v>-0.2460812450743125</v>
      </c>
      <c r="G290">
        <v>30</v>
      </c>
      <c r="H290">
        <f>查询7[[#This Row],[capex]]/查询7[[#This Row],[revenue]]</f>
        <v>0.1890583480377456</v>
      </c>
      <c r="I290">
        <f>查询7[[#This Row],[net_profit_margin]]-F293</f>
        <v>-8.2037962953190657E-2</v>
      </c>
      <c r="J290" t="e">
        <f>查询7[[#This Row],[free_cash_flow]]/E293-1</f>
        <v>#DIV/0!</v>
      </c>
      <c r="K290" t="e">
        <f>查询7[[#This Row],[free_cash_flow]]/E293-1</f>
        <v>#DIV/0!</v>
      </c>
    </row>
    <row r="291" spans="1:11" x14ac:dyDescent="0.25">
      <c r="A291" t="s">
        <v>107</v>
      </c>
      <c r="B291" s="1">
        <v>42277</v>
      </c>
      <c r="C291">
        <v>2831645000</v>
      </c>
      <c r="D291">
        <v>1223628000</v>
      </c>
      <c r="F291">
        <v>-0.20068405467493278</v>
      </c>
      <c r="G291">
        <v>31</v>
      </c>
      <c r="H291">
        <f>查询7[[#This Row],[capex]]/查询7[[#This Row],[revenue]]</f>
        <v>0.43212620226052345</v>
      </c>
      <c r="I291">
        <f>查询7[[#This Row],[net_profit_margin]]-F294</f>
        <v>-0.11752778230068026</v>
      </c>
      <c r="J291" t="e">
        <f>查询7[[#This Row],[free_cash_flow]]/E294-1</f>
        <v>#DIV/0!</v>
      </c>
      <c r="K291" t="e">
        <f>查询7[[#This Row],[free_cash_flow]]/E294-1</f>
        <v>#DIV/0!</v>
      </c>
    </row>
    <row r="292" spans="1:11" x14ac:dyDescent="0.25">
      <c r="A292" t="s">
        <v>107</v>
      </c>
      <c r="B292" s="1">
        <v>42185</v>
      </c>
      <c r="C292">
        <v>1894856000</v>
      </c>
      <c r="D292">
        <v>831225000</v>
      </c>
      <c r="F292">
        <v>-0.17859299070747328</v>
      </c>
      <c r="G292">
        <v>32</v>
      </c>
      <c r="H292">
        <f>查询7[[#This Row],[capex]]/查询7[[#This Row],[revenue]]</f>
        <v>0.43867449558172228</v>
      </c>
      <c r="I292">
        <f>查询7[[#This Row],[net_profit_margin]]-F295</f>
        <v>-9.8225537432360344E-2</v>
      </c>
      <c r="J292" t="e">
        <f>查询7[[#This Row],[free_cash_flow]]/E295-1</f>
        <v>#DIV/0!</v>
      </c>
      <c r="K292" t="e">
        <f>查询7[[#This Row],[free_cash_flow]]/E295-1</f>
        <v>#DIV/0!</v>
      </c>
    </row>
    <row r="293" spans="1:11" x14ac:dyDescent="0.25">
      <c r="A293" t="s">
        <v>107</v>
      </c>
      <c r="B293" s="1">
        <v>42094</v>
      </c>
      <c r="C293">
        <v>939880000</v>
      </c>
      <c r="D293">
        <v>426060000</v>
      </c>
      <c r="F293">
        <v>-0.16404328212112185</v>
      </c>
      <c r="G293">
        <v>33</v>
      </c>
      <c r="H293">
        <f>查询7[[#This Row],[capex]]/查询7[[#This Row],[revenue]]</f>
        <v>0.4533131889177342</v>
      </c>
      <c r="I293">
        <f>查询7[[#This Row],[net_profit_margin]]-F296</f>
        <v>-8.3790857627695128E-2</v>
      </c>
      <c r="J293">
        <f>查询7[[#This Row],[free_cash_flow]]/E296-1</f>
        <v>-1</v>
      </c>
      <c r="K293">
        <f>查询7[[#This Row],[free_cash_flow]]/E296-1</f>
        <v>-1</v>
      </c>
    </row>
    <row r="294" spans="1:11" x14ac:dyDescent="0.25">
      <c r="A294" t="s">
        <v>107</v>
      </c>
      <c r="B294" s="1">
        <v>41912</v>
      </c>
      <c r="C294">
        <v>2241695000</v>
      </c>
      <c r="D294">
        <v>601224000</v>
      </c>
      <c r="F294">
        <v>-8.3156272374252521E-2</v>
      </c>
      <c r="G294">
        <v>34</v>
      </c>
      <c r="H294">
        <f>查询7[[#This Row],[capex]]/查询7[[#This Row],[revenue]]</f>
        <v>0.26820062497351332</v>
      </c>
      <c r="I294">
        <f>查询7[[#This Row],[net_profit_margin]]-F297</f>
        <v>-4.1855442853349294E-2</v>
      </c>
      <c r="J294">
        <f>查询7[[#This Row],[free_cash_flow]]/E297-1</f>
        <v>-1</v>
      </c>
      <c r="K294">
        <f>查询7[[#This Row],[free_cash_flow]]/E297-1</f>
        <v>-1</v>
      </c>
    </row>
    <row r="295" spans="1:11" x14ac:dyDescent="0.25">
      <c r="A295" t="s">
        <v>107</v>
      </c>
      <c r="B295" s="1">
        <v>41820</v>
      </c>
      <c r="C295">
        <v>1389891000</v>
      </c>
      <c r="D295">
        <v>317049000</v>
      </c>
      <c r="F295">
        <v>-8.0367453275112938E-2</v>
      </c>
      <c r="G295">
        <v>35</v>
      </c>
      <c r="H295">
        <f>查询7[[#This Row],[capex]]/查询7[[#This Row],[revenue]]</f>
        <v>0.22811069357237365</v>
      </c>
      <c r="I295">
        <f>查询7[[#This Row],[net_profit_margin]]-F298</f>
        <v>-6.0454967275594879E-2</v>
      </c>
      <c r="J295">
        <f>查询7[[#This Row],[free_cash_flow]]/E298-1</f>
        <v>-1</v>
      </c>
      <c r="K295">
        <f>查询7[[#This Row],[free_cash_flow]]/E298-1</f>
        <v>-1</v>
      </c>
    </row>
    <row r="296" spans="1:11" x14ac:dyDescent="0.25">
      <c r="A296" t="s">
        <v>107</v>
      </c>
      <c r="B296" s="1">
        <v>41729</v>
      </c>
      <c r="C296">
        <v>620542000</v>
      </c>
      <c r="D296">
        <v>141364000</v>
      </c>
      <c r="E296">
        <v>-80724000</v>
      </c>
      <c r="F296">
        <v>-8.0252424493426719E-2</v>
      </c>
      <c r="G296">
        <v>36</v>
      </c>
      <c r="H296">
        <f>查询7[[#This Row],[capex]]/查询7[[#This Row],[revenue]]</f>
        <v>0.22780730393752557</v>
      </c>
      <c r="I296">
        <f>查询7[[#This Row],[net_profit_margin]]-F299</f>
        <v>-0.10027406951507174</v>
      </c>
      <c r="J296">
        <f>查询7[[#This Row],[free_cash_flow]]/E299-1</f>
        <v>-13.708438287153653</v>
      </c>
      <c r="K296">
        <f>查询7[[#This Row],[free_cash_flow]]/E299-1</f>
        <v>-13.708438287153653</v>
      </c>
    </row>
    <row r="297" spans="1:11" x14ac:dyDescent="0.25">
      <c r="A297" t="s">
        <v>107</v>
      </c>
      <c r="B297" s="1">
        <v>41547</v>
      </c>
      <c r="C297">
        <v>1398277000</v>
      </c>
      <c r="D297">
        <v>174790000</v>
      </c>
      <c r="E297">
        <v>-46558000</v>
      </c>
      <c r="F297">
        <v>-4.1300829520903228E-2</v>
      </c>
      <c r="G297">
        <v>37</v>
      </c>
      <c r="H297">
        <f>查询7[[#This Row],[capex]]/查询7[[#This Row],[revenue]]</f>
        <v>0.12500384401660042</v>
      </c>
      <c r="I297">
        <f>查询7[[#This Row],[net_profit_margin]]-F300</f>
        <v>2.8231823547969301</v>
      </c>
      <c r="J297">
        <f>查询7[[#This Row],[free_cash_flow]]/E300-1</f>
        <v>-0.88469035206122371</v>
      </c>
      <c r="K297">
        <f>查询7[[#This Row],[free_cash_flow]]/E300-1</f>
        <v>-0.88469035206122371</v>
      </c>
    </row>
    <row r="298" spans="1:11" x14ac:dyDescent="0.25">
      <c r="A298" t="s">
        <v>107</v>
      </c>
      <c r="B298" s="1">
        <v>41455</v>
      </c>
      <c r="C298">
        <v>966931000</v>
      </c>
      <c r="D298">
        <v>98242000</v>
      </c>
      <c r="E298">
        <v>-72356000</v>
      </c>
      <c r="F298">
        <v>-1.9912485999518063E-2</v>
      </c>
      <c r="G298">
        <v>38</v>
      </c>
      <c r="H298">
        <f>查询7[[#This Row],[capex]]/查询7[[#This Row],[revenue]]</f>
        <v>0.10160187231560473</v>
      </c>
      <c r="I298">
        <f>查询7[[#This Row],[net_profit_margin]]-F301</f>
        <v>3.4203550254401156</v>
      </c>
      <c r="J298">
        <f>查询7[[#This Row],[free_cash_flow]]/E301-1</f>
        <v>-0.69894441647492522</v>
      </c>
      <c r="K298">
        <f>查询7[[#This Row],[free_cash_flow]]/E301-1</f>
        <v>-0.69894441647492522</v>
      </c>
    </row>
    <row r="299" spans="1:11" x14ac:dyDescent="0.25">
      <c r="A299" t="s">
        <v>107</v>
      </c>
      <c r="B299" s="1">
        <v>41364</v>
      </c>
      <c r="C299">
        <v>561792000</v>
      </c>
      <c r="D299">
        <v>57727000</v>
      </c>
      <c r="E299">
        <v>6352000</v>
      </c>
      <c r="F299">
        <v>2.002164502164502E-2</v>
      </c>
      <c r="G299">
        <v>39</v>
      </c>
      <c r="H299">
        <f>查询7[[#This Row],[capex]]/查询7[[#This Row],[revenue]]</f>
        <v>0.10275511221234905</v>
      </c>
      <c r="I299">
        <f>查询7[[#This Row],[net_profit_margin]]-F302</f>
        <v>2.9992041954907003</v>
      </c>
      <c r="J299">
        <f>查询7[[#This Row],[free_cash_flow]]/E302-1</f>
        <v>-1.0537967715161678</v>
      </c>
      <c r="K299">
        <f>查询7[[#This Row],[free_cash_flow]]/E302-1</f>
        <v>-1.0537967715161678</v>
      </c>
    </row>
    <row r="300" spans="1:11" x14ac:dyDescent="0.25">
      <c r="A300" t="s">
        <v>107</v>
      </c>
      <c r="B300" s="1">
        <v>41182</v>
      </c>
      <c r="C300">
        <v>106924000</v>
      </c>
      <c r="D300">
        <v>197745000</v>
      </c>
      <c r="E300">
        <v>-403765000</v>
      </c>
      <c r="F300">
        <v>-2.8644831843178333</v>
      </c>
      <c r="G300">
        <v>40</v>
      </c>
      <c r="H300">
        <f>查询7[[#This Row],[capex]]/查询7[[#This Row],[revenue]]</f>
        <v>1.8493977030414126</v>
      </c>
      <c r="I300">
        <f>查询7[[#This Row],[net_profit_margin]]-F303</f>
        <v>-1.8156256203420225</v>
      </c>
      <c r="J300">
        <f>查询7[[#This Row],[free_cash_flow]]/E303-1</f>
        <v>0.74858169849724998</v>
      </c>
      <c r="K300">
        <f>查询7[[#This Row],[free_cash_flow]]/E303-1</f>
        <v>0.74858169849724998</v>
      </c>
    </row>
    <row r="301" spans="1:11" x14ac:dyDescent="0.25">
      <c r="A301" t="s">
        <v>107</v>
      </c>
      <c r="B301" s="1">
        <v>41090</v>
      </c>
      <c r="C301">
        <v>56820000</v>
      </c>
      <c r="D301">
        <v>129273000</v>
      </c>
      <c r="E301">
        <v>-240341000</v>
      </c>
      <c r="F301">
        <v>-3.4402675114396337</v>
      </c>
      <c r="G301">
        <v>41</v>
      </c>
      <c r="H301">
        <f>查询7[[#This Row],[capex]]/查询7[[#This Row],[revenue]]</f>
        <v>2.2751319957761353</v>
      </c>
      <c r="I301">
        <f>查询7[[#This Row],[net_profit_margin]]-F304</f>
        <v>-2.4342694330634993</v>
      </c>
      <c r="J301">
        <f>查询7[[#This Row],[free_cash_flow]]/E304-1</f>
        <v>0.7096994486928685</v>
      </c>
      <c r="K301">
        <f>查询7[[#This Row],[free_cash_flow]]/E304-1</f>
        <v>0.7096994486928685</v>
      </c>
    </row>
    <row r="302" spans="1:11" x14ac:dyDescent="0.25">
      <c r="A302" t="s">
        <v>107</v>
      </c>
      <c r="B302" s="1">
        <v>40999</v>
      </c>
      <c r="C302">
        <v>30167000</v>
      </c>
      <c r="D302">
        <v>67987000</v>
      </c>
      <c r="E302">
        <v>-118074000</v>
      </c>
      <c r="F302">
        <v>-2.9791825504690554</v>
      </c>
      <c r="G302">
        <v>42</v>
      </c>
      <c r="H302">
        <f>查询7[[#This Row],[capex]]/查询7[[#This Row],[revenue]]</f>
        <v>2.2536878045546458</v>
      </c>
      <c r="I302">
        <f>查询7[[#This Row],[net_profit_margin]]-F305</f>
        <v>-2.9791825504690554</v>
      </c>
      <c r="J302" t="e">
        <f>查询7[[#This Row],[free_cash_flow]]/E305-1</f>
        <v>#DIV/0!</v>
      </c>
      <c r="K302" t="e">
        <f>查询7[[#This Row],[free_cash_flow]]/E305-1</f>
        <v>#DIV/0!</v>
      </c>
    </row>
    <row r="303" spans="1:11" x14ac:dyDescent="0.25">
      <c r="A303" t="s">
        <v>107</v>
      </c>
      <c r="B303" s="1">
        <v>40816</v>
      </c>
      <c r="C303">
        <v>164867000</v>
      </c>
      <c r="D303">
        <v>143634000</v>
      </c>
      <c r="E303">
        <v>-230910000</v>
      </c>
      <c r="F303">
        <v>-1.0488575639758109</v>
      </c>
      <c r="G303">
        <v>43</v>
      </c>
      <c r="H303">
        <f>查询7[[#This Row],[capex]]/查询7[[#This Row],[revenue]]</f>
        <v>0.87121134004985834</v>
      </c>
      <c r="I303">
        <f>查询7[[#This Row],[net_profit_margin]]-F306</f>
        <v>-1.0488575639758109</v>
      </c>
      <c r="J303" t="e">
        <f>查询7[[#This Row],[free_cash_flow]]/E306-1</f>
        <v>#DIV/0!</v>
      </c>
      <c r="K303" t="e">
        <f>查询7[[#This Row],[free_cash_flow]]/E306-1</f>
        <v>#DIV/0!</v>
      </c>
    </row>
    <row r="304" spans="1:11" x14ac:dyDescent="0.25">
      <c r="A304" t="s">
        <v>107</v>
      </c>
      <c r="B304" s="1">
        <v>40724</v>
      </c>
      <c r="C304">
        <v>107201000</v>
      </c>
      <c r="D304">
        <v>74790000</v>
      </c>
      <c r="E304">
        <v>-140575000</v>
      </c>
      <c r="F304">
        <v>-1.0059980783761346</v>
      </c>
      <c r="G304">
        <v>44</v>
      </c>
      <c r="H304">
        <f>查询7[[#This Row],[capex]]/查询7[[#This Row],[revenue]]</f>
        <v>0.69766140241229091</v>
      </c>
      <c r="I304">
        <f>查询7[[#This Row],[net_profit_margin]]-F307</f>
        <v>-1.0059980783761346</v>
      </c>
      <c r="J304" t="e">
        <f>查询7[[#This Row],[free_cash_flow]]/E307-1</f>
        <v>#DIV/0!</v>
      </c>
      <c r="K304" t="e">
        <f>查询7[[#This Row],[free_cash_flow]]/E307-1</f>
        <v>#DIV/0!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9"/>
  <sheetViews>
    <sheetView workbookViewId="0">
      <selection activeCell="A14" sqref="A14:G14"/>
    </sheetView>
  </sheetViews>
  <sheetFormatPr defaultColWidth="9" defaultRowHeight="14.4" x14ac:dyDescent="0.25"/>
  <cols>
    <col min="1" max="1" width="10.44140625" bestFit="1" customWidth="1"/>
    <col min="2" max="2" width="11.6640625" bestFit="1" customWidth="1"/>
    <col min="3" max="3" width="15.109375" bestFit="1" customWidth="1"/>
    <col min="4" max="5" width="17.5546875" bestFit="1" customWidth="1"/>
    <col min="6" max="6" width="8.21875" bestFit="1" customWidth="1"/>
    <col min="11" max="11" width="12.88671875" bestFit="1" customWidth="1"/>
  </cols>
  <sheetData>
    <row r="1" spans="1:15" x14ac:dyDescent="0.25">
      <c r="A1" t="s">
        <v>200</v>
      </c>
      <c r="B1" t="s">
        <v>201</v>
      </c>
      <c r="C1" t="s">
        <v>207</v>
      </c>
      <c r="D1" t="s">
        <v>208</v>
      </c>
      <c r="E1" t="s">
        <v>209</v>
      </c>
      <c r="F1" t="s">
        <v>206</v>
      </c>
      <c r="J1" t="s">
        <v>200</v>
      </c>
      <c r="K1" t="s">
        <v>201</v>
      </c>
      <c r="L1" t="s">
        <v>207</v>
      </c>
      <c r="M1" t="s">
        <v>208</v>
      </c>
      <c r="N1" t="s">
        <v>209</v>
      </c>
      <c r="O1" t="s">
        <v>206</v>
      </c>
    </row>
    <row r="2" spans="1:15" x14ac:dyDescent="0.25">
      <c r="A2" t="s">
        <v>95</v>
      </c>
      <c r="B2" s="1">
        <v>46022</v>
      </c>
      <c r="C2">
        <v>2.84</v>
      </c>
      <c r="D2">
        <v>2.7256999999999998</v>
      </c>
      <c r="E2">
        <v>4.1933999999999996</v>
      </c>
      <c r="F2">
        <v>1</v>
      </c>
      <c r="J2" t="s">
        <v>95</v>
      </c>
      <c r="K2" s="1">
        <v>46022</v>
      </c>
      <c r="L2">
        <v>2.84</v>
      </c>
      <c r="M2">
        <v>2.7256999999999998</v>
      </c>
      <c r="N2">
        <v>4.1933999999999996</v>
      </c>
      <c r="O2">
        <v>1</v>
      </c>
    </row>
    <row r="3" spans="1:15" x14ac:dyDescent="0.25">
      <c r="A3" t="s">
        <v>95</v>
      </c>
      <c r="B3" s="1">
        <v>45930</v>
      </c>
      <c r="C3">
        <v>1.85</v>
      </c>
      <c r="D3">
        <v>1.8075000000000001</v>
      </c>
      <c r="E3">
        <v>2.3513000000000002</v>
      </c>
      <c r="F3">
        <v>2</v>
      </c>
      <c r="J3" t="s">
        <v>95</v>
      </c>
      <c r="K3" s="1">
        <v>45930</v>
      </c>
      <c r="L3">
        <v>1.85</v>
      </c>
      <c r="M3">
        <v>1.8075000000000001</v>
      </c>
      <c r="N3">
        <v>2.3513000000000002</v>
      </c>
      <c r="O3">
        <v>2</v>
      </c>
    </row>
    <row r="4" spans="1:15" x14ac:dyDescent="0.25">
      <c r="A4" t="s">
        <v>95</v>
      </c>
      <c r="B4" s="1">
        <v>45838</v>
      </c>
      <c r="C4">
        <v>1.57</v>
      </c>
      <c r="D4">
        <v>1.4625999999999999</v>
      </c>
      <c r="E4">
        <v>7.3430999999999997</v>
      </c>
      <c r="F4">
        <v>3</v>
      </c>
      <c r="J4" t="s">
        <v>95</v>
      </c>
      <c r="K4" s="1">
        <v>45838</v>
      </c>
      <c r="L4">
        <v>1.57</v>
      </c>
      <c r="M4">
        <v>1.4625999999999999</v>
      </c>
      <c r="N4">
        <v>7.3430999999999997</v>
      </c>
      <c r="O4">
        <v>3</v>
      </c>
    </row>
    <row r="5" spans="1:15" x14ac:dyDescent="0.25">
      <c r="A5" t="s">
        <v>95</v>
      </c>
      <c r="B5" s="1">
        <v>45747</v>
      </c>
      <c r="C5">
        <v>1.65</v>
      </c>
      <c r="D5">
        <v>1.6596</v>
      </c>
      <c r="E5">
        <v>-0.57850000000000001</v>
      </c>
      <c r="F5">
        <v>4</v>
      </c>
      <c r="J5" t="s">
        <v>95</v>
      </c>
      <c r="K5" s="1">
        <v>45747</v>
      </c>
      <c r="L5">
        <v>1.65</v>
      </c>
      <c r="M5">
        <v>1.6596</v>
      </c>
      <c r="N5">
        <v>-0.57850000000000001</v>
      </c>
      <c r="O5">
        <v>4</v>
      </c>
    </row>
    <row r="6" spans="1:15" x14ac:dyDescent="0.25">
      <c r="A6" t="s">
        <v>103</v>
      </c>
      <c r="B6" s="1">
        <v>46022</v>
      </c>
      <c r="C6">
        <v>1.95</v>
      </c>
      <c r="D6">
        <v>2.0110000000000001</v>
      </c>
      <c r="E6">
        <v>-3.0333000000000001</v>
      </c>
      <c r="F6">
        <v>1</v>
      </c>
      <c r="J6" t="s">
        <v>103</v>
      </c>
      <c r="K6" s="1">
        <v>46022</v>
      </c>
      <c r="L6">
        <v>1.95</v>
      </c>
      <c r="M6">
        <v>2.0110000000000001</v>
      </c>
      <c r="N6">
        <v>-3.0333000000000001</v>
      </c>
      <c r="O6">
        <v>1</v>
      </c>
    </row>
    <row r="7" spans="1:15" x14ac:dyDescent="0.25">
      <c r="A7" t="s">
        <v>103</v>
      </c>
      <c r="B7" s="1">
        <v>45930</v>
      </c>
      <c r="C7">
        <v>1.95</v>
      </c>
      <c r="D7">
        <v>1.605</v>
      </c>
      <c r="E7">
        <v>21.4953</v>
      </c>
      <c r="F7">
        <v>2</v>
      </c>
      <c r="J7" t="s">
        <v>103</v>
      </c>
      <c r="K7" s="1">
        <v>45930</v>
      </c>
      <c r="L7">
        <v>1.95</v>
      </c>
      <c r="M7">
        <v>1.605</v>
      </c>
      <c r="N7">
        <v>21.4953</v>
      </c>
      <c r="O7">
        <v>2</v>
      </c>
    </row>
    <row r="8" spans="1:15" x14ac:dyDescent="0.25">
      <c r="A8" t="s">
        <v>103</v>
      </c>
      <c r="B8" s="1">
        <v>45838</v>
      </c>
      <c r="C8">
        <v>1.68</v>
      </c>
      <c r="D8">
        <v>1.3545</v>
      </c>
      <c r="E8">
        <v>24.030999999999999</v>
      </c>
      <c r="F8">
        <v>3</v>
      </c>
      <c r="J8" t="s">
        <v>103</v>
      </c>
      <c r="K8" s="1">
        <v>45838</v>
      </c>
      <c r="L8">
        <v>1.68</v>
      </c>
      <c r="M8">
        <v>1.3545</v>
      </c>
      <c r="N8">
        <v>24.030999999999999</v>
      </c>
      <c r="O8">
        <v>3</v>
      </c>
    </row>
    <row r="9" spans="1:15" x14ac:dyDescent="0.25">
      <c r="A9" t="s">
        <v>103</v>
      </c>
      <c r="B9" s="1">
        <v>45747</v>
      </c>
      <c r="C9">
        <v>1.59</v>
      </c>
      <c r="D9">
        <v>1.3893</v>
      </c>
      <c r="E9">
        <v>14.446099999999999</v>
      </c>
      <c r="F9">
        <v>4</v>
      </c>
      <c r="J9" t="s">
        <v>103</v>
      </c>
      <c r="K9" s="1">
        <v>45747</v>
      </c>
      <c r="L9">
        <v>1.59</v>
      </c>
      <c r="M9">
        <v>1.3893</v>
      </c>
      <c r="N9">
        <v>14.446099999999999</v>
      </c>
      <c r="O9">
        <v>4</v>
      </c>
    </row>
    <row r="10" spans="1:15" x14ac:dyDescent="0.25">
      <c r="A10" t="s">
        <v>101</v>
      </c>
      <c r="B10" s="1">
        <v>46022</v>
      </c>
      <c r="C10">
        <v>2.82</v>
      </c>
      <c r="D10">
        <v>2.7063000000000001</v>
      </c>
      <c r="E10">
        <v>4.2012999999999998</v>
      </c>
      <c r="F10">
        <v>1</v>
      </c>
      <c r="J10" t="s">
        <v>101</v>
      </c>
      <c r="K10" s="1">
        <v>46022</v>
      </c>
      <c r="L10">
        <v>2.82</v>
      </c>
      <c r="M10">
        <v>2.7063000000000001</v>
      </c>
      <c r="N10">
        <v>4.2012999999999998</v>
      </c>
      <c r="O10">
        <v>1</v>
      </c>
    </row>
    <row r="11" spans="1:15" x14ac:dyDescent="0.25">
      <c r="A11" t="s">
        <v>101</v>
      </c>
      <c r="B11" s="1">
        <v>45930</v>
      </c>
      <c r="C11">
        <v>3.1</v>
      </c>
      <c r="D11">
        <v>2.3954</v>
      </c>
      <c r="E11">
        <v>29.4147</v>
      </c>
      <c r="F11">
        <v>2</v>
      </c>
      <c r="J11" t="s">
        <v>101</v>
      </c>
      <c r="K11" s="1">
        <v>45930</v>
      </c>
      <c r="L11">
        <v>3.1</v>
      </c>
      <c r="M11">
        <v>2.3954</v>
      </c>
      <c r="N11">
        <v>29.4147</v>
      </c>
      <c r="O11">
        <v>2</v>
      </c>
    </row>
    <row r="12" spans="1:15" x14ac:dyDescent="0.25">
      <c r="A12" t="s">
        <v>101</v>
      </c>
      <c r="B12" s="1">
        <v>45838</v>
      </c>
      <c r="C12">
        <v>2.31</v>
      </c>
      <c r="D12">
        <v>2.25</v>
      </c>
      <c r="E12">
        <v>2.6667000000000001</v>
      </c>
      <c r="F12">
        <v>3</v>
      </c>
      <c r="J12" t="s">
        <v>101</v>
      </c>
      <c r="K12" s="1">
        <v>45838</v>
      </c>
      <c r="L12">
        <v>2.31</v>
      </c>
      <c r="M12">
        <v>2.25</v>
      </c>
      <c r="N12">
        <v>2.6667000000000001</v>
      </c>
      <c r="O12">
        <v>3</v>
      </c>
    </row>
    <row r="13" spans="1:15" x14ac:dyDescent="0.25">
      <c r="A13" t="s">
        <v>101</v>
      </c>
      <c r="B13" s="1">
        <v>45747</v>
      </c>
      <c r="C13">
        <v>2.27</v>
      </c>
      <c r="D13">
        <v>2.0726</v>
      </c>
      <c r="E13">
        <v>9.5243000000000002</v>
      </c>
      <c r="F13">
        <v>4</v>
      </c>
      <c r="J13" t="s">
        <v>101</v>
      </c>
      <c r="K13" s="1">
        <v>45747</v>
      </c>
      <c r="L13">
        <v>2.27</v>
      </c>
      <c r="M13">
        <v>2.0726</v>
      </c>
      <c r="N13">
        <v>9.5243000000000002</v>
      </c>
      <c r="O13">
        <v>4</v>
      </c>
    </row>
    <row r="14" spans="1:15" x14ac:dyDescent="0.25">
      <c r="A14" t="s">
        <v>105</v>
      </c>
      <c r="B14" s="1">
        <v>46022</v>
      </c>
      <c r="C14">
        <v>8.8800000000000008</v>
      </c>
      <c r="D14">
        <v>8.3992000000000004</v>
      </c>
      <c r="E14">
        <v>5.7244000000000002</v>
      </c>
      <c r="F14">
        <v>1</v>
      </c>
      <c r="J14" t="s">
        <v>105</v>
      </c>
      <c r="K14" s="1">
        <v>46022</v>
      </c>
      <c r="L14">
        <v>8.8800000000000008</v>
      </c>
      <c r="M14">
        <v>8.3992000000000004</v>
      </c>
      <c r="N14">
        <v>5.7244000000000002</v>
      </c>
      <c r="O14">
        <v>1</v>
      </c>
    </row>
    <row r="15" spans="1:15" x14ac:dyDescent="0.25">
      <c r="A15" t="s">
        <v>105</v>
      </c>
      <c r="B15" s="1">
        <v>45930</v>
      </c>
      <c r="C15">
        <v>7.25</v>
      </c>
      <c r="D15">
        <v>6.8244999999999996</v>
      </c>
      <c r="E15">
        <v>6.2348999999999997</v>
      </c>
      <c r="F15">
        <v>2</v>
      </c>
      <c r="J15" t="s">
        <v>105</v>
      </c>
      <c r="K15" s="1">
        <v>45930</v>
      </c>
      <c r="L15">
        <v>7.25</v>
      </c>
      <c r="M15">
        <v>6.8244999999999996</v>
      </c>
      <c r="N15">
        <v>6.2348999999999997</v>
      </c>
      <c r="O15">
        <v>2</v>
      </c>
    </row>
    <row r="16" spans="1:15" x14ac:dyDescent="0.25">
      <c r="A16" t="s">
        <v>105</v>
      </c>
      <c r="B16" s="1">
        <v>45838</v>
      </c>
      <c r="C16">
        <v>7.14</v>
      </c>
      <c r="D16">
        <v>6.0351999999999997</v>
      </c>
      <c r="E16">
        <v>18.305900000000001</v>
      </c>
      <c r="F16">
        <v>3</v>
      </c>
      <c r="J16" t="s">
        <v>105</v>
      </c>
      <c r="K16" s="1">
        <v>45838</v>
      </c>
      <c r="L16">
        <v>7.14</v>
      </c>
      <c r="M16">
        <v>6.0351999999999997</v>
      </c>
      <c r="N16">
        <v>18.305900000000001</v>
      </c>
      <c r="O16">
        <v>3</v>
      </c>
    </row>
    <row r="17" spans="1:15" x14ac:dyDescent="0.25">
      <c r="A17" t="s">
        <v>105</v>
      </c>
      <c r="B17" s="1">
        <v>45747</v>
      </c>
      <c r="C17">
        <v>6.43</v>
      </c>
      <c r="D17">
        <v>5.3859000000000004</v>
      </c>
      <c r="E17">
        <v>19.3858</v>
      </c>
      <c r="F17">
        <v>4</v>
      </c>
      <c r="J17" t="s">
        <v>105</v>
      </c>
      <c r="K17" s="1">
        <v>45747</v>
      </c>
      <c r="L17">
        <v>6.43</v>
      </c>
      <c r="M17">
        <v>5.3859000000000004</v>
      </c>
      <c r="N17">
        <v>19.3858</v>
      </c>
      <c r="O17">
        <v>4</v>
      </c>
    </row>
    <row r="18" spans="1:15" x14ac:dyDescent="0.25">
      <c r="A18" t="s">
        <v>97</v>
      </c>
      <c r="B18" s="1">
        <v>46022</v>
      </c>
      <c r="C18">
        <v>4.1399999999999997</v>
      </c>
      <c r="D18">
        <v>4.0345000000000004</v>
      </c>
      <c r="E18">
        <v>2.6149</v>
      </c>
      <c r="F18">
        <v>1</v>
      </c>
      <c r="J18" t="s">
        <v>97</v>
      </c>
      <c r="K18" s="1">
        <v>46022</v>
      </c>
      <c r="L18">
        <v>4.1399999999999997</v>
      </c>
      <c r="M18">
        <v>4.0345000000000004</v>
      </c>
      <c r="N18">
        <v>2.6149</v>
      </c>
      <c r="O18">
        <v>1</v>
      </c>
    </row>
    <row r="19" spans="1:15" x14ac:dyDescent="0.25">
      <c r="A19" t="s">
        <v>97</v>
      </c>
      <c r="B19" s="1">
        <v>45930</v>
      </c>
      <c r="C19">
        <v>4.13</v>
      </c>
      <c r="D19">
        <v>3.7391000000000001</v>
      </c>
      <c r="E19">
        <v>10.4544</v>
      </c>
      <c r="F19">
        <v>2</v>
      </c>
      <c r="J19" t="s">
        <v>97</v>
      </c>
      <c r="K19" s="1">
        <v>45930</v>
      </c>
      <c r="L19">
        <v>4.13</v>
      </c>
      <c r="M19">
        <v>3.7391000000000001</v>
      </c>
      <c r="N19">
        <v>10.4544</v>
      </c>
      <c r="O19">
        <v>2</v>
      </c>
    </row>
    <row r="20" spans="1:15" x14ac:dyDescent="0.25">
      <c r="A20" t="s">
        <v>97</v>
      </c>
      <c r="B20" s="1">
        <v>45838</v>
      </c>
      <c r="C20">
        <v>3.65</v>
      </c>
      <c r="D20">
        <v>3.4367999999999999</v>
      </c>
      <c r="E20">
        <v>6.2034000000000002</v>
      </c>
      <c r="F20">
        <v>3</v>
      </c>
      <c r="J20" t="s">
        <v>97</v>
      </c>
      <c r="K20" s="1">
        <v>45838</v>
      </c>
      <c r="L20">
        <v>3.65</v>
      </c>
      <c r="M20">
        <v>3.4367999999999999</v>
      </c>
      <c r="N20">
        <v>6.2034000000000002</v>
      </c>
      <c r="O20">
        <v>3</v>
      </c>
    </row>
    <row r="21" spans="1:15" x14ac:dyDescent="0.25">
      <c r="A21" t="s">
        <v>97</v>
      </c>
      <c r="B21" s="1">
        <v>45747</v>
      </c>
      <c r="C21">
        <v>3.46</v>
      </c>
      <c r="D21">
        <v>3.2846000000000002</v>
      </c>
      <c r="E21">
        <v>5.3400999999999996</v>
      </c>
      <c r="F21">
        <v>4</v>
      </c>
      <c r="J21" t="s">
        <v>97</v>
      </c>
      <c r="K21" s="1">
        <v>45747</v>
      </c>
      <c r="L21">
        <v>3.46</v>
      </c>
      <c r="M21">
        <v>3.2846000000000002</v>
      </c>
      <c r="N21">
        <v>5.3400999999999996</v>
      </c>
      <c r="O21">
        <v>4</v>
      </c>
    </row>
    <row r="22" spans="1:15" x14ac:dyDescent="0.25">
      <c r="A22" t="s">
        <v>99</v>
      </c>
      <c r="B22" s="1">
        <v>46022</v>
      </c>
      <c r="C22">
        <v>1.3</v>
      </c>
      <c r="D22">
        <v>1.2746</v>
      </c>
      <c r="E22">
        <v>1.9927999999999999</v>
      </c>
      <c r="F22">
        <v>1</v>
      </c>
      <c r="J22" t="s">
        <v>99</v>
      </c>
      <c r="K22" s="1">
        <v>46022</v>
      </c>
      <c r="L22">
        <v>1.3</v>
      </c>
      <c r="M22">
        <v>1.2746</v>
      </c>
      <c r="N22">
        <v>1.9927999999999999</v>
      </c>
      <c r="O22">
        <v>1</v>
      </c>
    </row>
    <row r="23" spans="1:15" x14ac:dyDescent="0.25">
      <c r="A23" t="s">
        <v>99</v>
      </c>
      <c r="B23" s="1">
        <v>45930</v>
      </c>
      <c r="C23">
        <v>1.05</v>
      </c>
      <c r="D23">
        <v>1.0281</v>
      </c>
      <c r="E23">
        <v>2.1301000000000001</v>
      </c>
      <c r="F23">
        <v>2</v>
      </c>
      <c r="J23" t="s">
        <v>99</v>
      </c>
      <c r="K23" s="1">
        <v>45930</v>
      </c>
      <c r="L23">
        <v>1.05</v>
      </c>
      <c r="M23">
        <v>1.0281</v>
      </c>
      <c r="N23">
        <v>2.1301000000000001</v>
      </c>
      <c r="O23">
        <v>2</v>
      </c>
    </row>
    <row r="24" spans="1:15" x14ac:dyDescent="0.25">
      <c r="A24" t="s">
        <v>99</v>
      </c>
      <c r="B24" s="1">
        <v>45838</v>
      </c>
      <c r="C24">
        <v>0.96</v>
      </c>
      <c r="D24">
        <v>0.95209999999999995</v>
      </c>
      <c r="E24">
        <v>0.82969999999999999</v>
      </c>
      <c r="F24">
        <v>3</v>
      </c>
      <c r="J24" t="s">
        <v>99</v>
      </c>
      <c r="K24" s="1">
        <v>45838</v>
      </c>
      <c r="L24">
        <v>0.96</v>
      </c>
      <c r="M24">
        <v>0.95209999999999995</v>
      </c>
      <c r="N24">
        <v>0.82969999999999999</v>
      </c>
      <c r="O24">
        <v>3</v>
      </c>
    </row>
    <row r="25" spans="1:15" x14ac:dyDescent="0.25">
      <c r="A25" t="s">
        <v>99</v>
      </c>
      <c r="B25" s="1">
        <v>45747</v>
      </c>
      <c r="C25">
        <v>0.89</v>
      </c>
      <c r="D25">
        <v>0.86050000000000004</v>
      </c>
      <c r="E25">
        <v>3.4281999999999999</v>
      </c>
      <c r="F25">
        <v>4</v>
      </c>
      <c r="J25" t="s">
        <v>99</v>
      </c>
      <c r="K25" s="1">
        <v>45747</v>
      </c>
      <c r="L25">
        <v>0.89</v>
      </c>
      <c r="M25">
        <v>0.86050000000000004</v>
      </c>
      <c r="N25">
        <v>3.4281999999999999</v>
      </c>
      <c r="O25">
        <v>4</v>
      </c>
    </row>
    <row r="26" spans="1:15" x14ac:dyDescent="0.25">
      <c r="A26" t="s">
        <v>107</v>
      </c>
      <c r="B26" s="1">
        <v>46022</v>
      </c>
      <c r="C26">
        <v>0.5</v>
      </c>
      <c r="D26">
        <v>0.45590000000000003</v>
      </c>
      <c r="E26">
        <v>9.6731999999999996</v>
      </c>
      <c r="F26">
        <v>1</v>
      </c>
      <c r="J26" t="s">
        <v>107</v>
      </c>
      <c r="K26" s="1">
        <v>46022</v>
      </c>
      <c r="L26">
        <v>0.5</v>
      </c>
      <c r="M26">
        <v>0.45590000000000003</v>
      </c>
      <c r="N26">
        <v>9.6731999999999996</v>
      </c>
      <c r="O26">
        <v>1</v>
      </c>
    </row>
    <row r="27" spans="1:15" x14ac:dyDescent="0.25">
      <c r="A27" t="s">
        <v>107</v>
      </c>
      <c r="B27" s="1">
        <v>45930</v>
      </c>
      <c r="C27">
        <v>0.5</v>
      </c>
      <c r="D27">
        <v>0.55859999999999999</v>
      </c>
      <c r="E27">
        <v>-10.490500000000001</v>
      </c>
      <c r="F27">
        <v>2</v>
      </c>
      <c r="J27" t="s">
        <v>107</v>
      </c>
      <c r="K27" s="1">
        <v>45930</v>
      </c>
      <c r="L27">
        <v>0.5</v>
      </c>
      <c r="M27">
        <v>0.55859999999999999</v>
      </c>
      <c r="N27">
        <v>-10.490500000000001</v>
      </c>
      <c r="O27">
        <v>2</v>
      </c>
    </row>
    <row r="28" spans="1:15" x14ac:dyDescent="0.25">
      <c r="A28" t="s">
        <v>107</v>
      </c>
      <c r="B28" s="1">
        <v>45838</v>
      </c>
      <c r="C28">
        <v>0.4</v>
      </c>
      <c r="D28">
        <v>0.43730000000000002</v>
      </c>
      <c r="E28">
        <v>-8.5296000000000003</v>
      </c>
      <c r="F28">
        <v>3</v>
      </c>
      <c r="J28" t="s">
        <v>107</v>
      </c>
      <c r="K28" s="1">
        <v>45838</v>
      </c>
      <c r="L28">
        <v>0.4</v>
      </c>
      <c r="M28">
        <v>0.43730000000000002</v>
      </c>
      <c r="N28">
        <v>-8.5296000000000003</v>
      </c>
      <c r="O28">
        <v>3</v>
      </c>
    </row>
    <row r="29" spans="1:15" x14ac:dyDescent="0.25">
      <c r="A29" t="s">
        <v>107</v>
      </c>
      <c r="B29" s="1">
        <v>45747</v>
      </c>
      <c r="C29">
        <v>0.27</v>
      </c>
      <c r="D29">
        <v>0.39900000000000002</v>
      </c>
      <c r="E29">
        <v>-32.330800000000004</v>
      </c>
      <c r="F29">
        <v>4</v>
      </c>
      <c r="J29" t="s">
        <v>107</v>
      </c>
      <c r="K29" s="1">
        <v>45747</v>
      </c>
      <c r="L29">
        <v>0.27</v>
      </c>
      <c r="M29">
        <v>0.39900000000000002</v>
      </c>
      <c r="N29">
        <v>-32.330800000000004</v>
      </c>
      <c r="O29">
        <v>4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"/>
  <sheetViews>
    <sheetView workbookViewId="0">
      <selection activeCell="E47" sqref="E47"/>
    </sheetView>
  </sheetViews>
  <sheetFormatPr defaultColWidth="9" defaultRowHeight="14.4" x14ac:dyDescent="0.25"/>
  <cols>
    <col min="1" max="1" width="10.44140625" bestFit="1" customWidth="1"/>
    <col min="2" max="2" width="11.6640625" bestFit="1" customWidth="1"/>
    <col min="3" max="3" width="15.109375" bestFit="1" customWidth="1"/>
    <col min="4" max="5" width="17.5546875" bestFit="1" customWidth="1"/>
  </cols>
  <sheetData>
    <row r="1" spans="1:5" x14ac:dyDescent="0.25">
      <c r="A1" t="s">
        <v>200</v>
      </c>
      <c r="B1" t="s">
        <v>201</v>
      </c>
      <c r="C1" t="s">
        <v>207</v>
      </c>
      <c r="D1" t="s">
        <v>208</v>
      </c>
      <c r="E1" t="s">
        <v>209</v>
      </c>
    </row>
    <row r="2" spans="1:5" x14ac:dyDescent="0.25">
      <c r="A2" t="s">
        <v>107</v>
      </c>
      <c r="B2" t="s">
        <v>210</v>
      </c>
      <c r="C2">
        <v>0.5</v>
      </c>
      <c r="D2">
        <v>0.45590000000000003</v>
      </c>
      <c r="E2">
        <v>9.6731999999999996</v>
      </c>
    </row>
    <row r="3" spans="1:5" x14ac:dyDescent="0.25">
      <c r="A3" t="s">
        <v>107</v>
      </c>
      <c r="B3" t="s">
        <v>211</v>
      </c>
      <c r="C3">
        <v>0.5</v>
      </c>
      <c r="D3">
        <v>0.55859999999999999</v>
      </c>
      <c r="E3">
        <v>-10.490500000000001</v>
      </c>
    </row>
    <row r="4" spans="1:5" x14ac:dyDescent="0.25">
      <c r="A4" t="s">
        <v>107</v>
      </c>
      <c r="B4" t="s">
        <v>212</v>
      </c>
      <c r="C4">
        <v>0.4</v>
      </c>
      <c r="D4">
        <v>0.43730000000000002</v>
      </c>
      <c r="E4">
        <v>-8.5296000000000003</v>
      </c>
    </row>
    <row r="5" spans="1:5" x14ac:dyDescent="0.25">
      <c r="A5" t="s">
        <v>107</v>
      </c>
      <c r="B5" t="s">
        <v>213</v>
      </c>
      <c r="C5">
        <v>0.27</v>
      </c>
      <c r="D5">
        <v>0.39900000000000002</v>
      </c>
      <c r="E5">
        <v>-32.330800000000004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5"/>
  <sheetViews>
    <sheetView workbookViewId="0"/>
  </sheetViews>
  <sheetFormatPr defaultColWidth="9" defaultRowHeight="14.4" x14ac:dyDescent="0.25"/>
  <cols>
    <col min="1" max="1" width="10.44140625" bestFit="1" customWidth="1"/>
    <col min="2" max="2" width="11.6640625" bestFit="1" customWidth="1"/>
    <col min="3" max="3" width="15.109375" bestFit="1" customWidth="1"/>
    <col min="4" max="5" width="17.5546875" bestFit="1" customWidth="1"/>
  </cols>
  <sheetData>
    <row r="1" spans="1:5" x14ac:dyDescent="0.25">
      <c r="A1" t="s">
        <v>200</v>
      </c>
      <c r="B1" t="s">
        <v>201</v>
      </c>
      <c r="C1" t="s">
        <v>207</v>
      </c>
      <c r="D1" t="s">
        <v>208</v>
      </c>
      <c r="E1" t="s">
        <v>209</v>
      </c>
    </row>
    <row r="2" spans="1:5" x14ac:dyDescent="0.25">
      <c r="A2" t="s">
        <v>105</v>
      </c>
      <c r="B2" t="s">
        <v>210</v>
      </c>
      <c r="C2">
        <v>8.8800000000000008</v>
      </c>
      <c r="D2">
        <v>8.3992000000000004</v>
      </c>
      <c r="E2">
        <v>5.7244000000000002</v>
      </c>
    </row>
    <row r="3" spans="1:5" x14ac:dyDescent="0.25">
      <c r="A3" t="s">
        <v>105</v>
      </c>
      <c r="B3" t="s">
        <v>211</v>
      </c>
      <c r="C3">
        <v>7.25</v>
      </c>
      <c r="D3">
        <v>6.8244999999999996</v>
      </c>
      <c r="E3">
        <v>6.2348999999999997</v>
      </c>
    </row>
    <row r="4" spans="1:5" x14ac:dyDescent="0.25">
      <c r="A4" t="s">
        <v>105</v>
      </c>
      <c r="B4" t="s">
        <v>212</v>
      </c>
      <c r="C4">
        <v>7.14</v>
      </c>
      <c r="D4">
        <v>6.0351999999999997</v>
      </c>
      <c r="E4">
        <v>18.305900000000001</v>
      </c>
    </row>
    <row r="5" spans="1:5" x14ac:dyDescent="0.25">
      <c r="A5" t="s">
        <v>105</v>
      </c>
      <c r="B5" t="s">
        <v>213</v>
      </c>
      <c r="C5">
        <v>6.43</v>
      </c>
      <c r="D5">
        <v>5.3859000000000004</v>
      </c>
      <c r="E5">
        <v>19.3858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5"/>
  <sheetViews>
    <sheetView workbookViewId="0"/>
  </sheetViews>
  <sheetFormatPr defaultColWidth="9" defaultRowHeight="14.4" x14ac:dyDescent="0.25"/>
  <cols>
    <col min="1" max="1" width="10.44140625" bestFit="1" customWidth="1"/>
    <col min="2" max="2" width="11.6640625" bestFit="1" customWidth="1"/>
    <col min="3" max="3" width="15.109375" bestFit="1" customWidth="1"/>
    <col min="4" max="5" width="17.5546875" bestFit="1" customWidth="1"/>
  </cols>
  <sheetData>
    <row r="1" spans="1:5" x14ac:dyDescent="0.25">
      <c r="A1" t="s">
        <v>200</v>
      </c>
      <c r="B1" t="s">
        <v>201</v>
      </c>
      <c r="C1" t="s">
        <v>207</v>
      </c>
      <c r="D1" t="s">
        <v>208</v>
      </c>
      <c r="E1" t="s">
        <v>209</v>
      </c>
    </row>
    <row r="2" spans="1:5" x14ac:dyDescent="0.25">
      <c r="A2" t="s">
        <v>103</v>
      </c>
      <c r="B2" t="s">
        <v>210</v>
      </c>
      <c r="C2">
        <v>1.95</v>
      </c>
      <c r="D2">
        <v>2.0110000000000001</v>
      </c>
      <c r="E2">
        <v>-3.0333000000000001</v>
      </c>
    </row>
    <row r="3" spans="1:5" x14ac:dyDescent="0.25">
      <c r="A3" t="s">
        <v>103</v>
      </c>
      <c r="B3" t="s">
        <v>211</v>
      </c>
      <c r="C3">
        <v>1.95</v>
      </c>
      <c r="D3">
        <v>1.605</v>
      </c>
      <c r="E3">
        <v>21.4953</v>
      </c>
    </row>
    <row r="4" spans="1:5" x14ac:dyDescent="0.25">
      <c r="A4" t="s">
        <v>103</v>
      </c>
      <c r="B4" t="s">
        <v>212</v>
      </c>
      <c r="C4">
        <v>1.68</v>
      </c>
      <c r="D4">
        <v>1.3545</v>
      </c>
      <c r="E4">
        <v>24.030999999999999</v>
      </c>
    </row>
    <row r="5" spans="1:5" x14ac:dyDescent="0.25">
      <c r="A5" t="s">
        <v>103</v>
      </c>
      <c r="B5" t="s">
        <v>213</v>
      </c>
      <c r="C5">
        <v>1.59</v>
      </c>
      <c r="D5">
        <v>1.3893</v>
      </c>
      <c r="E5">
        <v>14.446099999999999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5"/>
  <sheetViews>
    <sheetView workbookViewId="0"/>
  </sheetViews>
  <sheetFormatPr defaultColWidth="9" defaultRowHeight="14.4" x14ac:dyDescent="0.25"/>
  <cols>
    <col min="1" max="1" width="10.44140625" bestFit="1" customWidth="1"/>
    <col min="2" max="2" width="11.6640625" bestFit="1" customWidth="1"/>
    <col min="3" max="3" width="15.109375" bestFit="1" customWidth="1"/>
    <col min="4" max="5" width="17.5546875" bestFit="1" customWidth="1"/>
  </cols>
  <sheetData>
    <row r="1" spans="1:5" x14ac:dyDescent="0.25">
      <c r="A1" t="s">
        <v>200</v>
      </c>
      <c r="B1" t="s">
        <v>201</v>
      </c>
      <c r="C1" t="s">
        <v>207</v>
      </c>
      <c r="D1" t="s">
        <v>208</v>
      </c>
      <c r="E1" t="s">
        <v>209</v>
      </c>
    </row>
    <row r="2" spans="1:5" x14ac:dyDescent="0.25">
      <c r="A2" t="s">
        <v>101</v>
      </c>
      <c r="B2" t="s">
        <v>210</v>
      </c>
      <c r="C2">
        <v>2.82</v>
      </c>
      <c r="D2">
        <v>2.7063000000000001</v>
      </c>
      <c r="E2">
        <v>4.2012999999999998</v>
      </c>
    </row>
    <row r="3" spans="1:5" x14ac:dyDescent="0.25">
      <c r="A3" t="s">
        <v>101</v>
      </c>
      <c r="B3" t="s">
        <v>211</v>
      </c>
      <c r="C3">
        <v>3.1</v>
      </c>
      <c r="D3">
        <v>2.3954</v>
      </c>
      <c r="E3">
        <v>29.4147</v>
      </c>
    </row>
    <row r="4" spans="1:5" x14ac:dyDescent="0.25">
      <c r="A4" t="s">
        <v>101</v>
      </c>
      <c r="B4" t="s">
        <v>212</v>
      </c>
      <c r="C4">
        <v>2.31</v>
      </c>
      <c r="D4">
        <v>2.25</v>
      </c>
      <c r="E4">
        <v>2.6667000000000001</v>
      </c>
    </row>
    <row r="5" spans="1:5" x14ac:dyDescent="0.25">
      <c r="A5" t="s">
        <v>101</v>
      </c>
      <c r="B5" t="s">
        <v>213</v>
      </c>
      <c r="C5">
        <v>2.27</v>
      </c>
      <c r="D5">
        <v>2.0726</v>
      </c>
      <c r="E5">
        <v>9.5243000000000002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5"/>
  <sheetViews>
    <sheetView workbookViewId="0"/>
  </sheetViews>
  <sheetFormatPr defaultColWidth="9" defaultRowHeight="14.4" x14ac:dyDescent="0.25"/>
  <cols>
    <col min="1" max="1" width="10.44140625" bestFit="1" customWidth="1"/>
    <col min="2" max="2" width="11.6640625" bestFit="1" customWidth="1"/>
    <col min="3" max="3" width="15.109375" bestFit="1" customWidth="1"/>
    <col min="4" max="5" width="17.5546875" bestFit="1" customWidth="1"/>
  </cols>
  <sheetData>
    <row r="1" spans="1:5" x14ac:dyDescent="0.25">
      <c r="A1" t="s">
        <v>200</v>
      </c>
      <c r="B1" t="s">
        <v>201</v>
      </c>
      <c r="C1" t="s">
        <v>207</v>
      </c>
      <c r="D1" t="s">
        <v>208</v>
      </c>
      <c r="E1" t="s">
        <v>209</v>
      </c>
    </row>
    <row r="2" spans="1:5" x14ac:dyDescent="0.25">
      <c r="A2" t="s">
        <v>97</v>
      </c>
      <c r="B2" t="s">
        <v>210</v>
      </c>
      <c r="C2">
        <v>4.1399999999999997</v>
      </c>
      <c r="D2">
        <v>4.0345000000000004</v>
      </c>
      <c r="E2">
        <v>2.6149</v>
      </c>
    </row>
    <row r="3" spans="1:5" x14ac:dyDescent="0.25">
      <c r="A3" t="s">
        <v>97</v>
      </c>
      <c r="B3" t="s">
        <v>211</v>
      </c>
      <c r="C3">
        <v>4.13</v>
      </c>
      <c r="D3">
        <v>3.7391000000000001</v>
      </c>
      <c r="E3">
        <v>10.4544</v>
      </c>
    </row>
    <row r="4" spans="1:5" x14ac:dyDescent="0.25">
      <c r="A4" t="s">
        <v>97</v>
      </c>
      <c r="B4" t="s">
        <v>212</v>
      </c>
      <c r="C4">
        <v>3.65</v>
      </c>
      <c r="D4">
        <v>3.4367999999999999</v>
      </c>
      <c r="E4">
        <v>6.2034000000000002</v>
      </c>
    </row>
    <row r="5" spans="1:5" x14ac:dyDescent="0.25">
      <c r="A5" t="s">
        <v>97</v>
      </c>
      <c r="B5" t="s">
        <v>213</v>
      </c>
      <c r="C5">
        <v>3.46</v>
      </c>
      <c r="D5">
        <v>3.2846000000000002</v>
      </c>
      <c r="E5">
        <v>5.3400999999999996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5"/>
  <sheetViews>
    <sheetView workbookViewId="0">
      <selection activeCell="E48" sqref="E48"/>
    </sheetView>
  </sheetViews>
  <sheetFormatPr defaultColWidth="9" defaultRowHeight="14.4" x14ac:dyDescent="0.25"/>
  <cols>
    <col min="1" max="1" width="10.44140625" bestFit="1" customWidth="1"/>
    <col min="2" max="2" width="11.6640625" bestFit="1" customWidth="1"/>
    <col min="3" max="3" width="15.109375" bestFit="1" customWidth="1"/>
    <col min="4" max="5" width="17.5546875" bestFit="1" customWidth="1"/>
  </cols>
  <sheetData>
    <row r="1" spans="1:5" x14ac:dyDescent="0.25">
      <c r="A1" t="s">
        <v>200</v>
      </c>
      <c r="B1" t="s">
        <v>201</v>
      </c>
      <c r="C1" t="s">
        <v>207</v>
      </c>
      <c r="D1" t="s">
        <v>208</v>
      </c>
      <c r="E1" t="s">
        <v>209</v>
      </c>
    </row>
    <row r="2" spans="1:5" x14ac:dyDescent="0.25">
      <c r="A2" t="s">
        <v>95</v>
      </c>
      <c r="B2" t="s">
        <v>210</v>
      </c>
      <c r="C2">
        <v>2.84</v>
      </c>
      <c r="D2">
        <v>2.7256999999999998</v>
      </c>
      <c r="E2">
        <v>4.1933999999999996</v>
      </c>
    </row>
    <row r="3" spans="1:5" x14ac:dyDescent="0.25">
      <c r="A3" t="s">
        <v>95</v>
      </c>
      <c r="B3" t="s">
        <v>211</v>
      </c>
      <c r="C3">
        <v>1.85</v>
      </c>
      <c r="D3">
        <v>1.8075000000000001</v>
      </c>
      <c r="E3">
        <v>2.3513000000000002</v>
      </c>
    </row>
    <row r="4" spans="1:5" x14ac:dyDescent="0.25">
      <c r="A4" t="s">
        <v>95</v>
      </c>
      <c r="B4" t="s">
        <v>212</v>
      </c>
      <c r="C4">
        <v>1.57</v>
      </c>
      <c r="D4">
        <v>1.4625999999999999</v>
      </c>
      <c r="E4">
        <v>7.3430999999999997</v>
      </c>
    </row>
    <row r="5" spans="1:5" x14ac:dyDescent="0.25">
      <c r="A5" t="s">
        <v>95</v>
      </c>
      <c r="B5" t="s">
        <v>213</v>
      </c>
      <c r="C5">
        <v>1.65</v>
      </c>
      <c r="D5">
        <v>1.6596</v>
      </c>
      <c r="E5">
        <v>-0.57850000000000001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45"/>
  <sheetViews>
    <sheetView workbookViewId="0"/>
  </sheetViews>
  <sheetFormatPr defaultColWidth="9" defaultRowHeight="14.4" x14ac:dyDescent="0.25"/>
  <cols>
    <col min="1" max="1" width="10.44140625" bestFit="1" customWidth="1"/>
    <col min="2" max="2" width="21.5546875" bestFit="1" customWidth="1"/>
    <col min="3" max="3" width="12.77734375" bestFit="1" customWidth="1"/>
    <col min="4" max="4" width="11.6640625" bestFit="1" customWidth="1"/>
    <col min="5" max="5" width="20" bestFit="1" customWidth="1"/>
    <col min="6" max="6" width="23.6640625" bestFit="1" customWidth="1"/>
  </cols>
  <sheetData>
    <row r="1" spans="1:6" x14ac:dyDescent="0.25">
      <c r="A1" t="s">
        <v>200</v>
      </c>
      <c r="B1" t="s">
        <v>201</v>
      </c>
      <c r="C1" t="s">
        <v>202</v>
      </c>
      <c r="D1" t="s">
        <v>203</v>
      </c>
      <c r="E1" t="s">
        <v>204</v>
      </c>
      <c r="F1" t="s">
        <v>205</v>
      </c>
    </row>
    <row r="2" spans="1:6" x14ac:dyDescent="0.25">
      <c r="A2" t="s">
        <v>107</v>
      </c>
      <c r="B2" t="s">
        <v>214</v>
      </c>
      <c r="C2">
        <v>69926000000</v>
      </c>
      <c r="D2">
        <v>6134000000</v>
      </c>
      <c r="E2">
        <v>4800000000</v>
      </c>
      <c r="F2">
        <v>4.22446586391328E-2</v>
      </c>
    </row>
    <row r="3" spans="1:6" x14ac:dyDescent="0.25">
      <c r="A3" t="s">
        <v>107</v>
      </c>
      <c r="B3" t="s">
        <v>215</v>
      </c>
      <c r="C3">
        <v>41831000000</v>
      </c>
      <c r="D3">
        <v>3886000000</v>
      </c>
      <c r="E3">
        <v>810000000</v>
      </c>
      <c r="F3">
        <v>3.779493676938156E-2</v>
      </c>
    </row>
    <row r="4" spans="1:6" x14ac:dyDescent="0.25">
      <c r="A4" t="s">
        <v>107</v>
      </c>
      <c r="B4" t="s">
        <v>216</v>
      </c>
      <c r="C4">
        <v>19335000000</v>
      </c>
      <c r="D4">
        <v>1492000000</v>
      </c>
      <c r="E4">
        <v>664000000</v>
      </c>
      <c r="F4">
        <v>2.1153348849237134E-2</v>
      </c>
    </row>
    <row r="5" spans="1:6" x14ac:dyDescent="0.25">
      <c r="A5" t="s">
        <v>107</v>
      </c>
      <c r="B5" t="s">
        <v>217</v>
      </c>
      <c r="C5">
        <v>71983000000</v>
      </c>
      <c r="D5">
        <v>8556000000</v>
      </c>
      <c r="E5">
        <v>1553000000</v>
      </c>
      <c r="F5">
        <v>6.632121473125599E-2</v>
      </c>
    </row>
    <row r="6" spans="1:6" x14ac:dyDescent="0.25">
      <c r="A6" t="s">
        <v>107</v>
      </c>
      <c r="B6" t="s">
        <v>218</v>
      </c>
      <c r="C6">
        <v>46801000000</v>
      </c>
      <c r="D6">
        <v>5043000000</v>
      </c>
      <c r="E6">
        <v>-1189000000</v>
      </c>
      <c r="F6">
        <v>5.5703937950043803E-2</v>
      </c>
    </row>
    <row r="7" spans="1:6" x14ac:dyDescent="0.25">
      <c r="A7" t="s">
        <v>107</v>
      </c>
      <c r="B7" t="s">
        <v>219</v>
      </c>
      <c r="C7">
        <v>21301000000</v>
      </c>
      <c r="D7">
        <v>2773000000</v>
      </c>
      <c r="E7">
        <v>-2531000000</v>
      </c>
      <c r="F7">
        <v>5.3002206469179851E-2</v>
      </c>
    </row>
    <row r="8" spans="1:6" x14ac:dyDescent="0.25">
      <c r="A8" t="s">
        <v>107</v>
      </c>
      <c r="B8" t="s">
        <v>220</v>
      </c>
      <c r="C8">
        <v>71606000000</v>
      </c>
      <c r="D8">
        <v>6592000000</v>
      </c>
      <c r="E8">
        <v>2294000000</v>
      </c>
      <c r="F8">
        <v>9.872077758847024E-2</v>
      </c>
    </row>
    <row r="9" spans="1:6" x14ac:dyDescent="0.25">
      <c r="A9" t="s">
        <v>107</v>
      </c>
      <c r="B9" t="s">
        <v>221</v>
      </c>
      <c r="C9">
        <v>48256000000</v>
      </c>
      <c r="D9">
        <v>4132000000</v>
      </c>
      <c r="E9">
        <v>1446000000</v>
      </c>
      <c r="F9">
        <v>0.10809018567639257</v>
      </c>
    </row>
    <row r="10" spans="1:6" x14ac:dyDescent="0.25">
      <c r="A10" t="s">
        <v>107</v>
      </c>
      <c r="B10" t="s">
        <v>222</v>
      </c>
      <c r="C10">
        <v>23329000000</v>
      </c>
      <c r="D10">
        <v>2072000000</v>
      </c>
      <c r="E10">
        <v>441000000</v>
      </c>
      <c r="F10">
        <v>0.10772000514381243</v>
      </c>
    </row>
    <row r="11" spans="1:6" x14ac:dyDescent="0.25">
      <c r="A11" t="s">
        <v>107</v>
      </c>
      <c r="B11" t="s">
        <v>223</v>
      </c>
      <c r="C11">
        <v>57144000000</v>
      </c>
      <c r="D11">
        <v>5300000000</v>
      </c>
      <c r="E11">
        <v>6146000000</v>
      </c>
      <c r="F11">
        <v>0.15520439591208177</v>
      </c>
    </row>
    <row r="12" spans="1:6" x14ac:dyDescent="0.25">
      <c r="A12" t="s">
        <v>107</v>
      </c>
      <c r="B12" t="s">
        <v>224</v>
      </c>
      <c r="C12">
        <v>35690000000</v>
      </c>
      <c r="D12">
        <v>3497000000</v>
      </c>
      <c r="E12">
        <v>2849000000</v>
      </c>
      <c r="F12">
        <v>0.15626225833566826</v>
      </c>
    </row>
    <row r="13" spans="1:6" x14ac:dyDescent="0.25">
      <c r="A13" t="s">
        <v>107</v>
      </c>
      <c r="B13" t="s">
        <v>225</v>
      </c>
      <c r="C13">
        <v>18756000000</v>
      </c>
      <c r="D13">
        <v>1767000000</v>
      </c>
      <c r="E13">
        <v>2228000000</v>
      </c>
      <c r="F13">
        <v>0.17690339091490723</v>
      </c>
    </row>
    <row r="14" spans="1:6" x14ac:dyDescent="0.25">
      <c r="A14" t="s">
        <v>107</v>
      </c>
      <c r="B14" t="s">
        <v>226</v>
      </c>
      <c r="C14">
        <v>36104000000</v>
      </c>
      <c r="D14">
        <v>4672000000</v>
      </c>
      <c r="E14">
        <v>2240000000</v>
      </c>
      <c r="F14">
        <v>8.8577442942610232E-2</v>
      </c>
    </row>
    <row r="15" spans="1:6" x14ac:dyDescent="0.25">
      <c r="A15" t="s">
        <v>107</v>
      </c>
      <c r="B15" t="s">
        <v>227</v>
      </c>
      <c r="C15">
        <v>22347000000</v>
      </c>
      <c r="D15">
        <v>2853000000</v>
      </c>
      <c r="E15">
        <v>912000000</v>
      </c>
      <c r="F15">
        <v>7.0703002640175414E-2</v>
      </c>
    </row>
    <row r="16" spans="1:6" x14ac:dyDescent="0.25">
      <c r="A16" t="s">
        <v>107</v>
      </c>
      <c r="B16" t="s">
        <v>228</v>
      </c>
      <c r="C16">
        <v>10389000000</v>
      </c>
      <c r="D16">
        <v>1348000000</v>
      </c>
      <c r="E16">
        <v>293000000</v>
      </c>
      <c r="F16">
        <v>4.2159976898642794E-2</v>
      </c>
    </row>
    <row r="17" spans="1:6" x14ac:dyDescent="0.25">
      <c r="A17" t="s">
        <v>107</v>
      </c>
      <c r="B17" t="s">
        <v>229</v>
      </c>
      <c r="C17">
        <v>20792000000</v>
      </c>
      <c r="D17">
        <v>2006000000</v>
      </c>
      <c r="E17">
        <v>918000000</v>
      </c>
      <c r="F17">
        <v>2.1691035013466718E-2</v>
      </c>
    </row>
    <row r="18" spans="1:6" x14ac:dyDescent="0.25">
      <c r="A18" t="s">
        <v>107</v>
      </c>
      <c r="B18" t="s">
        <v>230</v>
      </c>
      <c r="C18">
        <v>12021000000</v>
      </c>
      <c r="D18">
        <v>1001000000</v>
      </c>
      <c r="E18">
        <v>-477000000</v>
      </c>
      <c r="F18">
        <v>9.9825305714998751E-3</v>
      </c>
    </row>
    <row r="19" spans="1:6" x14ac:dyDescent="0.25">
      <c r="A19" t="s">
        <v>107</v>
      </c>
      <c r="B19" t="s">
        <v>231</v>
      </c>
      <c r="C19">
        <v>5985000000</v>
      </c>
      <c r="D19">
        <v>455000000</v>
      </c>
      <c r="E19">
        <v>-895000000</v>
      </c>
      <c r="F19">
        <v>2.6733500417710945E-3</v>
      </c>
    </row>
    <row r="20" spans="1:6" x14ac:dyDescent="0.25">
      <c r="A20" t="s">
        <v>107</v>
      </c>
      <c r="B20" t="s">
        <v>232</v>
      </c>
      <c r="C20">
        <v>17194000000</v>
      </c>
      <c r="D20">
        <v>915000000</v>
      </c>
      <c r="E20">
        <v>65000000</v>
      </c>
      <c r="F20">
        <v>-5.6240549028730956E-2</v>
      </c>
    </row>
    <row r="21" spans="1:6" x14ac:dyDescent="0.25">
      <c r="A21" t="s">
        <v>107</v>
      </c>
      <c r="B21" t="s">
        <v>233</v>
      </c>
      <c r="C21">
        <v>10891140000</v>
      </c>
      <c r="D21">
        <v>529609000</v>
      </c>
      <c r="E21">
        <v>-305609000</v>
      </c>
      <c r="F21">
        <v>-0.10196076811059265</v>
      </c>
    </row>
    <row r="22" spans="1:6" x14ac:dyDescent="0.25">
      <c r="A22" t="s">
        <v>107</v>
      </c>
      <c r="B22" t="s">
        <v>234</v>
      </c>
      <c r="C22">
        <v>4541464000</v>
      </c>
      <c r="D22">
        <v>279932000</v>
      </c>
      <c r="E22">
        <v>-919538000</v>
      </c>
      <c r="F22">
        <v>-0.15460543120015924</v>
      </c>
    </row>
    <row r="23" spans="1:6" x14ac:dyDescent="0.25">
      <c r="A23" t="s">
        <v>107</v>
      </c>
      <c r="B23" t="s">
        <v>235</v>
      </c>
      <c r="C23">
        <v>14235395000</v>
      </c>
      <c r="D23">
        <v>1775746000</v>
      </c>
      <c r="E23">
        <v>-912505000</v>
      </c>
      <c r="F23">
        <v>-7.8366213231174833E-2</v>
      </c>
    </row>
    <row r="24" spans="1:6" x14ac:dyDescent="0.25">
      <c r="A24" t="s">
        <v>107</v>
      </c>
      <c r="B24" t="s">
        <v>236</v>
      </c>
      <c r="C24">
        <v>7410982000</v>
      </c>
      <c r="D24">
        <v>1265475000</v>
      </c>
      <c r="E24">
        <v>-1793515000</v>
      </c>
      <c r="F24">
        <v>-0.19256422428228809</v>
      </c>
    </row>
    <row r="25" spans="1:6" x14ac:dyDescent="0.25">
      <c r="A25" t="s">
        <v>107</v>
      </c>
      <c r="B25" t="s">
        <v>237</v>
      </c>
      <c r="C25">
        <v>3408751000</v>
      </c>
      <c r="D25">
        <v>655662000</v>
      </c>
      <c r="F25">
        <v>-0.20815571451244166</v>
      </c>
    </row>
    <row r="26" spans="1:6" x14ac:dyDescent="0.25">
      <c r="A26" t="s">
        <v>107</v>
      </c>
      <c r="B26" t="s">
        <v>238</v>
      </c>
      <c r="C26">
        <v>8470502000</v>
      </c>
      <c r="D26">
        <v>2628126000</v>
      </c>
      <c r="F26">
        <v>-0.15182689290434026</v>
      </c>
    </row>
    <row r="27" spans="1:6" x14ac:dyDescent="0.25">
      <c r="A27" t="s">
        <v>107</v>
      </c>
      <c r="B27" t="s">
        <v>239</v>
      </c>
      <c r="C27">
        <v>5485827000</v>
      </c>
      <c r="D27">
        <v>1511692000</v>
      </c>
      <c r="F27">
        <v>-0.12152661759111251</v>
      </c>
    </row>
    <row r="28" spans="1:6" x14ac:dyDescent="0.25">
      <c r="A28" t="s">
        <v>107</v>
      </c>
      <c r="B28" t="s">
        <v>240</v>
      </c>
      <c r="C28">
        <v>2696270000</v>
      </c>
      <c r="D28">
        <v>552624000</v>
      </c>
      <c r="F28">
        <v>-0.12249403805998657</v>
      </c>
    </row>
    <row r="29" spans="1:6" x14ac:dyDescent="0.25">
      <c r="A29" t="s">
        <v>107</v>
      </c>
      <c r="B29" t="s">
        <v>241</v>
      </c>
      <c r="C29">
        <v>4715501000</v>
      </c>
      <c r="D29">
        <v>759190000</v>
      </c>
      <c r="F29">
        <v>-0.11739516119284038</v>
      </c>
    </row>
    <row r="30" spans="1:6" x14ac:dyDescent="0.25">
      <c r="A30" t="s">
        <v>107</v>
      </c>
      <c r="B30" t="s">
        <v>242</v>
      </c>
      <c r="C30">
        <v>2417065000</v>
      </c>
      <c r="D30">
        <v>511579000</v>
      </c>
      <c r="F30">
        <v>-0.2380800681818652</v>
      </c>
    </row>
    <row r="31" spans="1:6" x14ac:dyDescent="0.25">
      <c r="A31" t="s">
        <v>107</v>
      </c>
      <c r="B31" t="s">
        <v>243</v>
      </c>
      <c r="C31">
        <v>1147048000</v>
      </c>
      <c r="D31">
        <v>216859000</v>
      </c>
      <c r="F31">
        <v>-0.2460812450743125</v>
      </c>
    </row>
    <row r="32" spans="1:6" x14ac:dyDescent="0.25">
      <c r="A32" t="s">
        <v>107</v>
      </c>
      <c r="B32" t="s">
        <v>244</v>
      </c>
      <c r="C32">
        <v>2831645000</v>
      </c>
      <c r="D32">
        <v>1223628000</v>
      </c>
      <c r="F32">
        <v>-0.20068405467493278</v>
      </c>
    </row>
    <row r="33" spans="1:6" x14ac:dyDescent="0.25">
      <c r="A33" t="s">
        <v>107</v>
      </c>
      <c r="B33" t="s">
        <v>245</v>
      </c>
      <c r="C33">
        <v>1894856000</v>
      </c>
      <c r="D33">
        <v>831225000</v>
      </c>
      <c r="F33">
        <v>-0.17859299070747328</v>
      </c>
    </row>
    <row r="34" spans="1:6" x14ac:dyDescent="0.25">
      <c r="A34" t="s">
        <v>107</v>
      </c>
      <c r="B34" t="s">
        <v>246</v>
      </c>
      <c r="C34">
        <v>939880000</v>
      </c>
      <c r="D34">
        <v>426060000</v>
      </c>
      <c r="F34">
        <v>-0.16404328212112185</v>
      </c>
    </row>
    <row r="35" spans="1:6" x14ac:dyDescent="0.25">
      <c r="A35" t="s">
        <v>107</v>
      </c>
      <c r="B35" t="s">
        <v>247</v>
      </c>
      <c r="C35">
        <v>2241695000</v>
      </c>
      <c r="D35">
        <v>601224000</v>
      </c>
      <c r="F35">
        <v>-8.3156272374252521E-2</v>
      </c>
    </row>
    <row r="36" spans="1:6" x14ac:dyDescent="0.25">
      <c r="A36" t="s">
        <v>107</v>
      </c>
      <c r="B36" t="s">
        <v>248</v>
      </c>
      <c r="C36">
        <v>1389891000</v>
      </c>
      <c r="D36">
        <v>317049000</v>
      </c>
      <c r="F36">
        <v>-8.0367453275112938E-2</v>
      </c>
    </row>
    <row r="37" spans="1:6" x14ac:dyDescent="0.25">
      <c r="A37" t="s">
        <v>107</v>
      </c>
      <c r="B37" t="s">
        <v>249</v>
      </c>
      <c r="C37">
        <v>620542000</v>
      </c>
      <c r="D37">
        <v>141364000</v>
      </c>
      <c r="E37">
        <v>-80724000</v>
      </c>
      <c r="F37">
        <v>-8.0252424493426719E-2</v>
      </c>
    </row>
    <row r="38" spans="1:6" x14ac:dyDescent="0.25">
      <c r="A38" t="s">
        <v>107</v>
      </c>
      <c r="B38" t="s">
        <v>250</v>
      </c>
      <c r="C38">
        <v>1398277000</v>
      </c>
      <c r="D38">
        <v>174790000</v>
      </c>
      <c r="E38">
        <v>-46558000</v>
      </c>
      <c r="F38">
        <v>-4.1300829520903228E-2</v>
      </c>
    </row>
    <row r="39" spans="1:6" x14ac:dyDescent="0.25">
      <c r="A39" t="s">
        <v>107</v>
      </c>
      <c r="B39" t="s">
        <v>251</v>
      </c>
      <c r="C39">
        <v>966931000</v>
      </c>
      <c r="D39">
        <v>98242000</v>
      </c>
      <c r="E39">
        <v>-72356000</v>
      </c>
      <c r="F39">
        <v>-1.9912485999518063E-2</v>
      </c>
    </row>
    <row r="40" spans="1:6" x14ac:dyDescent="0.25">
      <c r="A40" t="s">
        <v>107</v>
      </c>
      <c r="B40" t="s">
        <v>252</v>
      </c>
      <c r="C40">
        <v>561792000</v>
      </c>
      <c r="D40">
        <v>57727000</v>
      </c>
      <c r="E40">
        <v>6352000</v>
      </c>
      <c r="F40">
        <v>2.002164502164502E-2</v>
      </c>
    </row>
    <row r="41" spans="1:6" x14ac:dyDescent="0.25">
      <c r="A41" t="s">
        <v>107</v>
      </c>
      <c r="B41" t="s">
        <v>253</v>
      </c>
      <c r="C41">
        <v>106924000</v>
      </c>
      <c r="D41">
        <v>197745000</v>
      </c>
      <c r="E41">
        <v>-403765000</v>
      </c>
      <c r="F41">
        <v>-2.8644831843178333</v>
      </c>
    </row>
    <row r="42" spans="1:6" x14ac:dyDescent="0.25">
      <c r="A42" t="s">
        <v>107</v>
      </c>
      <c r="B42" t="s">
        <v>254</v>
      </c>
      <c r="C42">
        <v>56820000</v>
      </c>
      <c r="D42">
        <v>129273000</v>
      </c>
      <c r="E42">
        <v>-240341000</v>
      </c>
      <c r="F42">
        <v>-3.4402675114396337</v>
      </c>
    </row>
    <row r="43" spans="1:6" x14ac:dyDescent="0.25">
      <c r="A43" t="s">
        <v>107</v>
      </c>
      <c r="B43" t="s">
        <v>255</v>
      </c>
      <c r="C43">
        <v>30167000</v>
      </c>
      <c r="D43">
        <v>67987000</v>
      </c>
      <c r="E43">
        <v>-118074000</v>
      </c>
      <c r="F43">
        <v>-2.9791825504690554</v>
      </c>
    </row>
    <row r="44" spans="1:6" x14ac:dyDescent="0.25">
      <c r="A44" t="s">
        <v>107</v>
      </c>
      <c r="B44" t="s">
        <v>256</v>
      </c>
      <c r="C44">
        <v>164867000</v>
      </c>
      <c r="D44">
        <v>143634000</v>
      </c>
      <c r="E44">
        <v>-230910000</v>
      </c>
      <c r="F44">
        <v>-1.0488575639758109</v>
      </c>
    </row>
    <row r="45" spans="1:6" x14ac:dyDescent="0.25">
      <c r="A45" t="s">
        <v>107</v>
      </c>
      <c r="B45" t="s">
        <v>257</v>
      </c>
      <c r="C45">
        <v>107201000</v>
      </c>
      <c r="D45">
        <v>74790000</v>
      </c>
      <c r="E45">
        <v>-140575000</v>
      </c>
      <c r="F45">
        <v>-1.0059980783761346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42"/>
  <sheetViews>
    <sheetView workbookViewId="0"/>
  </sheetViews>
  <sheetFormatPr defaultColWidth="9" defaultRowHeight="14.4" x14ac:dyDescent="0.25"/>
  <cols>
    <col min="1" max="1" width="10.44140625" bestFit="1" customWidth="1"/>
    <col min="2" max="2" width="21.5546875" bestFit="1" customWidth="1"/>
    <col min="3" max="4" width="12.77734375" bestFit="1" customWidth="1"/>
    <col min="5" max="5" width="20" bestFit="1" customWidth="1"/>
    <col min="6" max="6" width="23.6640625" bestFit="1" customWidth="1"/>
  </cols>
  <sheetData>
    <row r="1" spans="1:6" x14ac:dyDescent="0.25">
      <c r="A1" t="s">
        <v>200</v>
      </c>
      <c r="B1" t="s">
        <v>201</v>
      </c>
      <c r="C1" t="s">
        <v>202</v>
      </c>
      <c r="D1" t="s">
        <v>203</v>
      </c>
      <c r="E1" t="s">
        <v>204</v>
      </c>
      <c r="F1" t="s">
        <v>205</v>
      </c>
    </row>
    <row r="2" spans="1:6" x14ac:dyDescent="0.25">
      <c r="A2" t="s">
        <v>105</v>
      </c>
      <c r="B2" t="s">
        <v>214</v>
      </c>
      <c r="C2">
        <v>141073000000</v>
      </c>
      <c r="D2">
        <v>48308000000</v>
      </c>
      <c r="E2">
        <v>31278000000</v>
      </c>
      <c r="F2">
        <v>0.2671666442196593</v>
      </c>
    </row>
    <row r="3" spans="1:6" x14ac:dyDescent="0.25">
      <c r="A3" t="s">
        <v>105</v>
      </c>
      <c r="B3" t="s">
        <v>215</v>
      </c>
      <c r="C3">
        <v>89830000000</v>
      </c>
      <c r="D3">
        <v>29479000000</v>
      </c>
      <c r="E3">
        <v>20108000000</v>
      </c>
      <c r="F3">
        <v>0.38941333630190361</v>
      </c>
    </row>
    <row r="4" spans="1:6" x14ac:dyDescent="0.25">
      <c r="A4" t="s">
        <v>105</v>
      </c>
      <c r="B4" t="s">
        <v>216</v>
      </c>
      <c r="C4">
        <v>42314000000</v>
      </c>
      <c r="D4">
        <v>12941000000</v>
      </c>
      <c r="E4">
        <v>11085000000</v>
      </c>
      <c r="F4">
        <v>0.39334499220116276</v>
      </c>
    </row>
    <row r="5" spans="1:6" x14ac:dyDescent="0.25">
      <c r="A5" t="s">
        <v>105</v>
      </c>
      <c r="B5" t="s">
        <v>217</v>
      </c>
      <c r="C5">
        <v>116116000000</v>
      </c>
      <c r="D5">
        <v>22831000000</v>
      </c>
      <c r="E5">
        <v>40509000000</v>
      </c>
      <c r="F5">
        <v>0.35759068517689208</v>
      </c>
    </row>
    <row r="6" spans="1:6" x14ac:dyDescent="0.25">
      <c r="A6" t="s">
        <v>105</v>
      </c>
      <c r="B6" t="s">
        <v>218</v>
      </c>
      <c r="C6">
        <v>75527000000</v>
      </c>
      <c r="D6">
        <v>14573000000</v>
      </c>
      <c r="E6">
        <v>24043000000</v>
      </c>
      <c r="F6">
        <v>0.3420498629629139</v>
      </c>
    </row>
    <row r="7" spans="1:6" x14ac:dyDescent="0.25">
      <c r="A7" t="s">
        <v>105</v>
      </c>
      <c r="B7" t="s">
        <v>219</v>
      </c>
      <c r="C7">
        <v>36455000000</v>
      </c>
      <c r="D7">
        <v>6400000000</v>
      </c>
      <c r="E7">
        <v>12846000000</v>
      </c>
      <c r="F7">
        <v>0.33929502125908656</v>
      </c>
    </row>
    <row r="8" spans="1:6" x14ac:dyDescent="0.25">
      <c r="A8" t="s">
        <v>105</v>
      </c>
      <c r="B8" t="s">
        <v>220</v>
      </c>
      <c r="C8">
        <v>94791000000</v>
      </c>
      <c r="D8">
        <v>19601000000</v>
      </c>
      <c r="E8">
        <v>32108000000</v>
      </c>
      <c r="F8">
        <v>0.26459263010201389</v>
      </c>
    </row>
    <row r="9" spans="1:6" x14ac:dyDescent="0.25">
      <c r="A9" t="s">
        <v>105</v>
      </c>
      <c r="B9" t="s">
        <v>221</v>
      </c>
      <c r="C9">
        <v>60645000000</v>
      </c>
      <c r="D9">
        <v>13058000000</v>
      </c>
      <c r="E9">
        <v>18249000000</v>
      </c>
      <c r="F9">
        <v>0.22257399620743673</v>
      </c>
    </row>
    <row r="10" spans="1:6" x14ac:dyDescent="0.25">
      <c r="A10" t="s">
        <v>105</v>
      </c>
      <c r="B10" t="s">
        <v>222</v>
      </c>
      <c r="C10">
        <v>28645000000</v>
      </c>
      <c r="D10">
        <v>6842000000</v>
      </c>
      <c r="E10">
        <v>7156000000</v>
      </c>
      <c r="F10">
        <v>0.19930179787048349</v>
      </c>
    </row>
    <row r="11" spans="1:6" x14ac:dyDescent="0.25">
      <c r="A11" t="s">
        <v>105</v>
      </c>
      <c r="B11" t="s">
        <v>223</v>
      </c>
      <c r="C11">
        <v>84444000000</v>
      </c>
      <c r="D11">
        <v>22388000000</v>
      </c>
      <c r="E11">
        <v>13576000000</v>
      </c>
      <c r="F11">
        <v>0.21963668229832789</v>
      </c>
    </row>
    <row r="12" spans="1:6" x14ac:dyDescent="0.25">
      <c r="A12" t="s">
        <v>105</v>
      </c>
      <c r="B12" t="s">
        <v>224</v>
      </c>
      <c r="C12">
        <v>56729000000</v>
      </c>
      <c r="D12">
        <v>13013000000</v>
      </c>
      <c r="E12">
        <v>13259000000</v>
      </c>
      <c r="F12">
        <v>0.24946676303125387</v>
      </c>
    </row>
    <row r="13" spans="1:6" x14ac:dyDescent="0.25">
      <c r="A13" t="s">
        <v>105</v>
      </c>
      <c r="B13" t="s">
        <v>225</v>
      </c>
      <c r="C13">
        <v>27908000000</v>
      </c>
      <c r="D13">
        <v>5441000000</v>
      </c>
      <c r="E13">
        <v>8635000000</v>
      </c>
      <c r="F13">
        <v>0.26748602551239786</v>
      </c>
    </row>
    <row r="14" spans="1:6" x14ac:dyDescent="0.25">
      <c r="A14" t="s">
        <v>105</v>
      </c>
      <c r="B14" t="s">
        <v>226</v>
      </c>
      <c r="C14">
        <v>84258000000</v>
      </c>
      <c r="D14">
        <v>13198000000</v>
      </c>
      <c r="E14">
        <v>26381000000</v>
      </c>
      <c r="F14">
        <v>0.34518977426475822</v>
      </c>
    </row>
    <row r="15" spans="1:6" x14ac:dyDescent="0.25">
      <c r="A15" t="s">
        <v>105</v>
      </c>
      <c r="B15" t="s">
        <v>227</v>
      </c>
      <c r="C15">
        <v>55248000000</v>
      </c>
      <c r="D15">
        <v>8884000000</v>
      </c>
      <c r="E15">
        <v>16605000000</v>
      </c>
      <c r="F15">
        <v>0.36004923255140459</v>
      </c>
    </row>
    <row r="16" spans="1:6" x14ac:dyDescent="0.25">
      <c r="A16" t="s">
        <v>105</v>
      </c>
      <c r="B16" t="s">
        <v>228</v>
      </c>
      <c r="C16">
        <v>26171000000</v>
      </c>
      <c r="D16">
        <v>4272000000</v>
      </c>
      <c r="E16">
        <v>7970000000</v>
      </c>
      <c r="F16">
        <v>0.36288257995491191</v>
      </c>
    </row>
    <row r="17" spans="1:6" x14ac:dyDescent="0.25">
      <c r="A17" t="s">
        <v>105</v>
      </c>
      <c r="B17" t="s">
        <v>229</v>
      </c>
      <c r="C17">
        <v>57893000000</v>
      </c>
      <c r="D17">
        <v>10502000000</v>
      </c>
      <c r="E17">
        <v>14205000000</v>
      </c>
      <c r="F17">
        <v>0.30965747154232809</v>
      </c>
    </row>
    <row r="18" spans="1:6" x14ac:dyDescent="0.25">
      <c r="A18" t="s">
        <v>105</v>
      </c>
      <c r="B18" t="s">
        <v>230</v>
      </c>
      <c r="C18">
        <v>36423000000</v>
      </c>
      <c r="D18">
        <v>6813000000</v>
      </c>
      <c r="E18">
        <v>8065000000</v>
      </c>
      <c r="F18">
        <v>0.27677566372896245</v>
      </c>
    </row>
    <row r="19" spans="1:6" x14ac:dyDescent="0.25">
      <c r="A19" t="s">
        <v>105</v>
      </c>
      <c r="B19" t="s">
        <v>231</v>
      </c>
      <c r="C19">
        <v>17737000000</v>
      </c>
      <c r="D19">
        <v>3558000000</v>
      </c>
      <c r="E19">
        <v>7443000000</v>
      </c>
      <c r="F19">
        <v>0.27637142696059086</v>
      </c>
    </row>
    <row r="20" spans="1:6" x14ac:dyDescent="0.25">
      <c r="A20" t="s">
        <v>105</v>
      </c>
      <c r="B20" t="s">
        <v>232</v>
      </c>
      <c r="C20">
        <v>49615000000</v>
      </c>
      <c r="D20">
        <v>11002000000</v>
      </c>
      <c r="E20">
        <v>16229000000</v>
      </c>
      <c r="F20">
        <v>0.22444825153683362</v>
      </c>
    </row>
    <row r="21" spans="1:6" x14ac:dyDescent="0.25">
      <c r="A21" t="s">
        <v>105</v>
      </c>
      <c r="B21" t="s">
        <v>233</v>
      </c>
      <c r="C21">
        <v>31963000000</v>
      </c>
      <c r="D21">
        <v>7470000000</v>
      </c>
      <c r="E21">
        <v>10454000000</v>
      </c>
      <c r="F21">
        <v>0.15783875105590839</v>
      </c>
    </row>
    <row r="22" spans="1:6" x14ac:dyDescent="0.25">
      <c r="A22" t="s">
        <v>105</v>
      </c>
      <c r="B22" t="s">
        <v>234</v>
      </c>
      <c r="C22">
        <v>15077000000</v>
      </c>
      <c r="D22">
        <v>3837000000</v>
      </c>
      <c r="E22">
        <v>5471000000</v>
      </c>
      <c r="F22">
        <v>0.16110632088611793</v>
      </c>
    </row>
    <row r="23" spans="1:6" x14ac:dyDescent="0.25">
      <c r="A23" t="s">
        <v>105</v>
      </c>
      <c r="B23" t="s">
        <v>235</v>
      </c>
      <c r="C23">
        <v>38924000000</v>
      </c>
      <c r="D23">
        <v>9614000000</v>
      </c>
      <c r="E23">
        <v>12042000000</v>
      </c>
      <c r="F23">
        <v>0.39127530572397495</v>
      </c>
    </row>
    <row r="24" spans="1:6" x14ac:dyDescent="0.25">
      <c r="A24" t="s">
        <v>105</v>
      </c>
      <c r="B24" t="s">
        <v>236</v>
      </c>
      <c r="C24">
        <v>25197000000</v>
      </c>
      <c r="D24">
        <v>6272000000</v>
      </c>
      <c r="E24">
        <v>7886000000</v>
      </c>
      <c r="F24">
        <v>0.40056355915386754</v>
      </c>
    </row>
    <row r="25" spans="1:6" x14ac:dyDescent="0.25">
      <c r="A25" t="s">
        <v>105</v>
      </c>
      <c r="B25" t="s">
        <v>237</v>
      </c>
      <c r="C25">
        <v>11966000000</v>
      </c>
      <c r="D25">
        <v>2812000000</v>
      </c>
      <c r="E25">
        <v>5048000000</v>
      </c>
      <c r="F25">
        <v>0.41684773524987462</v>
      </c>
    </row>
    <row r="26" spans="1:6" x14ac:dyDescent="0.25">
      <c r="A26" t="s">
        <v>105</v>
      </c>
      <c r="B26" t="s">
        <v>238</v>
      </c>
      <c r="C26">
        <v>27681000000</v>
      </c>
      <c r="D26">
        <v>4470000000</v>
      </c>
      <c r="E26">
        <v>12075000000</v>
      </c>
      <c r="F26">
        <v>0.42140818612044362</v>
      </c>
    </row>
    <row r="27" spans="1:6" x14ac:dyDescent="0.25">
      <c r="A27" t="s">
        <v>105</v>
      </c>
      <c r="B27" t="s">
        <v>239</v>
      </c>
      <c r="C27">
        <v>17353000000</v>
      </c>
      <c r="D27">
        <v>2715000000</v>
      </c>
      <c r="E27">
        <v>7703000000</v>
      </c>
      <c r="F27">
        <v>0.40102575923471445</v>
      </c>
    </row>
    <row r="28" spans="1:6" x14ac:dyDescent="0.25">
      <c r="A28" t="s">
        <v>105</v>
      </c>
      <c r="B28" t="s">
        <v>240</v>
      </c>
      <c r="C28">
        <v>8032000000</v>
      </c>
      <c r="D28">
        <v>1271000000</v>
      </c>
      <c r="E28">
        <v>3787000000</v>
      </c>
      <c r="F28">
        <v>0.38147410358565736</v>
      </c>
    </row>
    <row r="29" spans="1:6" x14ac:dyDescent="0.25">
      <c r="A29" t="s">
        <v>105</v>
      </c>
      <c r="B29" t="s">
        <v>241</v>
      </c>
      <c r="C29">
        <v>18829000000</v>
      </c>
      <c r="D29">
        <v>3222000000</v>
      </c>
      <c r="E29">
        <v>6536000000</v>
      </c>
      <c r="F29">
        <v>0.3156832545541452</v>
      </c>
    </row>
    <row r="30" spans="1:6" x14ac:dyDescent="0.25">
      <c r="A30" t="s">
        <v>105</v>
      </c>
      <c r="B30" t="s">
        <v>242</v>
      </c>
      <c r="C30">
        <v>11818000000</v>
      </c>
      <c r="D30">
        <v>2127000000</v>
      </c>
      <c r="E30">
        <v>4054000000</v>
      </c>
      <c r="F30">
        <v>0.30165848705364701</v>
      </c>
    </row>
    <row r="31" spans="1:6" x14ac:dyDescent="0.25">
      <c r="A31" t="s">
        <v>105</v>
      </c>
      <c r="B31" t="s">
        <v>243</v>
      </c>
      <c r="C31">
        <v>5382000000</v>
      </c>
      <c r="D31">
        <v>1132000000</v>
      </c>
      <c r="E31">
        <v>1851000000</v>
      </c>
      <c r="F31">
        <v>0.28056484578223706</v>
      </c>
    </row>
    <row r="32" spans="1:6" x14ac:dyDescent="0.25">
      <c r="A32" t="s">
        <v>105</v>
      </c>
      <c r="B32" t="s">
        <v>244</v>
      </c>
      <c r="C32">
        <v>12087000000</v>
      </c>
      <c r="D32">
        <v>1831000000</v>
      </c>
      <c r="E32">
        <v>3941000000</v>
      </c>
      <c r="F32">
        <v>0.17597418714321172</v>
      </c>
    </row>
    <row r="33" spans="1:6" x14ac:dyDescent="0.25">
      <c r="A33" t="s">
        <v>105</v>
      </c>
      <c r="B33" t="s">
        <v>245</v>
      </c>
      <c r="C33">
        <v>7586000000</v>
      </c>
      <c r="D33">
        <v>1051000000</v>
      </c>
      <c r="E33">
        <v>2529000000</v>
      </c>
      <c r="F33">
        <v>0.16227260743474822</v>
      </c>
    </row>
    <row r="34" spans="1:6" x14ac:dyDescent="0.25">
      <c r="A34" t="s">
        <v>105</v>
      </c>
      <c r="B34" t="s">
        <v>246</v>
      </c>
      <c r="C34">
        <v>3543000000</v>
      </c>
      <c r="D34">
        <v>502000000</v>
      </c>
      <c r="E34">
        <v>1198000000</v>
      </c>
      <c r="F34">
        <v>0.14451030200395146</v>
      </c>
    </row>
    <row r="35" spans="1:6" x14ac:dyDescent="0.25">
      <c r="A35" t="s">
        <v>105</v>
      </c>
      <c r="B35" t="s">
        <v>247</v>
      </c>
      <c r="C35">
        <v>8615000000</v>
      </c>
      <c r="D35">
        <v>1314000000</v>
      </c>
      <c r="E35">
        <v>2560000000</v>
      </c>
      <c r="F35">
        <v>0.25989553105049334</v>
      </c>
    </row>
    <row r="36" spans="1:6" x14ac:dyDescent="0.25">
      <c r="A36" t="s">
        <v>105</v>
      </c>
      <c r="B36" t="s">
        <v>248</v>
      </c>
      <c r="C36">
        <v>5412000000</v>
      </c>
      <c r="D36">
        <v>832000000</v>
      </c>
      <c r="E36">
        <v>1794000000</v>
      </c>
      <c r="F36">
        <v>0.26478196600147819</v>
      </c>
    </row>
    <row r="37" spans="1:6" x14ac:dyDescent="0.25">
      <c r="A37" t="s">
        <v>105</v>
      </c>
      <c r="B37" t="s">
        <v>249</v>
      </c>
      <c r="C37">
        <v>2502000000</v>
      </c>
      <c r="D37">
        <v>363000000</v>
      </c>
      <c r="E37">
        <v>922000000</v>
      </c>
      <c r="F37">
        <v>0.25659472422062352</v>
      </c>
    </row>
    <row r="38" spans="1:6" x14ac:dyDescent="0.25">
      <c r="A38" t="s">
        <v>105</v>
      </c>
      <c r="B38" t="s">
        <v>250</v>
      </c>
      <c r="C38">
        <v>5286000000</v>
      </c>
      <c r="D38">
        <v>879000000</v>
      </c>
      <c r="E38">
        <v>2112000000</v>
      </c>
      <c r="F38">
        <v>0.18482784714339764</v>
      </c>
    </row>
    <row r="39" spans="1:6" x14ac:dyDescent="0.25">
      <c r="A39" t="s">
        <v>105</v>
      </c>
      <c r="B39" t="s">
        <v>251</v>
      </c>
      <c r="C39">
        <v>3271000000</v>
      </c>
      <c r="D39">
        <v>595000000</v>
      </c>
      <c r="E39">
        <v>1446000000</v>
      </c>
      <c r="F39">
        <v>0.16875573219199022</v>
      </c>
    </row>
    <row r="40" spans="1:6" x14ac:dyDescent="0.25">
      <c r="A40" t="s">
        <v>105</v>
      </c>
      <c r="B40" t="s">
        <v>252</v>
      </c>
      <c r="C40">
        <v>1458000000</v>
      </c>
      <c r="D40">
        <v>327000000</v>
      </c>
      <c r="E40">
        <v>392000000</v>
      </c>
      <c r="F40">
        <v>0.15020576131687244</v>
      </c>
    </row>
    <row r="41" spans="1:6" x14ac:dyDescent="0.25">
      <c r="A41" t="s">
        <v>105</v>
      </c>
      <c r="B41" t="s">
        <v>253</v>
      </c>
      <c r="C41">
        <v>3504000000</v>
      </c>
      <c r="D41">
        <v>1037000000</v>
      </c>
      <c r="E41">
        <v>-106000000</v>
      </c>
      <c r="F41">
        <v>-3.1392694063926939E-3</v>
      </c>
    </row>
    <row r="42" spans="1:6" x14ac:dyDescent="0.25">
      <c r="A42" t="s">
        <v>105</v>
      </c>
      <c r="B42" t="s">
        <v>254</v>
      </c>
      <c r="C42">
        <v>2242000000</v>
      </c>
      <c r="D42">
        <v>866000000</v>
      </c>
      <c r="E42">
        <v>-183000000</v>
      </c>
      <c r="F42">
        <v>2.1409455842997322E-2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48"/>
  <sheetViews>
    <sheetView workbookViewId="0"/>
  </sheetViews>
  <sheetFormatPr defaultColWidth="9" defaultRowHeight="14.4" x14ac:dyDescent="0.25"/>
  <cols>
    <col min="1" max="1" width="10.44140625" bestFit="1" customWidth="1"/>
    <col min="2" max="2" width="21.5546875" bestFit="1" customWidth="1"/>
    <col min="3" max="4" width="12.77734375" bestFit="1" customWidth="1"/>
    <col min="5" max="5" width="20" bestFit="1" customWidth="1"/>
    <col min="6" max="6" width="23.6640625" bestFit="1" customWidth="1"/>
  </cols>
  <sheetData>
    <row r="1" spans="1:6" x14ac:dyDescent="0.25">
      <c r="A1" t="s">
        <v>200</v>
      </c>
      <c r="B1" t="s">
        <v>201</v>
      </c>
      <c r="C1" t="s">
        <v>202</v>
      </c>
      <c r="D1" t="s">
        <v>203</v>
      </c>
      <c r="E1" t="s">
        <v>204</v>
      </c>
      <c r="F1" t="s">
        <v>205</v>
      </c>
    </row>
    <row r="2" spans="1:6" x14ac:dyDescent="0.25">
      <c r="A2" t="s">
        <v>103</v>
      </c>
      <c r="B2" t="s">
        <v>214</v>
      </c>
      <c r="C2">
        <v>503538000000</v>
      </c>
      <c r="D2">
        <v>92297000000</v>
      </c>
      <c r="E2">
        <v>-7242000000</v>
      </c>
      <c r="F2">
        <v>0.11216233928720375</v>
      </c>
    </row>
    <row r="3" spans="1:6" x14ac:dyDescent="0.25">
      <c r="A3" t="s">
        <v>103</v>
      </c>
      <c r="B3" t="s">
        <v>215</v>
      </c>
      <c r="C3">
        <v>323369000000</v>
      </c>
      <c r="D3">
        <v>57202000000</v>
      </c>
      <c r="E3">
        <v>-7672000000</v>
      </c>
      <c r="F3">
        <v>0.10913538403495697</v>
      </c>
    </row>
    <row r="4" spans="1:6" x14ac:dyDescent="0.25">
      <c r="A4" t="s">
        <v>103</v>
      </c>
      <c r="B4" t="s">
        <v>216</v>
      </c>
      <c r="C4">
        <v>155667000000</v>
      </c>
      <c r="D4">
        <v>25019000000</v>
      </c>
      <c r="E4">
        <v>-8004000000</v>
      </c>
      <c r="F4">
        <v>0.1100233190078822</v>
      </c>
    </row>
    <row r="5" spans="1:6" x14ac:dyDescent="0.25">
      <c r="A5" t="s">
        <v>103</v>
      </c>
      <c r="B5" t="s">
        <v>218</v>
      </c>
      <c r="C5">
        <v>291290000000</v>
      </c>
      <c r="D5">
        <v>32545000000</v>
      </c>
      <c r="E5">
        <v>11725000000</v>
      </c>
      <c r="F5">
        <v>8.2103745408355938E-2</v>
      </c>
    </row>
    <row r="6" spans="1:6" x14ac:dyDescent="0.25">
      <c r="A6" t="s">
        <v>103</v>
      </c>
      <c r="B6" t="s">
        <v>219</v>
      </c>
      <c r="C6">
        <v>143313000000</v>
      </c>
      <c r="D6">
        <v>14925000000</v>
      </c>
      <c r="E6">
        <v>4064000000</v>
      </c>
      <c r="F6">
        <v>7.2784743882271671E-2</v>
      </c>
    </row>
    <row r="7" spans="1:6" x14ac:dyDescent="0.25">
      <c r="A7" t="s">
        <v>103</v>
      </c>
      <c r="B7" t="s">
        <v>220</v>
      </c>
      <c r="C7">
        <v>404824000000</v>
      </c>
      <c r="D7">
        <v>38141000000</v>
      </c>
      <c r="E7">
        <v>4340000000</v>
      </c>
      <c r="F7">
        <v>4.891261387664763E-2</v>
      </c>
    </row>
    <row r="8" spans="1:6" x14ac:dyDescent="0.25">
      <c r="A8" t="s">
        <v>103</v>
      </c>
      <c r="B8" t="s">
        <v>221</v>
      </c>
      <c r="C8">
        <v>261741000000</v>
      </c>
      <c r="D8">
        <v>25662000000</v>
      </c>
      <c r="E8">
        <v>-4398000000</v>
      </c>
      <c r="F8">
        <v>3.7907702652622249E-2</v>
      </c>
    </row>
    <row r="9" spans="1:6" x14ac:dyDescent="0.25">
      <c r="A9" t="s">
        <v>103</v>
      </c>
      <c r="B9" t="s">
        <v>222</v>
      </c>
      <c r="C9">
        <v>127358000000</v>
      </c>
      <c r="D9">
        <v>14207000000</v>
      </c>
      <c r="E9">
        <v>-9419000000</v>
      </c>
      <c r="F9">
        <v>2.4906170008951147E-2</v>
      </c>
    </row>
    <row r="10" spans="1:6" x14ac:dyDescent="0.25">
      <c r="A10" t="s">
        <v>103</v>
      </c>
      <c r="B10" t="s">
        <v>223</v>
      </c>
      <c r="C10">
        <v>364779000000</v>
      </c>
      <c r="D10">
        <v>47053000000</v>
      </c>
      <c r="E10">
        <v>-29474000000</v>
      </c>
      <c r="F10">
        <v>-8.2241576406536562E-3</v>
      </c>
    </row>
    <row r="11" spans="1:6" x14ac:dyDescent="0.25">
      <c r="A11" t="s">
        <v>103</v>
      </c>
      <c r="B11" t="s">
        <v>224</v>
      </c>
      <c r="C11">
        <v>237678000000</v>
      </c>
      <c r="D11">
        <v>30675000000</v>
      </c>
      <c r="E11">
        <v>-24500000000</v>
      </c>
      <c r="F11">
        <v>-2.4705694258618804E-2</v>
      </c>
    </row>
    <row r="12" spans="1:6" x14ac:dyDescent="0.25">
      <c r="A12" t="s">
        <v>103</v>
      </c>
      <c r="B12" t="s">
        <v>225</v>
      </c>
      <c r="C12">
        <v>116444000000</v>
      </c>
      <c r="D12">
        <v>14951000000</v>
      </c>
      <c r="E12">
        <v>-17741000000</v>
      </c>
      <c r="F12">
        <v>-3.3011576380062517E-2</v>
      </c>
    </row>
    <row r="13" spans="1:6" x14ac:dyDescent="0.25">
      <c r="A13" t="s">
        <v>103</v>
      </c>
      <c r="B13" t="s">
        <v>226</v>
      </c>
      <c r="C13">
        <v>332410000000</v>
      </c>
      <c r="D13">
        <v>42118000000</v>
      </c>
      <c r="E13">
        <v>-17877000000</v>
      </c>
      <c r="F13">
        <v>5.7281670226527484E-2</v>
      </c>
    </row>
    <row r="14" spans="1:6" x14ac:dyDescent="0.25">
      <c r="A14" t="s">
        <v>103</v>
      </c>
      <c r="B14" t="s">
        <v>227</v>
      </c>
      <c r="C14">
        <v>221598000000</v>
      </c>
      <c r="D14">
        <v>26370000000</v>
      </c>
      <c r="E14">
        <v>-9442000000</v>
      </c>
      <c r="F14">
        <v>7.1683859962635044E-2</v>
      </c>
    </row>
    <row r="15" spans="1:6" x14ac:dyDescent="0.25">
      <c r="A15" t="s">
        <v>103</v>
      </c>
      <c r="B15" t="s">
        <v>228</v>
      </c>
      <c r="C15">
        <v>108518000000</v>
      </c>
      <c r="D15">
        <v>12082000000</v>
      </c>
      <c r="E15">
        <v>-7869000000</v>
      </c>
      <c r="F15">
        <v>7.470650030409702E-2</v>
      </c>
    </row>
    <row r="16" spans="1:6" x14ac:dyDescent="0.25">
      <c r="A16" t="s">
        <v>103</v>
      </c>
      <c r="B16" t="s">
        <v>229</v>
      </c>
      <c r="C16">
        <v>260509000000</v>
      </c>
      <c r="D16">
        <v>25317000000</v>
      </c>
      <c r="E16">
        <v>10316000000</v>
      </c>
      <c r="F16">
        <v>5.4159357258290498E-2</v>
      </c>
    </row>
    <row r="17" spans="1:6" x14ac:dyDescent="0.25">
      <c r="A17" t="s">
        <v>103</v>
      </c>
      <c r="B17" t="s">
        <v>230</v>
      </c>
      <c r="C17">
        <v>164364000000</v>
      </c>
      <c r="D17">
        <v>14254000000</v>
      </c>
      <c r="E17">
        <v>9415000000</v>
      </c>
      <c r="F17">
        <v>4.7321797960623982E-2</v>
      </c>
    </row>
    <row r="18" spans="1:6" x14ac:dyDescent="0.25">
      <c r="A18" t="s">
        <v>103</v>
      </c>
      <c r="B18" t="s">
        <v>231</v>
      </c>
      <c r="C18">
        <v>75452000000</v>
      </c>
      <c r="D18">
        <v>6795000000</v>
      </c>
      <c r="E18">
        <v>-3731000000</v>
      </c>
      <c r="F18">
        <v>3.3597518952446587E-2</v>
      </c>
    </row>
    <row r="19" spans="1:6" x14ac:dyDescent="0.25">
      <c r="A19" t="s">
        <v>103</v>
      </c>
      <c r="B19" t="s">
        <v>232</v>
      </c>
      <c r="C19">
        <v>193086000000</v>
      </c>
      <c r="D19">
        <v>11549000000</v>
      </c>
      <c r="E19">
        <v>7306000000</v>
      </c>
      <c r="F19">
        <v>4.3089607739556467E-2</v>
      </c>
    </row>
    <row r="20" spans="1:6" x14ac:dyDescent="0.25">
      <c r="A20" t="s">
        <v>103</v>
      </c>
      <c r="B20" t="s">
        <v>233</v>
      </c>
      <c r="C20">
        <v>123104000000</v>
      </c>
      <c r="D20">
        <v>6852000000</v>
      </c>
      <c r="E20">
        <v>4111000000</v>
      </c>
      <c r="F20">
        <v>5.0250194957109438E-2</v>
      </c>
    </row>
    <row r="21" spans="1:6" x14ac:dyDescent="0.25">
      <c r="A21" t="s">
        <v>103</v>
      </c>
      <c r="B21" t="s">
        <v>234</v>
      </c>
      <c r="C21">
        <v>59700000000</v>
      </c>
      <c r="D21">
        <v>3290000000</v>
      </c>
      <c r="E21">
        <v>-1444000000</v>
      </c>
      <c r="F21">
        <v>5.9648241206030149E-2</v>
      </c>
    </row>
    <row r="22" spans="1:6" x14ac:dyDescent="0.25">
      <c r="A22" t="s">
        <v>103</v>
      </c>
      <c r="B22" t="s">
        <v>235</v>
      </c>
      <c r="C22">
        <v>160504000000</v>
      </c>
      <c r="D22">
        <v>9693000000</v>
      </c>
      <c r="E22">
        <v>4553000000</v>
      </c>
      <c r="F22">
        <v>4.3899217464985298E-2</v>
      </c>
    </row>
    <row r="23" spans="1:6" x14ac:dyDescent="0.25">
      <c r="A23" t="s">
        <v>103</v>
      </c>
      <c r="B23" t="s">
        <v>236</v>
      </c>
      <c r="C23">
        <v>103928000000</v>
      </c>
      <c r="F23">
        <v>4.0056577630667382E-2</v>
      </c>
    </row>
    <row r="24" spans="1:6" x14ac:dyDescent="0.25">
      <c r="A24" t="s">
        <v>103</v>
      </c>
      <c r="B24" t="s">
        <v>237</v>
      </c>
      <c r="C24">
        <v>51042000000</v>
      </c>
      <c r="F24">
        <v>3.1914893617021274E-2</v>
      </c>
    </row>
    <row r="25" spans="1:6" x14ac:dyDescent="0.25">
      <c r="A25" t="s">
        <v>103</v>
      </c>
      <c r="B25" t="s">
        <v>238</v>
      </c>
      <c r="C25">
        <v>117413000000</v>
      </c>
      <c r="F25">
        <v>1.001592668614208E-2</v>
      </c>
    </row>
    <row r="26" spans="1:6" x14ac:dyDescent="0.25">
      <c r="A26" t="s">
        <v>103</v>
      </c>
      <c r="B26" t="s">
        <v>239</v>
      </c>
      <c r="C26">
        <v>73669000000</v>
      </c>
      <c r="F26">
        <v>1.2501866456718566E-2</v>
      </c>
    </row>
    <row r="27" spans="1:6" x14ac:dyDescent="0.25">
      <c r="A27" t="s">
        <v>103</v>
      </c>
      <c r="B27" t="s">
        <v>240</v>
      </c>
      <c r="C27">
        <v>35714000000</v>
      </c>
      <c r="D27">
        <v>1861000000</v>
      </c>
      <c r="E27">
        <v>-3451000000</v>
      </c>
      <c r="F27">
        <v>2.027216217729742E-2</v>
      </c>
    </row>
    <row r="28" spans="1:6" x14ac:dyDescent="0.25">
      <c r="A28" t="s">
        <v>103</v>
      </c>
      <c r="B28" t="s">
        <v>241</v>
      </c>
      <c r="C28">
        <v>92246000000</v>
      </c>
      <c r="D28">
        <v>4731000000</v>
      </c>
      <c r="E28">
        <v>1060000000</v>
      </c>
      <c r="F28">
        <v>1.7583418251197885E-2</v>
      </c>
    </row>
    <row r="29" spans="1:6" x14ac:dyDescent="0.25">
      <c r="A29" t="s">
        <v>103</v>
      </c>
      <c r="B29" t="s">
        <v>242</v>
      </c>
      <c r="C29">
        <v>59532000000</v>
      </c>
      <c r="D29">
        <v>2890000000</v>
      </c>
      <c r="E29">
        <v>-1585000000</v>
      </c>
      <c r="F29">
        <v>2.3012833434119466E-2</v>
      </c>
    </row>
    <row r="30" spans="1:6" x14ac:dyDescent="0.25">
      <c r="A30" t="s">
        <v>103</v>
      </c>
      <c r="B30" t="s">
        <v>243</v>
      </c>
      <c r="C30">
        <v>29128000000</v>
      </c>
      <c r="D30">
        <v>1179000000</v>
      </c>
      <c r="E30">
        <v>-3339000000</v>
      </c>
      <c r="F30">
        <v>1.7611919802252129E-2</v>
      </c>
    </row>
    <row r="31" spans="1:6" x14ac:dyDescent="0.25">
      <c r="A31" t="s">
        <v>103</v>
      </c>
      <c r="B31" t="s">
        <v>244</v>
      </c>
      <c r="C31">
        <v>71259000000</v>
      </c>
      <c r="D31">
        <v>3280000000</v>
      </c>
      <c r="E31">
        <v>-172000000</v>
      </c>
      <c r="F31">
        <v>1.5997979202627037E-3</v>
      </c>
    </row>
    <row r="32" spans="1:6" x14ac:dyDescent="0.25">
      <c r="A32" t="s">
        <v>103</v>
      </c>
      <c r="B32" t="s">
        <v>245</v>
      </c>
      <c r="C32">
        <v>45901000000</v>
      </c>
      <c r="D32">
        <v>2084000000</v>
      </c>
      <c r="E32">
        <v>-1586000000</v>
      </c>
      <c r="F32">
        <v>7.625106206836452E-4</v>
      </c>
    </row>
    <row r="33" spans="1:6" x14ac:dyDescent="0.25">
      <c r="A33" t="s">
        <v>103</v>
      </c>
      <c r="B33" t="s">
        <v>246</v>
      </c>
      <c r="C33">
        <v>22717000000</v>
      </c>
      <c r="D33">
        <v>871000000</v>
      </c>
      <c r="E33">
        <v>-2370000000</v>
      </c>
      <c r="F33">
        <v>-2.5091341286261389E-3</v>
      </c>
    </row>
    <row r="34" spans="1:6" x14ac:dyDescent="0.25">
      <c r="A34" t="s">
        <v>103</v>
      </c>
      <c r="B34" t="s">
        <v>247</v>
      </c>
      <c r="C34">
        <v>59659000000</v>
      </c>
      <c r="D34">
        <v>3748000000</v>
      </c>
      <c r="E34">
        <v>-3621000000</v>
      </c>
      <c r="F34">
        <v>-7.6266782882716769E-3</v>
      </c>
    </row>
    <row r="35" spans="1:6" x14ac:dyDescent="0.25">
      <c r="A35" t="s">
        <v>103</v>
      </c>
      <c r="B35" t="s">
        <v>248</v>
      </c>
      <c r="C35">
        <v>39081000000</v>
      </c>
      <c r="D35">
        <v>2370000000</v>
      </c>
      <c r="E35">
        <v>-4010000000</v>
      </c>
      <c r="F35">
        <v>-4.6058186842711294E-4</v>
      </c>
    </row>
    <row r="36" spans="1:6" x14ac:dyDescent="0.25">
      <c r="A36" t="s">
        <v>103</v>
      </c>
      <c r="B36" t="s">
        <v>249</v>
      </c>
      <c r="C36">
        <v>19741000000</v>
      </c>
      <c r="D36">
        <v>1080000000</v>
      </c>
      <c r="E36">
        <v>-3582000000</v>
      </c>
      <c r="F36">
        <v>5.4708474747986423E-3</v>
      </c>
    </row>
    <row r="37" spans="1:6" x14ac:dyDescent="0.25">
      <c r="A37" t="s">
        <v>103</v>
      </c>
      <c r="B37" t="s">
        <v>250</v>
      </c>
      <c r="C37">
        <v>48865000000</v>
      </c>
      <c r="D37">
        <v>2565000000</v>
      </c>
      <c r="E37">
        <v>-2668000000</v>
      </c>
      <c r="F37">
        <v>6.9579453596643813E-4</v>
      </c>
    </row>
    <row r="38" spans="1:6" x14ac:dyDescent="0.25">
      <c r="A38" t="s">
        <v>103</v>
      </c>
      <c r="B38" t="s">
        <v>251</v>
      </c>
      <c r="C38">
        <v>31774000000</v>
      </c>
      <c r="D38">
        <v>1526000000</v>
      </c>
      <c r="E38">
        <v>-3018000000</v>
      </c>
      <c r="F38">
        <v>2.3604204695663123E-3</v>
      </c>
    </row>
    <row r="39" spans="1:6" x14ac:dyDescent="0.25">
      <c r="A39" t="s">
        <v>103</v>
      </c>
      <c r="B39" t="s">
        <v>252</v>
      </c>
      <c r="C39">
        <v>16070000000</v>
      </c>
      <c r="D39">
        <v>670000000</v>
      </c>
      <c r="E39">
        <v>-3042000000</v>
      </c>
      <c r="F39">
        <v>5.1026757934038583E-3</v>
      </c>
    </row>
    <row r="40" spans="1:6" x14ac:dyDescent="0.25">
      <c r="A40" t="s">
        <v>103</v>
      </c>
      <c r="B40" t="s">
        <v>253</v>
      </c>
    </row>
    <row r="41" spans="1:6" x14ac:dyDescent="0.25">
      <c r="A41" t="s">
        <v>103</v>
      </c>
      <c r="B41" t="s">
        <v>254</v>
      </c>
    </row>
    <row r="42" spans="1:6" x14ac:dyDescent="0.25">
      <c r="A42" t="s">
        <v>103</v>
      </c>
      <c r="B42" t="s">
        <v>255</v>
      </c>
    </row>
    <row r="43" spans="1:6" x14ac:dyDescent="0.25">
      <c r="A43" t="s">
        <v>103</v>
      </c>
      <c r="B43" t="s">
        <v>256</v>
      </c>
    </row>
    <row r="44" spans="1:6" x14ac:dyDescent="0.25">
      <c r="A44" t="s">
        <v>103</v>
      </c>
      <c r="B44" t="s">
        <v>257</v>
      </c>
    </row>
    <row r="45" spans="1:6" x14ac:dyDescent="0.25">
      <c r="A45" t="s">
        <v>103</v>
      </c>
      <c r="B45" t="s">
        <v>258</v>
      </c>
      <c r="C45">
        <v>9857000000</v>
      </c>
      <c r="D45">
        <v>298000000</v>
      </c>
      <c r="E45">
        <v>-1884000000</v>
      </c>
      <c r="F45">
        <v>2.0391599878259104E-2</v>
      </c>
    </row>
    <row r="46" spans="1:6" x14ac:dyDescent="0.25">
      <c r="A46" t="s">
        <v>103</v>
      </c>
      <c r="B46" t="s">
        <v>259</v>
      </c>
      <c r="C46">
        <v>21257000000</v>
      </c>
      <c r="D46">
        <v>651000000</v>
      </c>
      <c r="E46">
        <v>-644000000</v>
      </c>
      <c r="F46">
        <v>3.4623888601401892E-2</v>
      </c>
    </row>
    <row r="47" spans="1:6" x14ac:dyDescent="0.25">
      <c r="A47" t="s">
        <v>103</v>
      </c>
      <c r="B47" t="s">
        <v>260</v>
      </c>
      <c r="C47">
        <v>13697000000</v>
      </c>
      <c r="D47">
        <v>336000000</v>
      </c>
      <c r="E47">
        <v>-1184000000</v>
      </c>
      <c r="F47">
        <v>3.6869387457107397E-2</v>
      </c>
    </row>
    <row r="48" spans="1:6" x14ac:dyDescent="0.25">
      <c r="A48" t="s">
        <v>103</v>
      </c>
      <c r="B48" t="s">
        <v>261</v>
      </c>
      <c r="C48">
        <v>7131000000</v>
      </c>
      <c r="D48">
        <v>140000000</v>
      </c>
      <c r="E48">
        <v>-1238000000</v>
      </c>
      <c r="F48">
        <v>4.1929603141214418E-2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32"/>
  <sheetViews>
    <sheetView workbookViewId="0"/>
  </sheetViews>
  <sheetFormatPr defaultColWidth="9" defaultRowHeight="14.4" x14ac:dyDescent="0.25"/>
  <cols>
    <col min="1" max="1" width="10.44140625" bestFit="1" customWidth="1"/>
    <col min="2" max="2" width="21.5546875" bestFit="1" customWidth="1"/>
    <col min="3" max="4" width="12.77734375" bestFit="1" customWidth="1"/>
    <col min="5" max="5" width="20" bestFit="1" customWidth="1"/>
    <col min="6" max="6" width="23.6640625" bestFit="1" customWidth="1"/>
  </cols>
  <sheetData>
    <row r="1" spans="1:6" x14ac:dyDescent="0.25">
      <c r="A1" t="s">
        <v>200</v>
      </c>
      <c r="B1" t="s">
        <v>201</v>
      </c>
      <c r="C1" t="s">
        <v>202</v>
      </c>
      <c r="D1" t="s">
        <v>203</v>
      </c>
      <c r="E1" t="s">
        <v>204</v>
      </c>
      <c r="F1" t="s">
        <v>205</v>
      </c>
    </row>
    <row r="2" spans="1:6" x14ac:dyDescent="0.25">
      <c r="A2" t="s">
        <v>101</v>
      </c>
      <c r="B2" t="s">
        <v>214</v>
      </c>
      <c r="C2">
        <v>289007000000</v>
      </c>
      <c r="D2">
        <v>63596000000</v>
      </c>
      <c r="E2">
        <v>48715000000</v>
      </c>
      <c r="F2">
        <v>0.33810599743258812</v>
      </c>
    </row>
    <row r="3" spans="1:6" x14ac:dyDescent="0.25">
      <c r="A3" t="s">
        <v>101</v>
      </c>
      <c r="B3" t="s">
        <v>215</v>
      </c>
      <c r="C3">
        <v>186662000000</v>
      </c>
      <c r="D3">
        <v>39643000000</v>
      </c>
      <c r="E3">
        <v>24254000000</v>
      </c>
      <c r="F3">
        <v>0.33609411663863026</v>
      </c>
    </row>
    <row r="4" spans="1:6" x14ac:dyDescent="0.25">
      <c r="A4" t="s">
        <v>101</v>
      </c>
      <c r="B4" t="s">
        <v>216</v>
      </c>
      <c r="C4">
        <v>90234000000</v>
      </c>
      <c r="D4">
        <v>17197000000</v>
      </c>
      <c r="E4">
        <v>18953000000</v>
      </c>
      <c r="F4">
        <v>0.38278254316554733</v>
      </c>
    </row>
    <row r="5" spans="1:6" x14ac:dyDescent="0.25">
      <c r="A5" t="s">
        <v>101</v>
      </c>
      <c r="B5" t="s">
        <v>217</v>
      </c>
      <c r="C5">
        <v>253549000000</v>
      </c>
      <c r="D5">
        <v>38259000000</v>
      </c>
      <c r="E5">
        <v>47927000000</v>
      </c>
      <c r="F5">
        <v>0.29020820433131267</v>
      </c>
    </row>
    <row r="6" spans="1:6" x14ac:dyDescent="0.25">
      <c r="A6" t="s">
        <v>101</v>
      </c>
      <c r="B6" t="s">
        <v>218</v>
      </c>
      <c r="C6">
        <v>165281000000</v>
      </c>
      <c r="D6">
        <v>25198000000</v>
      </c>
      <c r="E6">
        <v>30290000000</v>
      </c>
      <c r="F6">
        <v>0.28606433891372873</v>
      </c>
    </row>
    <row r="7" spans="1:6" x14ac:dyDescent="0.25">
      <c r="A7" t="s">
        <v>101</v>
      </c>
      <c r="B7" t="s">
        <v>219</v>
      </c>
      <c r="C7">
        <v>80539000000</v>
      </c>
      <c r="D7">
        <v>12012000000</v>
      </c>
      <c r="E7">
        <v>16836000000</v>
      </c>
      <c r="F7">
        <v>0.29379555246526529</v>
      </c>
    </row>
    <row r="8" spans="1:6" x14ac:dyDescent="0.25">
      <c r="A8" t="s">
        <v>101</v>
      </c>
      <c r="B8" t="s">
        <v>220</v>
      </c>
      <c r="C8">
        <v>221084000000</v>
      </c>
      <c r="D8">
        <v>21232000000</v>
      </c>
      <c r="E8">
        <v>61599000000</v>
      </c>
      <c r="F8">
        <v>0.24021638834108303</v>
      </c>
    </row>
    <row r="9" spans="1:6" x14ac:dyDescent="0.25">
      <c r="A9" t="s">
        <v>101</v>
      </c>
      <c r="B9" t="s">
        <v>221</v>
      </c>
      <c r="C9">
        <v>144391000000</v>
      </c>
      <c r="D9">
        <v>13177000000</v>
      </c>
      <c r="E9">
        <v>38998000000</v>
      </c>
      <c r="F9">
        <v>0.23144794343137731</v>
      </c>
    </row>
    <row r="10" spans="1:6" x14ac:dyDescent="0.25">
      <c r="A10" t="s">
        <v>101</v>
      </c>
      <c r="B10" t="s">
        <v>222</v>
      </c>
      <c r="C10">
        <v>69787000000</v>
      </c>
      <c r="D10">
        <v>6289000000</v>
      </c>
      <c r="E10">
        <v>17220000000</v>
      </c>
      <c r="F10">
        <v>0.21567054035851949</v>
      </c>
    </row>
    <row r="11" spans="1:6" x14ac:dyDescent="0.25">
      <c r="A11" t="s">
        <v>101</v>
      </c>
      <c r="B11" t="s">
        <v>223</v>
      </c>
      <c r="C11">
        <v>206788000000</v>
      </c>
      <c r="D11">
        <v>23890000000</v>
      </c>
      <c r="E11">
        <v>43991000000</v>
      </c>
      <c r="F11">
        <v>0.22413292840977234</v>
      </c>
    </row>
    <row r="12" spans="1:6" x14ac:dyDescent="0.25">
      <c r="A12" t="s">
        <v>101</v>
      </c>
      <c r="B12" t="s">
        <v>224</v>
      </c>
      <c r="C12">
        <v>137696000000</v>
      </c>
      <c r="D12">
        <v>16614000000</v>
      </c>
      <c r="E12">
        <v>27914000000</v>
      </c>
      <c r="F12">
        <v>0.23557692307692307</v>
      </c>
    </row>
    <row r="13" spans="1:6" x14ac:dyDescent="0.25">
      <c r="A13" t="s">
        <v>101</v>
      </c>
      <c r="B13" t="s">
        <v>225</v>
      </c>
      <c r="C13">
        <v>68011000000</v>
      </c>
      <c r="D13">
        <v>9786000000</v>
      </c>
      <c r="E13">
        <v>15320000000</v>
      </c>
      <c r="F13">
        <v>0.24166678919586537</v>
      </c>
    </row>
    <row r="14" spans="1:6" x14ac:dyDescent="0.25">
      <c r="A14" t="s">
        <v>101</v>
      </c>
      <c r="B14" t="s">
        <v>226</v>
      </c>
      <c r="C14">
        <v>182312000000</v>
      </c>
      <c r="D14">
        <v>18257000000</v>
      </c>
      <c r="E14">
        <v>48461000000</v>
      </c>
      <c r="F14">
        <v>0.30382531045679934</v>
      </c>
    </row>
    <row r="15" spans="1:6" x14ac:dyDescent="0.25">
      <c r="A15" t="s">
        <v>101</v>
      </c>
      <c r="B15" t="s">
        <v>227</v>
      </c>
      <c r="C15">
        <v>117194000000</v>
      </c>
      <c r="D15">
        <v>11438000000</v>
      </c>
      <c r="E15">
        <v>29741000000</v>
      </c>
      <c r="F15">
        <v>0.31106541290509754</v>
      </c>
    </row>
    <row r="16" spans="1:6" x14ac:dyDescent="0.25">
      <c r="A16" t="s">
        <v>101</v>
      </c>
      <c r="B16" t="s">
        <v>228</v>
      </c>
      <c r="C16">
        <v>55314000000</v>
      </c>
      <c r="D16">
        <v>5942000000</v>
      </c>
      <c r="E16">
        <v>13347000000</v>
      </c>
      <c r="F16">
        <v>0.32414940159814876</v>
      </c>
    </row>
    <row r="17" spans="1:6" x14ac:dyDescent="0.25">
      <c r="A17" t="s">
        <v>101</v>
      </c>
      <c r="B17" t="s">
        <v>229</v>
      </c>
      <c r="C17">
        <v>125629000000</v>
      </c>
      <c r="D17">
        <v>16802000000</v>
      </c>
      <c r="E17">
        <v>25645000000</v>
      </c>
      <c r="F17">
        <v>0.1993329565625771</v>
      </c>
    </row>
    <row r="18" spans="1:6" x14ac:dyDescent="0.25">
      <c r="A18" t="s">
        <v>101</v>
      </c>
      <c r="B18" t="s">
        <v>230</v>
      </c>
      <c r="C18">
        <v>79456000000</v>
      </c>
      <c r="D18">
        <v>11396000000</v>
      </c>
      <c r="E18">
        <v>14048000000</v>
      </c>
      <c r="F18">
        <v>0.17361810310108738</v>
      </c>
    </row>
    <row r="19" spans="1:6" x14ac:dyDescent="0.25">
      <c r="A19" t="s">
        <v>101</v>
      </c>
      <c r="B19" t="s">
        <v>231</v>
      </c>
      <c r="C19">
        <v>41159000000</v>
      </c>
      <c r="D19">
        <v>6005000000</v>
      </c>
      <c r="E19">
        <v>5446000000</v>
      </c>
      <c r="F19">
        <v>0.16608761145800433</v>
      </c>
    </row>
    <row r="20" spans="1:6" x14ac:dyDescent="0.25">
      <c r="A20" t="s">
        <v>101</v>
      </c>
      <c r="B20" t="s">
        <v>232</v>
      </c>
      <c r="C20">
        <v>115782000000</v>
      </c>
      <c r="D20">
        <v>17496000000</v>
      </c>
      <c r="E20">
        <v>22597000000</v>
      </c>
      <c r="F20">
        <v>0.20445319652450294</v>
      </c>
    </row>
    <row r="21" spans="1:6" x14ac:dyDescent="0.25">
      <c r="A21" t="s">
        <v>101</v>
      </c>
      <c r="B21" t="s">
        <v>233</v>
      </c>
      <c r="C21">
        <v>75283000000</v>
      </c>
      <c r="D21">
        <v>10764000000</v>
      </c>
      <c r="E21">
        <v>13863000000</v>
      </c>
      <c r="F21">
        <v>0.22055444124171461</v>
      </c>
    </row>
    <row r="22" spans="1:6" x14ac:dyDescent="0.25">
      <c r="A22" t="s">
        <v>101</v>
      </c>
      <c r="B22" t="s">
        <v>234</v>
      </c>
      <c r="C22">
        <v>36339000000</v>
      </c>
      <c r="D22">
        <v>4638000000</v>
      </c>
      <c r="E22">
        <v>7362000000</v>
      </c>
      <c r="F22">
        <v>0.18319161231734502</v>
      </c>
    </row>
    <row r="23" spans="1:6" x14ac:dyDescent="0.25">
      <c r="A23" t="s">
        <v>101</v>
      </c>
      <c r="B23" t="s">
        <v>235</v>
      </c>
      <c r="C23">
        <v>97543000000</v>
      </c>
      <c r="D23">
        <v>18058000000</v>
      </c>
      <c r="E23">
        <v>16926000000</v>
      </c>
      <c r="F23">
        <v>0.22336815558266609</v>
      </c>
    </row>
    <row r="24" spans="1:6" x14ac:dyDescent="0.25">
      <c r="A24" t="s">
        <v>101</v>
      </c>
      <c r="B24" t="s">
        <v>236</v>
      </c>
      <c r="C24">
        <v>63803000000</v>
      </c>
      <c r="D24">
        <v>12776000000</v>
      </c>
      <c r="E24">
        <v>8998000000</v>
      </c>
      <c r="F24">
        <v>0.19742018400388697</v>
      </c>
    </row>
    <row r="25" spans="1:6" x14ac:dyDescent="0.25">
      <c r="A25" t="s">
        <v>101</v>
      </c>
      <c r="B25" t="s">
        <v>237</v>
      </c>
      <c r="C25">
        <v>31146000000</v>
      </c>
      <c r="D25">
        <v>7299000000</v>
      </c>
      <c r="E25">
        <v>4343000000</v>
      </c>
      <c r="F25">
        <v>0.30183651191164196</v>
      </c>
    </row>
    <row r="26" spans="1:6" x14ac:dyDescent="0.25">
      <c r="A26" t="s">
        <v>101</v>
      </c>
      <c r="B26" t="s">
        <v>238</v>
      </c>
      <c r="C26">
        <v>78532000000</v>
      </c>
      <c r="D26">
        <v>8877000000</v>
      </c>
      <c r="E26">
        <v>17946000000</v>
      </c>
      <c r="F26">
        <v>0.1996892986298579</v>
      </c>
    </row>
    <row r="27" spans="1:6" x14ac:dyDescent="0.25">
      <c r="A27" t="s">
        <v>101</v>
      </c>
      <c r="B27" t="s">
        <v>239</v>
      </c>
      <c r="C27">
        <v>50760000000</v>
      </c>
      <c r="D27">
        <v>5339000000</v>
      </c>
      <c r="E27">
        <v>11612000000</v>
      </c>
      <c r="F27">
        <v>0.17631993695823484</v>
      </c>
    </row>
    <row r="28" spans="1:6" x14ac:dyDescent="0.25">
      <c r="A28" t="s">
        <v>101</v>
      </c>
      <c r="B28" t="s">
        <v>240</v>
      </c>
      <c r="C28">
        <v>24750000000</v>
      </c>
      <c r="D28">
        <v>2508000000</v>
      </c>
      <c r="E28">
        <v>7040000000</v>
      </c>
      <c r="F28">
        <v>0.21923232323232322</v>
      </c>
    </row>
    <row r="29" spans="1:6" x14ac:dyDescent="0.25">
      <c r="A29" t="s">
        <v>101</v>
      </c>
      <c r="B29" t="s">
        <v>241</v>
      </c>
      <c r="C29">
        <v>64208000000</v>
      </c>
      <c r="D29">
        <v>7134000000</v>
      </c>
      <c r="E29">
        <v>19489000000</v>
      </c>
      <c r="F29">
        <v>0.22029965113381511</v>
      </c>
    </row>
    <row r="30" spans="1:6" x14ac:dyDescent="0.25">
      <c r="A30" t="s">
        <v>101</v>
      </c>
      <c r="B30" t="s">
        <v>242</v>
      </c>
      <c r="C30">
        <v>41757000000</v>
      </c>
      <c r="D30">
        <v>4551000000</v>
      </c>
      <c r="E30">
        <v>12227000000</v>
      </c>
      <c r="F30">
        <v>0.21754436381923989</v>
      </c>
    </row>
    <row r="31" spans="1:6" x14ac:dyDescent="0.25">
      <c r="A31" t="s">
        <v>101</v>
      </c>
      <c r="B31" t="s">
        <v>243</v>
      </c>
      <c r="C31">
        <v>20257000000</v>
      </c>
      <c r="D31">
        <v>2428000000</v>
      </c>
      <c r="E31">
        <v>5230000000</v>
      </c>
      <c r="F31">
        <v>0.20768129535469221</v>
      </c>
    </row>
    <row r="32" spans="1:6" x14ac:dyDescent="0.25">
      <c r="A32" t="s">
        <v>101</v>
      </c>
      <c r="B32" t="s">
        <v>244</v>
      </c>
      <c r="C32">
        <v>53660000000</v>
      </c>
      <c r="D32">
        <v>7815000000</v>
      </c>
      <c r="E32">
        <v>11794000000</v>
      </c>
      <c r="F32">
        <v>0.21291464778233321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46"/>
  <sheetViews>
    <sheetView workbookViewId="0"/>
  </sheetViews>
  <sheetFormatPr defaultColWidth="9" defaultRowHeight="14.4" x14ac:dyDescent="0.25"/>
  <cols>
    <col min="1" max="1" width="10.44140625" bestFit="1" customWidth="1"/>
    <col min="2" max="2" width="21.5546875" bestFit="1" customWidth="1"/>
    <col min="3" max="4" width="12.77734375" bestFit="1" customWidth="1"/>
    <col min="5" max="5" width="20" bestFit="1" customWidth="1"/>
    <col min="6" max="6" width="23.6640625" bestFit="1" customWidth="1"/>
  </cols>
  <sheetData>
    <row r="1" spans="1:6" x14ac:dyDescent="0.25">
      <c r="A1" t="s">
        <v>200</v>
      </c>
      <c r="B1" t="s">
        <v>201</v>
      </c>
      <c r="C1" t="s">
        <v>202</v>
      </c>
      <c r="D1" t="s">
        <v>203</v>
      </c>
      <c r="E1" t="s">
        <v>204</v>
      </c>
      <c r="F1" t="s">
        <v>205</v>
      </c>
    </row>
    <row r="2" spans="1:6" x14ac:dyDescent="0.25">
      <c r="A2" t="s">
        <v>97</v>
      </c>
      <c r="B2" t="s">
        <v>262</v>
      </c>
      <c r="C2">
        <v>158946000000</v>
      </c>
      <c r="D2">
        <v>49270000000</v>
      </c>
      <c r="E2">
        <v>31545000000</v>
      </c>
      <c r="F2">
        <v>0.41652510915656887</v>
      </c>
    </row>
    <row r="3" spans="1:6" x14ac:dyDescent="0.25">
      <c r="A3" t="s">
        <v>97</v>
      </c>
      <c r="B3" t="s">
        <v>214</v>
      </c>
      <c r="C3">
        <v>77673000000</v>
      </c>
      <c r="D3">
        <v>19394000000</v>
      </c>
      <c r="E3">
        <v>25663000000</v>
      </c>
      <c r="F3">
        <v>0.35722838051832684</v>
      </c>
    </row>
    <row r="4" spans="1:6" x14ac:dyDescent="0.25">
      <c r="A4" t="s">
        <v>97</v>
      </c>
      <c r="B4" t="s">
        <v>216</v>
      </c>
      <c r="C4">
        <v>205283000000</v>
      </c>
      <c r="D4">
        <v>47472000000</v>
      </c>
      <c r="E4">
        <v>46043000000</v>
      </c>
      <c r="F4">
        <v>0.36339589737094646</v>
      </c>
    </row>
    <row r="5" spans="1:6" x14ac:dyDescent="0.25">
      <c r="A5" t="s">
        <v>97</v>
      </c>
      <c r="B5" t="s">
        <v>263</v>
      </c>
      <c r="C5">
        <v>135217000000</v>
      </c>
      <c r="D5">
        <v>30727000000</v>
      </c>
      <c r="E5">
        <v>25744000000</v>
      </c>
      <c r="F5">
        <v>0.36071647795765327</v>
      </c>
    </row>
    <row r="6" spans="1:6" x14ac:dyDescent="0.25">
      <c r="A6" t="s">
        <v>97</v>
      </c>
      <c r="B6" t="s">
        <v>217</v>
      </c>
      <c r="C6">
        <v>65585000000</v>
      </c>
      <c r="D6">
        <v>14923000000</v>
      </c>
      <c r="E6">
        <v>19257000000</v>
      </c>
      <c r="F6">
        <v>0.37610734161774795</v>
      </c>
    </row>
    <row r="7" spans="1:6" x14ac:dyDescent="0.25">
      <c r="A7" t="s">
        <v>97</v>
      </c>
      <c r="B7" t="s">
        <v>220</v>
      </c>
      <c r="C7">
        <v>56517000000</v>
      </c>
      <c r="D7">
        <v>9917000000</v>
      </c>
      <c r="E7">
        <v>20666000000</v>
      </c>
      <c r="F7">
        <v>0.39441230072367606</v>
      </c>
    </row>
    <row r="8" spans="1:6" x14ac:dyDescent="0.25">
      <c r="A8" t="s">
        <v>97</v>
      </c>
      <c r="B8" t="s">
        <v>222</v>
      </c>
      <c r="C8">
        <v>155726000000</v>
      </c>
      <c r="D8">
        <v>19164000000</v>
      </c>
      <c r="E8">
        <v>39648000000</v>
      </c>
      <c r="F8">
        <v>0.33571786342678805</v>
      </c>
    </row>
    <row r="9" spans="1:6" x14ac:dyDescent="0.25">
      <c r="A9" t="s">
        <v>97</v>
      </c>
      <c r="B9" t="s">
        <v>264</v>
      </c>
      <c r="C9">
        <v>102869000000</v>
      </c>
      <c r="D9">
        <v>12557000000</v>
      </c>
      <c r="E9">
        <v>21814000000</v>
      </c>
      <c r="F9">
        <v>0.33033275330760481</v>
      </c>
    </row>
    <row r="10" spans="1:6" x14ac:dyDescent="0.25">
      <c r="A10" t="s">
        <v>97</v>
      </c>
      <c r="B10" t="s">
        <v>223</v>
      </c>
      <c r="C10">
        <v>50122000000</v>
      </c>
      <c r="D10">
        <v>6283000000</v>
      </c>
      <c r="E10">
        <v>16915000000</v>
      </c>
      <c r="F10">
        <v>0.3502653525398029</v>
      </c>
    </row>
    <row r="11" spans="1:6" x14ac:dyDescent="0.25">
      <c r="A11" t="s">
        <v>97</v>
      </c>
      <c r="B11" t="s">
        <v>225</v>
      </c>
      <c r="C11">
        <v>146405000000</v>
      </c>
      <c r="D11">
        <v>17015000000</v>
      </c>
      <c r="E11">
        <v>47391000000</v>
      </c>
      <c r="F11">
        <v>0.38248693692155322</v>
      </c>
    </row>
    <row r="12" spans="1:6" x14ac:dyDescent="0.25">
      <c r="A12" t="s">
        <v>97</v>
      </c>
      <c r="B12" t="s">
        <v>265</v>
      </c>
      <c r="C12">
        <v>97045000000</v>
      </c>
      <c r="D12">
        <v>11675000000</v>
      </c>
      <c r="E12">
        <v>27345000000</v>
      </c>
      <c r="F12">
        <v>0.40465763305682928</v>
      </c>
    </row>
    <row r="13" spans="1:6" x14ac:dyDescent="0.25">
      <c r="A13" t="s">
        <v>97</v>
      </c>
      <c r="B13" t="s">
        <v>226</v>
      </c>
      <c r="C13">
        <v>45317000000</v>
      </c>
      <c r="D13">
        <v>5810000000</v>
      </c>
      <c r="E13">
        <v>18730000000</v>
      </c>
      <c r="F13">
        <v>0.45247920206545006</v>
      </c>
    </row>
    <row r="14" spans="1:6" x14ac:dyDescent="0.25">
      <c r="A14" t="s">
        <v>97</v>
      </c>
      <c r="B14" t="s">
        <v>228</v>
      </c>
      <c r="C14">
        <v>121936000000</v>
      </c>
      <c r="D14">
        <v>14170000000</v>
      </c>
      <c r="E14">
        <v>39860000000</v>
      </c>
      <c r="F14">
        <v>0.36751246555570133</v>
      </c>
    </row>
    <row r="15" spans="1:6" x14ac:dyDescent="0.25">
      <c r="A15" t="s">
        <v>97</v>
      </c>
      <c r="B15" t="s">
        <v>266</v>
      </c>
      <c r="C15">
        <v>80230000000</v>
      </c>
      <c r="D15">
        <v>9081000000</v>
      </c>
      <c r="E15">
        <v>22770000000</v>
      </c>
      <c r="F15">
        <v>0.36589804312601271</v>
      </c>
    </row>
    <row r="16" spans="1:6" x14ac:dyDescent="0.25">
      <c r="A16" t="s">
        <v>97</v>
      </c>
      <c r="B16" t="s">
        <v>229</v>
      </c>
      <c r="C16">
        <v>37154000000</v>
      </c>
      <c r="D16">
        <v>4907000000</v>
      </c>
      <c r="E16">
        <v>14428000000</v>
      </c>
      <c r="F16">
        <v>0.37393012865371156</v>
      </c>
    </row>
    <row r="17" spans="1:6" x14ac:dyDescent="0.25">
      <c r="A17" t="s">
        <v>97</v>
      </c>
      <c r="B17" t="s">
        <v>231</v>
      </c>
      <c r="C17">
        <v>104982000000</v>
      </c>
      <c r="D17">
        <v>10697000000</v>
      </c>
      <c r="E17">
        <v>31305000000</v>
      </c>
      <c r="F17">
        <v>0.31509211102855728</v>
      </c>
    </row>
    <row r="18" spans="1:6" x14ac:dyDescent="0.25">
      <c r="A18" t="s">
        <v>97</v>
      </c>
      <c r="B18" t="s">
        <v>267</v>
      </c>
      <c r="C18">
        <v>69961000000</v>
      </c>
      <c r="D18">
        <v>6930000000</v>
      </c>
      <c r="E18">
        <v>17568000000</v>
      </c>
      <c r="F18">
        <v>0.31913494661311304</v>
      </c>
    </row>
    <row r="19" spans="1:6" x14ac:dyDescent="0.25">
      <c r="A19" t="s">
        <v>97</v>
      </c>
      <c r="B19" t="s">
        <v>232</v>
      </c>
      <c r="C19">
        <v>33055000000</v>
      </c>
      <c r="D19">
        <v>3385000000</v>
      </c>
      <c r="E19">
        <v>10433000000</v>
      </c>
      <c r="F19">
        <v>0.32303736197247013</v>
      </c>
    </row>
    <row r="20" spans="1:6" x14ac:dyDescent="0.25">
      <c r="A20" t="s">
        <v>97</v>
      </c>
      <c r="B20" t="s">
        <v>234</v>
      </c>
      <c r="C20">
        <v>92126000000</v>
      </c>
      <c r="D20">
        <v>9874000000</v>
      </c>
      <c r="E20">
        <v>26203000000</v>
      </c>
      <c r="F20">
        <v>0.282797473026073</v>
      </c>
    </row>
    <row r="21" spans="1:6" x14ac:dyDescent="0.25">
      <c r="A21" t="s">
        <v>97</v>
      </c>
      <c r="B21" t="s">
        <v>268</v>
      </c>
      <c r="C21">
        <v>61555000000</v>
      </c>
      <c r="D21">
        <v>7309000000</v>
      </c>
      <c r="E21">
        <v>15248000000</v>
      </c>
      <c r="F21">
        <v>0.28013971245227848</v>
      </c>
    </row>
    <row r="22" spans="1:6" x14ac:dyDescent="0.25">
      <c r="A22" t="s">
        <v>97</v>
      </c>
      <c r="B22" t="s">
        <v>235</v>
      </c>
      <c r="C22">
        <v>29084000000</v>
      </c>
      <c r="D22">
        <v>3602000000</v>
      </c>
      <c r="E22">
        <v>10055000000</v>
      </c>
      <c r="F22">
        <v>0.30339705680099022</v>
      </c>
    </row>
    <row r="23" spans="1:6" x14ac:dyDescent="0.25">
      <c r="A23" t="s">
        <v>97</v>
      </c>
      <c r="B23" t="s">
        <v>237</v>
      </c>
      <c r="C23">
        <v>80275000000</v>
      </c>
      <c r="D23">
        <v>7652000000</v>
      </c>
      <c r="E23">
        <v>24814000000</v>
      </c>
      <c r="F23">
        <v>9.5895359701027721E-2</v>
      </c>
    </row>
    <row r="24" spans="1:6" x14ac:dyDescent="0.25">
      <c r="A24" t="s">
        <v>97</v>
      </c>
      <c r="B24" t="s">
        <v>269</v>
      </c>
      <c r="C24">
        <v>53456000000</v>
      </c>
      <c r="D24">
        <v>4718000000</v>
      </c>
      <c r="E24">
        <v>15597000000</v>
      </c>
      <c r="F24">
        <v>5.1257108650104759E-3</v>
      </c>
    </row>
    <row r="25" spans="1:6" x14ac:dyDescent="0.25">
      <c r="A25" t="s">
        <v>97</v>
      </c>
      <c r="B25" t="s">
        <v>238</v>
      </c>
      <c r="C25">
        <v>24538000000</v>
      </c>
      <c r="D25">
        <v>2132000000</v>
      </c>
      <c r="F25">
        <v>0.26799250142635911</v>
      </c>
    </row>
    <row r="26" spans="1:6" x14ac:dyDescent="0.25">
      <c r="A26" t="s">
        <v>97</v>
      </c>
      <c r="B26" t="s">
        <v>240</v>
      </c>
      <c r="C26">
        <v>66633000000</v>
      </c>
      <c r="D26">
        <v>5846000000</v>
      </c>
      <c r="F26">
        <v>0.22047634055197876</v>
      </c>
    </row>
    <row r="27" spans="1:6" x14ac:dyDescent="0.25">
      <c r="A27" t="s">
        <v>97</v>
      </c>
      <c r="B27" t="s">
        <v>270</v>
      </c>
      <c r="C27">
        <v>44543000000</v>
      </c>
      <c r="D27">
        <v>4151000000</v>
      </c>
      <c r="F27">
        <v>0.22203264261500125</v>
      </c>
    </row>
    <row r="28" spans="1:6" x14ac:dyDescent="0.25">
      <c r="A28" t="s">
        <v>97</v>
      </c>
      <c r="B28" t="s">
        <v>241</v>
      </c>
      <c r="C28">
        <v>20453000000</v>
      </c>
      <c r="D28">
        <v>2163000000</v>
      </c>
      <c r="F28">
        <v>0.22930621424729869</v>
      </c>
    </row>
    <row r="29" spans="1:6" x14ac:dyDescent="0.25">
      <c r="A29" t="s">
        <v>97</v>
      </c>
      <c r="B29" t="s">
        <v>243</v>
      </c>
      <c r="C29">
        <v>64706000000</v>
      </c>
      <c r="D29">
        <v>5688000000</v>
      </c>
      <c r="F29">
        <v>0.21135597935276482</v>
      </c>
    </row>
    <row r="30" spans="1:6" x14ac:dyDescent="0.25">
      <c r="A30" t="s">
        <v>97</v>
      </c>
      <c r="B30" t="s">
        <v>271</v>
      </c>
      <c r="C30">
        <v>44175000000</v>
      </c>
      <c r="D30">
        <v>3380000000</v>
      </c>
      <c r="F30">
        <v>0.21772495755517826</v>
      </c>
    </row>
    <row r="31" spans="1:6" x14ac:dyDescent="0.25">
      <c r="A31" t="s">
        <v>97</v>
      </c>
      <c r="B31" t="s">
        <v>244</v>
      </c>
      <c r="C31">
        <v>20379000000</v>
      </c>
      <c r="D31">
        <v>1356000000</v>
      </c>
      <c r="F31">
        <v>0.22670395995878109</v>
      </c>
    </row>
    <row r="32" spans="1:6" x14ac:dyDescent="0.25">
      <c r="A32" t="s">
        <v>97</v>
      </c>
      <c r="B32" t="s">
        <v>246</v>
      </c>
      <c r="C32">
        <v>71400000000</v>
      </c>
      <c r="D32">
        <v>4163000000</v>
      </c>
      <c r="F32">
        <v>0.21551820728291315</v>
      </c>
    </row>
    <row r="33" spans="1:6" x14ac:dyDescent="0.25">
      <c r="A33" t="s">
        <v>97</v>
      </c>
      <c r="B33" t="s">
        <v>272</v>
      </c>
      <c r="C33">
        <v>49671000000</v>
      </c>
      <c r="D33">
        <v>2772000000</v>
      </c>
      <c r="F33">
        <v>0.20943810271587043</v>
      </c>
    </row>
    <row r="34" spans="1:6" x14ac:dyDescent="0.25">
      <c r="A34" t="s">
        <v>97</v>
      </c>
      <c r="B34" t="s">
        <v>247</v>
      </c>
      <c r="C34">
        <v>23201000000</v>
      </c>
      <c r="D34">
        <v>1282000000</v>
      </c>
      <c r="F34">
        <v>0.19568122063704152</v>
      </c>
    </row>
    <row r="35" spans="1:6" x14ac:dyDescent="0.25">
      <c r="A35" t="s">
        <v>97</v>
      </c>
      <c r="B35" t="s">
        <v>249</v>
      </c>
      <c r="C35">
        <v>63451000000</v>
      </c>
      <c r="D35">
        <v>4155000000</v>
      </c>
      <c r="F35">
        <v>0.27520448850293927</v>
      </c>
    </row>
    <row r="36" spans="1:6" x14ac:dyDescent="0.25">
      <c r="A36" t="s">
        <v>97</v>
      </c>
      <c r="B36" t="s">
        <v>273</v>
      </c>
      <c r="C36">
        <v>43048000000</v>
      </c>
      <c r="D36">
        <v>2963000000</v>
      </c>
      <c r="F36">
        <v>0.2741590782382457</v>
      </c>
    </row>
    <row r="37" spans="1:6" x14ac:dyDescent="0.25">
      <c r="A37" t="s">
        <v>97</v>
      </c>
      <c r="B37" t="s">
        <v>250</v>
      </c>
      <c r="C37">
        <v>18529000000</v>
      </c>
      <c r="D37">
        <v>1231000000</v>
      </c>
      <c r="F37">
        <v>0.28301581304981382</v>
      </c>
    </row>
    <row r="38" spans="1:6" x14ac:dyDescent="0.25">
      <c r="A38" t="s">
        <v>97</v>
      </c>
      <c r="B38" t="s">
        <v>252</v>
      </c>
      <c r="C38">
        <v>57953000000</v>
      </c>
      <c r="D38">
        <v>2463000000</v>
      </c>
      <c r="E38">
        <v>20467000000</v>
      </c>
      <c r="F38">
        <v>0.29158110882956878</v>
      </c>
    </row>
    <row r="39" spans="1:6" x14ac:dyDescent="0.25">
      <c r="A39" t="s">
        <v>97</v>
      </c>
      <c r="B39" t="s">
        <v>274</v>
      </c>
      <c r="C39">
        <v>37464000000</v>
      </c>
      <c r="D39">
        <v>1533000000</v>
      </c>
      <c r="E39">
        <v>11731000000</v>
      </c>
      <c r="F39">
        <v>0.28942451420029897</v>
      </c>
    </row>
    <row r="40" spans="1:6" x14ac:dyDescent="0.25">
      <c r="A40" t="s">
        <v>97</v>
      </c>
      <c r="B40" t="s">
        <v>253</v>
      </c>
      <c r="C40">
        <v>16008000000</v>
      </c>
      <c r="D40">
        <v>603000000</v>
      </c>
      <c r="E40">
        <v>7881000000</v>
      </c>
      <c r="F40">
        <v>0.27898550724637683</v>
      </c>
    </row>
    <row r="41" spans="1:6" x14ac:dyDescent="0.25">
      <c r="A41" t="s">
        <v>97</v>
      </c>
      <c r="B41" t="s">
        <v>255</v>
      </c>
      <c r="C41">
        <v>55664000000</v>
      </c>
      <c r="D41">
        <v>1683000000</v>
      </c>
      <c r="E41">
        <v>22266000000</v>
      </c>
      <c r="F41">
        <v>0.31384736993388906</v>
      </c>
    </row>
    <row r="42" spans="1:6" x14ac:dyDescent="0.25">
      <c r="A42" t="s">
        <v>97</v>
      </c>
      <c r="B42" t="s">
        <v>256</v>
      </c>
      <c r="C42">
        <v>17372000000</v>
      </c>
      <c r="D42">
        <v>436000000</v>
      </c>
      <c r="E42">
        <v>8057000000</v>
      </c>
      <c r="F42">
        <v>0.33030163481464425</v>
      </c>
    </row>
    <row r="43" spans="1:6" x14ac:dyDescent="0.25">
      <c r="A43" t="s">
        <v>97</v>
      </c>
      <c r="B43" t="s">
        <v>258</v>
      </c>
      <c r="C43">
        <v>52576000000</v>
      </c>
      <c r="D43">
        <v>1713000000</v>
      </c>
      <c r="E43">
        <v>19339000000</v>
      </c>
      <c r="F43">
        <v>0.32859099208764453</v>
      </c>
    </row>
    <row r="44" spans="1:6" x14ac:dyDescent="0.25">
      <c r="A44" t="s">
        <v>97</v>
      </c>
      <c r="B44" t="s">
        <v>275</v>
      </c>
      <c r="C44">
        <v>36148000000</v>
      </c>
      <c r="D44">
        <v>1055000000</v>
      </c>
      <c r="E44">
        <v>11325000000</v>
      </c>
      <c r="F44">
        <v>0.33318579174504814</v>
      </c>
    </row>
    <row r="45" spans="1:6" x14ac:dyDescent="0.25">
      <c r="A45" t="s">
        <v>97</v>
      </c>
      <c r="B45" t="s">
        <v>259</v>
      </c>
      <c r="C45">
        <v>16195000000</v>
      </c>
      <c r="D45">
        <v>564000000</v>
      </c>
      <c r="E45">
        <v>7630000000</v>
      </c>
      <c r="F45">
        <v>0.33405372028403829</v>
      </c>
    </row>
    <row r="46" spans="1:6" x14ac:dyDescent="0.25">
      <c r="A46" t="s">
        <v>97</v>
      </c>
      <c r="B46" t="s">
        <v>261</v>
      </c>
      <c r="C46">
        <v>46445000000</v>
      </c>
      <c r="D46">
        <v>1219000000</v>
      </c>
      <c r="E46">
        <v>17250000000</v>
      </c>
      <c r="F46">
        <v>0.30664226504467651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48"/>
  <sheetViews>
    <sheetView workbookViewId="0"/>
  </sheetViews>
  <sheetFormatPr defaultColWidth="9" defaultRowHeight="14.4" x14ac:dyDescent="0.25"/>
  <cols>
    <col min="1" max="1" width="10.44140625" bestFit="1" customWidth="1"/>
    <col min="2" max="2" width="21.5546875" bestFit="1" customWidth="1"/>
    <col min="3" max="3" width="12.77734375" bestFit="1" customWidth="1"/>
    <col min="4" max="4" width="11.6640625" bestFit="1" customWidth="1"/>
    <col min="5" max="5" width="20" bestFit="1" customWidth="1"/>
    <col min="6" max="6" width="23.6640625" bestFit="1" customWidth="1"/>
  </cols>
  <sheetData>
    <row r="1" spans="1:6" x14ac:dyDescent="0.25">
      <c r="A1" t="s">
        <v>200</v>
      </c>
      <c r="B1" t="s">
        <v>201</v>
      </c>
      <c r="C1" t="s">
        <v>202</v>
      </c>
      <c r="D1" t="s">
        <v>203</v>
      </c>
      <c r="E1" t="s">
        <v>204</v>
      </c>
      <c r="F1" t="s">
        <v>205</v>
      </c>
    </row>
    <row r="2" spans="1:6" x14ac:dyDescent="0.25">
      <c r="A2" t="s">
        <v>99</v>
      </c>
      <c r="B2" t="s">
        <v>276</v>
      </c>
      <c r="C2">
        <v>147811000000</v>
      </c>
      <c r="D2">
        <v>4758000000</v>
      </c>
      <c r="E2">
        <v>61772000000</v>
      </c>
      <c r="F2">
        <v>0.52165941641691083</v>
      </c>
    </row>
    <row r="3" spans="1:6" x14ac:dyDescent="0.25">
      <c r="A3" t="s">
        <v>99</v>
      </c>
      <c r="B3" t="s">
        <v>277</v>
      </c>
      <c r="C3">
        <v>90805000000</v>
      </c>
      <c r="D3">
        <v>3122000000</v>
      </c>
      <c r="E3">
        <v>39657000000</v>
      </c>
      <c r="F3">
        <v>0.49773690876053078</v>
      </c>
    </row>
    <row r="4" spans="1:6" x14ac:dyDescent="0.25">
      <c r="A4" t="s">
        <v>99</v>
      </c>
      <c r="B4" t="s">
        <v>278</v>
      </c>
      <c r="C4">
        <v>44062000000</v>
      </c>
      <c r="D4">
        <v>1227000000</v>
      </c>
      <c r="E4">
        <v>26187000000</v>
      </c>
      <c r="F4">
        <v>0.42610412600426673</v>
      </c>
    </row>
    <row r="5" spans="1:6" x14ac:dyDescent="0.25">
      <c r="A5" t="s">
        <v>99</v>
      </c>
      <c r="B5" t="s">
        <v>279</v>
      </c>
      <c r="C5">
        <v>91166000000</v>
      </c>
      <c r="D5">
        <v>2159000000</v>
      </c>
      <c r="E5">
        <v>45301000000</v>
      </c>
      <c r="F5">
        <v>0.55710462233727487</v>
      </c>
    </row>
    <row r="6" spans="1:6" x14ac:dyDescent="0.25">
      <c r="A6" t="s">
        <v>99</v>
      </c>
      <c r="B6" t="s">
        <v>280</v>
      </c>
      <c r="C6">
        <v>56084000000</v>
      </c>
      <c r="D6">
        <v>1346000000</v>
      </c>
      <c r="E6">
        <v>28487000000</v>
      </c>
      <c r="F6">
        <v>0.5613009057841809</v>
      </c>
    </row>
    <row r="7" spans="1:6" x14ac:dyDescent="0.25">
      <c r="A7" t="s">
        <v>99</v>
      </c>
      <c r="B7" t="s">
        <v>281</v>
      </c>
      <c r="C7">
        <v>26044000000</v>
      </c>
      <c r="D7">
        <v>369000000</v>
      </c>
      <c r="E7">
        <v>14976000000</v>
      </c>
      <c r="F7">
        <v>0.57137920442328372</v>
      </c>
    </row>
    <row r="8" spans="1:6" x14ac:dyDescent="0.25">
      <c r="A8" t="s">
        <v>99</v>
      </c>
      <c r="B8" t="s">
        <v>282</v>
      </c>
      <c r="C8">
        <v>38819000000</v>
      </c>
      <c r="D8">
        <v>815000000</v>
      </c>
      <c r="E8">
        <v>15776000000</v>
      </c>
      <c r="F8">
        <v>0.45016615574847368</v>
      </c>
    </row>
    <row r="9" spans="1:6" x14ac:dyDescent="0.25">
      <c r="A9" t="s">
        <v>99</v>
      </c>
      <c r="B9" t="s">
        <v>283</v>
      </c>
      <c r="C9">
        <v>20699000000</v>
      </c>
      <c r="F9">
        <v>0.39770037199864727</v>
      </c>
    </row>
    <row r="10" spans="1:6" x14ac:dyDescent="0.25">
      <c r="A10" t="s">
        <v>99</v>
      </c>
      <c r="B10" t="s">
        <v>284</v>
      </c>
      <c r="C10">
        <v>20923000000</v>
      </c>
      <c r="F10">
        <v>0.1411843425894948</v>
      </c>
    </row>
    <row r="11" spans="1:6" x14ac:dyDescent="0.25">
      <c r="A11" t="s">
        <v>99</v>
      </c>
      <c r="B11" t="s">
        <v>285</v>
      </c>
      <c r="C11">
        <v>14992000000</v>
      </c>
      <c r="F11">
        <v>0.15168089647812166</v>
      </c>
    </row>
    <row r="12" spans="1:6" x14ac:dyDescent="0.25">
      <c r="A12" t="s">
        <v>99</v>
      </c>
      <c r="B12" t="s">
        <v>286</v>
      </c>
      <c r="C12">
        <v>8288000000</v>
      </c>
      <c r="F12">
        <v>0.19522200772200773</v>
      </c>
    </row>
    <row r="13" spans="1:6" x14ac:dyDescent="0.25">
      <c r="A13" t="s">
        <v>99</v>
      </c>
      <c r="B13" t="s">
        <v>287</v>
      </c>
      <c r="C13">
        <v>19271000000</v>
      </c>
      <c r="D13">
        <v>703000000</v>
      </c>
      <c r="E13">
        <v>5372000000</v>
      </c>
      <c r="F13">
        <v>0.35021534948886929</v>
      </c>
    </row>
    <row r="14" spans="1:6" x14ac:dyDescent="0.25">
      <c r="A14" t="s">
        <v>99</v>
      </c>
      <c r="B14" t="s">
        <v>288</v>
      </c>
      <c r="C14">
        <v>12168000000</v>
      </c>
      <c r="D14">
        <v>481000000</v>
      </c>
      <c r="E14">
        <v>4075000000</v>
      </c>
      <c r="F14">
        <v>0.35215318869165024</v>
      </c>
    </row>
    <row r="15" spans="1:6" x14ac:dyDescent="0.25">
      <c r="A15" t="s">
        <v>99</v>
      </c>
      <c r="B15" t="s">
        <v>289</v>
      </c>
      <c r="C15">
        <v>5661000000</v>
      </c>
      <c r="D15">
        <v>298000000</v>
      </c>
      <c r="E15">
        <v>1576000000</v>
      </c>
      <c r="F15">
        <v>0.33774951422010246</v>
      </c>
    </row>
    <row r="16" spans="1:6" x14ac:dyDescent="0.25">
      <c r="A16" t="s">
        <v>99</v>
      </c>
      <c r="B16" t="s">
        <v>290</v>
      </c>
      <c r="C16">
        <v>11672000000</v>
      </c>
      <c r="D16">
        <v>845000000</v>
      </c>
      <c r="E16">
        <v>2910000000</v>
      </c>
      <c r="F16">
        <v>0.24631596984235779</v>
      </c>
    </row>
    <row r="17" spans="1:6" x14ac:dyDescent="0.25">
      <c r="A17" t="s">
        <v>99</v>
      </c>
      <c r="B17" t="s">
        <v>291</v>
      </c>
      <c r="C17">
        <v>6946000000</v>
      </c>
      <c r="D17">
        <v>372000000</v>
      </c>
      <c r="E17">
        <v>2104000000</v>
      </c>
      <c r="F17">
        <v>0.22156636913331415</v>
      </c>
    </row>
    <row r="18" spans="1:6" x14ac:dyDescent="0.25">
      <c r="A18" t="s">
        <v>99</v>
      </c>
      <c r="B18" t="s">
        <v>292</v>
      </c>
      <c r="C18">
        <v>3080000000</v>
      </c>
      <c r="D18">
        <v>155000000</v>
      </c>
      <c r="E18">
        <v>754000000</v>
      </c>
      <c r="F18">
        <v>0.29772727272727273</v>
      </c>
    </row>
    <row r="19" spans="1:6" x14ac:dyDescent="0.25">
      <c r="A19" t="s">
        <v>99</v>
      </c>
      <c r="B19" t="s">
        <v>293</v>
      </c>
      <c r="C19">
        <v>7813000000</v>
      </c>
      <c r="D19">
        <v>344000000</v>
      </c>
      <c r="E19">
        <v>2952000000</v>
      </c>
      <c r="F19">
        <v>0.23614488672724945</v>
      </c>
    </row>
    <row r="20" spans="1:6" x14ac:dyDescent="0.25">
      <c r="A20" t="s">
        <v>99</v>
      </c>
      <c r="B20" t="s">
        <v>294</v>
      </c>
      <c r="C20">
        <v>4799000000</v>
      </c>
      <c r="D20">
        <v>241000000</v>
      </c>
      <c r="E20">
        <v>1415000000</v>
      </c>
      <c r="F20">
        <v>0.19733277766201293</v>
      </c>
    </row>
    <row r="21" spans="1:6" x14ac:dyDescent="0.25">
      <c r="A21" t="s">
        <v>99</v>
      </c>
      <c r="B21" t="s">
        <v>295</v>
      </c>
    </row>
    <row r="22" spans="1:6" x14ac:dyDescent="0.25">
      <c r="A22" t="s">
        <v>99</v>
      </c>
      <c r="B22" t="s">
        <v>296</v>
      </c>
      <c r="C22">
        <v>9511000000</v>
      </c>
      <c r="D22">
        <v>397000000</v>
      </c>
      <c r="E22">
        <v>2448000000</v>
      </c>
      <c r="F22">
        <v>0.37588055935232889</v>
      </c>
    </row>
    <row r="23" spans="1:6" x14ac:dyDescent="0.25">
      <c r="A23" t="s">
        <v>99</v>
      </c>
      <c r="B23" t="s">
        <v>297</v>
      </c>
      <c r="C23">
        <v>6330000000</v>
      </c>
      <c r="D23">
        <v>247000000</v>
      </c>
      <c r="E23">
        <v>2111000000</v>
      </c>
      <c r="F23">
        <v>0.37045813586097948</v>
      </c>
    </row>
    <row r="24" spans="1:6" x14ac:dyDescent="0.25">
      <c r="A24" t="s">
        <v>99</v>
      </c>
      <c r="B24" t="s">
        <v>298</v>
      </c>
      <c r="C24">
        <v>3207000000</v>
      </c>
      <c r="D24">
        <v>118000000</v>
      </c>
      <c r="E24">
        <v>1327000000</v>
      </c>
      <c r="F24">
        <v>0.38790146554412225</v>
      </c>
    </row>
    <row r="25" spans="1:6" x14ac:dyDescent="0.25">
      <c r="A25" t="s">
        <v>99</v>
      </c>
      <c r="B25" t="s">
        <v>299</v>
      </c>
      <c r="C25">
        <v>6803000000</v>
      </c>
      <c r="D25">
        <v>177000000</v>
      </c>
      <c r="E25">
        <v>1967000000</v>
      </c>
      <c r="F25">
        <v>0.28340438042040278</v>
      </c>
    </row>
    <row r="26" spans="1:6" x14ac:dyDescent="0.25">
      <c r="A26" t="s">
        <v>99</v>
      </c>
      <c r="B26" t="s">
        <v>300</v>
      </c>
      <c r="C26">
        <v>4167000000</v>
      </c>
      <c r="D26">
        <v>108000000</v>
      </c>
      <c r="E26">
        <v>879000000</v>
      </c>
      <c r="F26">
        <v>0.26181905447564197</v>
      </c>
    </row>
    <row r="27" spans="1:6" x14ac:dyDescent="0.25">
      <c r="A27" t="s">
        <v>99</v>
      </c>
      <c r="B27" t="s">
        <v>301</v>
      </c>
      <c r="C27">
        <v>1937000000</v>
      </c>
      <c r="D27">
        <v>54000000</v>
      </c>
      <c r="E27">
        <v>228000000</v>
      </c>
      <c r="F27">
        <v>0.26174496644295303</v>
      </c>
    </row>
    <row r="28" spans="1:6" x14ac:dyDescent="0.25">
      <c r="A28" t="s">
        <v>99</v>
      </c>
      <c r="B28" t="s">
        <v>302</v>
      </c>
      <c r="C28">
        <v>4737000000</v>
      </c>
      <c r="D28">
        <v>125000000</v>
      </c>
      <c r="E28">
        <v>826000000</v>
      </c>
      <c r="F28">
        <v>0.21363732320033776</v>
      </c>
    </row>
    <row r="29" spans="1:6" x14ac:dyDescent="0.25">
      <c r="A29" t="s">
        <v>99</v>
      </c>
      <c r="B29" t="s">
        <v>303</v>
      </c>
      <c r="C29">
        <v>2733000000</v>
      </c>
      <c r="D29">
        <v>87000000</v>
      </c>
      <c r="E29">
        <v>406000000</v>
      </c>
      <c r="F29">
        <v>0.16428832784485914</v>
      </c>
    </row>
    <row r="30" spans="1:6" x14ac:dyDescent="0.25">
      <c r="A30" t="s">
        <v>99</v>
      </c>
      <c r="B30" t="s">
        <v>304</v>
      </c>
      <c r="C30">
        <v>1305000000</v>
      </c>
      <c r="D30">
        <v>55000000</v>
      </c>
      <c r="E30">
        <v>254000000</v>
      </c>
      <c r="F30">
        <v>0.15019157088122606</v>
      </c>
    </row>
    <row r="31" spans="1:6" x14ac:dyDescent="0.25">
      <c r="A31" t="s">
        <v>99</v>
      </c>
      <c r="B31" t="s">
        <v>305</v>
      </c>
      <c r="C31">
        <v>3609000000</v>
      </c>
      <c r="D31">
        <v>71000000</v>
      </c>
      <c r="E31">
        <v>593000000</v>
      </c>
      <c r="F31">
        <v>0.11249653643668606</v>
      </c>
    </row>
    <row r="32" spans="1:6" x14ac:dyDescent="0.25">
      <c r="A32" t="s">
        <v>99</v>
      </c>
      <c r="B32" t="s">
        <v>306</v>
      </c>
      <c r="C32">
        <v>2304000000</v>
      </c>
      <c r="D32">
        <v>54000000</v>
      </c>
      <c r="E32">
        <v>355000000</v>
      </c>
      <c r="F32">
        <v>6.9444444444444448E-2</v>
      </c>
    </row>
    <row r="33" spans="1:6" x14ac:dyDescent="0.25">
      <c r="A33" t="s">
        <v>99</v>
      </c>
      <c r="B33" t="s">
        <v>307</v>
      </c>
      <c r="C33">
        <v>1151000000</v>
      </c>
      <c r="D33">
        <v>30000000</v>
      </c>
      <c r="E33">
        <v>216000000</v>
      </c>
      <c r="F33">
        <v>0.11642050390964379</v>
      </c>
    </row>
    <row r="34" spans="1:6" x14ac:dyDescent="0.25">
      <c r="A34" t="s">
        <v>99</v>
      </c>
      <c r="B34" t="s">
        <v>308</v>
      </c>
      <c r="C34">
        <v>3430993000</v>
      </c>
      <c r="D34">
        <v>91336000</v>
      </c>
      <c r="E34">
        <v>371591000</v>
      </c>
      <c r="F34">
        <v>0.12750215462404033</v>
      </c>
    </row>
    <row r="35" spans="1:6" x14ac:dyDescent="0.25">
      <c r="A35" t="s">
        <v>99</v>
      </c>
      <c r="B35" t="s">
        <v>309</v>
      </c>
      <c r="C35">
        <v>2205611000</v>
      </c>
      <c r="D35">
        <v>51595000</v>
      </c>
      <c r="E35">
        <v>195709000</v>
      </c>
      <c r="F35">
        <v>0.11991779148725681</v>
      </c>
    </row>
    <row r="36" spans="1:6" x14ac:dyDescent="0.25">
      <c r="A36" t="s">
        <v>99</v>
      </c>
      <c r="B36" t="s">
        <v>310</v>
      </c>
      <c r="C36">
        <v>1102787000</v>
      </c>
      <c r="D36">
        <v>29068000</v>
      </c>
      <c r="E36">
        <v>121954000</v>
      </c>
      <c r="F36">
        <v>0.12379181111130255</v>
      </c>
    </row>
    <row r="37" spans="1:6" x14ac:dyDescent="0.25">
      <c r="A37" t="s">
        <v>99</v>
      </c>
      <c r="B37" t="s">
        <v>311</v>
      </c>
      <c r="C37">
        <v>2985944000</v>
      </c>
      <c r="D37">
        <v>188812000</v>
      </c>
      <c r="E37">
        <v>245622000</v>
      </c>
      <c r="F37">
        <v>9.8150869540754956E-2</v>
      </c>
    </row>
    <row r="38" spans="1:6" x14ac:dyDescent="0.25">
      <c r="A38" t="s">
        <v>99</v>
      </c>
      <c r="B38" t="s">
        <v>312</v>
      </c>
      <c r="C38">
        <v>1931977000</v>
      </c>
      <c r="D38">
        <v>150653000</v>
      </c>
      <c r="E38">
        <v>121466000</v>
      </c>
      <c r="F38">
        <v>9.0238651909417142E-2</v>
      </c>
    </row>
    <row r="39" spans="1:6" x14ac:dyDescent="0.25">
      <c r="A39" t="s">
        <v>99</v>
      </c>
      <c r="B39" t="s">
        <v>313</v>
      </c>
      <c r="C39">
        <v>954739000</v>
      </c>
      <c r="D39">
        <v>65667000</v>
      </c>
      <c r="E39">
        <v>109983000</v>
      </c>
      <c r="F39">
        <v>8.1583553201450873E-2</v>
      </c>
    </row>
    <row r="40" spans="1:6" x14ac:dyDescent="0.25">
      <c r="A40" t="s">
        <v>99</v>
      </c>
      <c r="B40" t="s">
        <v>314</v>
      </c>
    </row>
    <row r="41" spans="1:6" x14ac:dyDescent="0.25">
      <c r="A41" t="s">
        <v>99</v>
      </c>
      <c r="B41" t="s">
        <v>315</v>
      </c>
    </row>
    <row r="42" spans="1:6" x14ac:dyDescent="0.25">
      <c r="A42" t="s">
        <v>99</v>
      </c>
      <c r="B42" t="s">
        <v>316</v>
      </c>
    </row>
    <row r="43" spans="1:6" x14ac:dyDescent="0.25">
      <c r="A43" t="s">
        <v>99</v>
      </c>
      <c r="B43" t="s">
        <v>317</v>
      </c>
    </row>
    <row r="44" spans="1:6" x14ac:dyDescent="0.25">
      <c r="A44" t="s">
        <v>99</v>
      </c>
      <c r="B44" t="s">
        <v>318</v>
      </c>
    </row>
    <row r="45" spans="1:6" x14ac:dyDescent="0.25">
      <c r="A45" t="s">
        <v>99</v>
      </c>
      <c r="B45" t="s">
        <v>319</v>
      </c>
    </row>
    <row r="46" spans="1:6" x14ac:dyDescent="0.25">
      <c r="A46" t="s">
        <v>99</v>
      </c>
      <c r="B46" t="s">
        <v>320</v>
      </c>
    </row>
    <row r="47" spans="1:6" x14ac:dyDescent="0.25">
      <c r="A47" t="s">
        <v>99</v>
      </c>
      <c r="B47" t="s">
        <v>321</v>
      </c>
    </row>
    <row r="48" spans="1:6" x14ac:dyDescent="0.25">
      <c r="A48" t="s">
        <v>99</v>
      </c>
      <c r="B48" t="s">
        <v>322</v>
      </c>
      <c r="C48">
        <v>1001813000</v>
      </c>
      <c r="F48">
        <v>0.13734499352673601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49"/>
  <sheetViews>
    <sheetView workbookViewId="0">
      <selection activeCell="I36" sqref="I36"/>
    </sheetView>
  </sheetViews>
  <sheetFormatPr defaultColWidth="9" defaultRowHeight="14.4" x14ac:dyDescent="0.25"/>
  <cols>
    <col min="1" max="1" width="10.44140625" bestFit="1" customWidth="1"/>
    <col min="2" max="2" width="21.5546875" bestFit="1" customWidth="1"/>
    <col min="3" max="4" width="12.77734375" bestFit="1" customWidth="1"/>
    <col min="5" max="5" width="20" bestFit="1" customWidth="1"/>
    <col min="6" max="6" width="23.6640625" bestFit="1" customWidth="1"/>
  </cols>
  <sheetData>
    <row r="1" spans="1:6" x14ac:dyDescent="0.25">
      <c r="A1" t="s">
        <v>200</v>
      </c>
      <c r="B1" t="s">
        <v>201</v>
      </c>
      <c r="C1" t="s">
        <v>202</v>
      </c>
      <c r="D1" t="s">
        <v>203</v>
      </c>
      <c r="E1" t="s">
        <v>204</v>
      </c>
      <c r="F1" t="s">
        <v>205</v>
      </c>
    </row>
    <row r="2" spans="1:6" x14ac:dyDescent="0.25">
      <c r="A2" t="s">
        <v>95</v>
      </c>
      <c r="B2" t="s">
        <v>323</v>
      </c>
      <c r="C2">
        <v>143756000000</v>
      </c>
      <c r="D2">
        <v>2373000000</v>
      </c>
      <c r="E2">
        <v>51552000000</v>
      </c>
      <c r="F2">
        <v>0.29283647291243498</v>
      </c>
    </row>
    <row r="3" spans="1:6" x14ac:dyDescent="0.25">
      <c r="A3" t="s">
        <v>95</v>
      </c>
      <c r="B3" t="s">
        <v>324</v>
      </c>
      <c r="C3">
        <v>313695000000</v>
      </c>
      <c r="D3">
        <v>9473000000</v>
      </c>
      <c r="E3">
        <v>72281000000</v>
      </c>
      <c r="F3">
        <v>0.26951019302188434</v>
      </c>
    </row>
    <row r="4" spans="1:6" x14ac:dyDescent="0.25">
      <c r="A4" t="s">
        <v>95</v>
      </c>
      <c r="B4" t="s">
        <v>325</v>
      </c>
      <c r="C4">
        <v>219659000000</v>
      </c>
      <c r="D4">
        <v>6011000000</v>
      </c>
      <c r="E4">
        <v>47876000000</v>
      </c>
      <c r="F4">
        <v>0.27820394338497401</v>
      </c>
    </row>
    <row r="5" spans="1:6" x14ac:dyDescent="0.25">
      <c r="A5" t="s">
        <v>95</v>
      </c>
      <c r="B5" t="s">
        <v>326</v>
      </c>
      <c r="C5">
        <v>124300000000</v>
      </c>
      <c r="D5">
        <v>2940000000</v>
      </c>
      <c r="E5">
        <v>26995000000</v>
      </c>
      <c r="F5">
        <v>0.29227674979887369</v>
      </c>
    </row>
    <row r="6" spans="1:6" x14ac:dyDescent="0.25">
      <c r="A6" t="s">
        <v>95</v>
      </c>
      <c r="B6" t="s">
        <v>327</v>
      </c>
      <c r="C6">
        <v>296105000000</v>
      </c>
      <c r="D6">
        <v>6539000000</v>
      </c>
      <c r="E6">
        <v>84904000000</v>
      </c>
      <c r="F6">
        <v>0.26679725097516083</v>
      </c>
    </row>
    <row r="7" spans="1:6" x14ac:dyDescent="0.25">
      <c r="A7" t="s">
        <v>95</v>
      </c>
      <c r="B7" t="s">
        <v>328</v>
      </c>
      <c r="C7">
        <v>210328000000</v>
      </c>
      <c r="D7">
        <v>4388000000</v>
      </c>
      <c r="E7">
        <v>58197000000</v>
      </c>
      <c r="F7">
        <v>0.27362975923319766</v>
      </c>
    </row>
    <row r="8" spans="1:6" x14ac:dyDescent="0.25">
      <c r="A8" t="s">
        <v>95</v>
      </c>
      <c r="B8" t="s">
        <v>329</v>
      </c>
      <c r="C8">
        <v>119575000000</v>
      </c>
      <c r="D8">
        <v>2392000000</v>
      </c>
      <c r="E8">
        <v>37503000000</v>
      </c>
      <c r="F8">
        <v>0.28363788417311309</v>
      </c>
    </row>
    <row r="9" spans="1:6" x14ac:dyDescent="0.25">
      <c r="A9" t="s">
        <v>95</v>
      </c>
      <c r="B9" t="s">
        <v>330</v>
      </c>
      <c r="C9">
        <v>293787000000</v>
      </c>
      <c r="D9">
        <v>8796000000</v>
      </c>
      <c r="E9">
        <v>80149000000</v>
      </c>
      <c r="F9">
        <v>0.25201591629309672</v>
      </c>
    </row>
    <row r="10" spans="1:6" x14ac:dyDescent="0.25">
      <c r="A10" t="s">
        <v>95</v>
      </c>
      <c r="B10" t="s">
        <v>331</v>
      </c>
      <c r="C10">
        <v>211990000000</v>
      </c>
      <c r="D10">
        <v>6703000000</v>
      </c>
      <c r="E10">
        <v>55862000000</v>
      </c>
      <c r="F10">
        <v>0.25547431482617106</v>
      </c>
    </row>
    <row r="11" spans="1:6" x14ac:dyDescent="0.25">
      <c r="A11" t="s">
        <v>95</v>
      </c>
      <c r="B11" t="s">
        <v>264</v>
      </c>
      <c r="C11">
        <v>117154000000</v>
      </c>
      <c r="D11">
        <v>3787000000</v>
      </c>
      <c r="E11">
        <v>30218000000</v>
      </c>
      <c r="F11">
        <v>0.2560561312460522</v>
      </c>
    </row>
    <row r="12" spans="1:6" x14ac:dyDescent="0.25">
      <c r="A12" t="s">
        <v>95</v>
      </c>
      <c r="B12" t="s">
        <v>332</v>
      </c>
      <c r="C12">
        <v>304182000000</v>
      </c>
      <c r="D12">
        <v>7419000000</v>
      </c>
      <c r="E12">
        <v>90605000000</v>
      </c>
      <c r="F12">
        <v>0.25998251047070503</v>
      </c>
    </row>
    <row r="13" spans="1:6" x14ac:dyDescent="0.25">
      <c r="A13" t="s">
        <v>95</v>
      </c>
      <c r="B13" t="s">
        <v>333</v>
      </c>
      <c r="C13">
        <v>221223000000</v>
      </c>
      <c r="D13">
        <v>5317000000</v>
      </c>
      <c r="E13">
        <v>69815000000</v>
      </c>
      <c r="F13">
        <v>0.26959222142363137</v>
      </c>
    </row>
    <row r="14" spans="1:6" x14ac:dyDescent="0.25">
      <c r="A14" t="s">
        <v>95</v>
      </c>
      <c r="B14" t="s">
        <v>334</v>
      </c>
      <c r="C14">
        <v>123945000000</v>
      </c>
      <c r="D14">
        <v>2803000000</v>
      </c>
      <c r="E14">
        <v>44163000000</v>
      </c>
      <c r="F14">
        <v>0.27939812013393039</v>
      </c>
    </row>
    <row r="15" spans="1:6" x14ac:dyDescent="0.25">
      <c r="A15" t="s">
        <v>95</v>
      </c>
      <c r="B15" t="s">
        <v>335</v>
      </c>
      <c r="C15">
        <v>282457000000</v>
      </c>
      <c r="D15">
        <v>7862000000</v>
      </c>
      <c r="E15">
        <v>75976000000</v>
      </c>
      <c r="F15">
        <v>0.26244348697323838</v>
      </c>
    </row>
    <row r="16" spans="1:6" x14ac:dyDescent="0.25">
      <c r="A16" t="s">
        <v>95</v>
      </c>
      <c r="B16" t="s">
        <v>336</v>
      </c>
      <c r="C16">
        <v>201023000000</v>
      </c>
      <c r="D16">
        <v>5769000000</v>
      </c>
      <c r="E16">
        <v>56975000000</v>
      </c>
      <c r="F16">
        <v>0.26059207155400127</v>
      </c>
    </row>
    <row r="17" spans="1:6" x14ac:dyDescent="0.25">
      <c r="A17" t="s">
        <v>95</v>
      </c>
      <c r="B17" t="s">
        <v>337</v>
      </c>
      <c r="C17">
        <v>111439000000</v>
      </c>
      <c r="D17">
        <v>3500000000</v>
      </c>
      <c r="E17">
        <v>35263000000</v>
      </c>
      <c r="F17">
        <v>0.25803354301456405</v>
      </c>
    </row>
    <row r="18" spans="1:6" x14ac:dyDescent="0.25">
      <c r="A18" t="s">
        <v>95</v>
      </c>
      <c r="B18" t="s">
        <v>338</v>
      </c>
      <c r="C18">
        <v>209817000000</v>
      </c>
      <c r="D18">
        <v>5525000000</v>
      </c>
      <c r="E18">
        <v>54573000000</v>
      </c>
      <c r="F18">
        <v>0.21322390464071073</v>
      </c>
    </row>
    <row r="19" spans="1:6" x14ac:dyDescent="0.25">
      <c r="A19" t="s">
        <v>95</v>
      </c>
      <c r="B19" t="s">
        <v>339</v>
      </c>
      <c r="C19">
        <v>150132000000</v>
      </c>
      <c r="D19">
        <v>3960000000</v>
      </c>
      <c r="E19">
        <v>39867000000</v>
      </c>
      <c r="F19">
        <v>0.22303706071989982</v>
      </c>
    </row>
    <row r="20" spans="1:6" x14ac:dyDescent="0.25">
      <c r="A20" t="s">
        <v>95</v>
      </c>
      <c r="B20" t="s">
        <v>340</v>
      </c>
      <c r="C20">
        <v>91819000000</v>
      </c>
      <c r="D20">
        <v>2107000000</v>
      </c>
      <c r="E20">
        <v>28409000000</v>
      </c>
      <c r="F20">
        <v>0.2421720994565395</v>
      </c>
    </row>
    <row r="21" spans="1:6" x14ac:dyDescent="0.25">
      <c r="A21" t="s">
        <v>95</v>
      </c>
      <c r="B21" t="s">
        <v>341</v>
      </c>
      <c r="C21">
        <v>196134000000</v>
      </c>
      <c r="D21">
        <v>7718000000</v>
      </c>
      <c r="E21">
        <v>41763000000</v>
      </c>
      <c r="F21">
        <v>0.2119469342388367</v>
      </c>
    </row>
    <row r="22" spans="1:6" x14ac:dyDescent="0.25">
      <c r="A22" t="s">
        <v>95</v>
      </c>
      <c r="B22" t="s">
        <v>342</v>
      </c>
      <c r="C22">
        <v>142325000000</v>
      </c>
      <c r="D22">
        <v>5718000000</v>
      </c>
      <c r="E22">
        <v>32127000000</v>
      </c>
      <c r="F22">
        <v>0.2215071139996487</v>
      </c>
    </row>
    <row r="23" spans="1:6" x14ac:dyDescent="0.25">
      <c r="A23" t="s">
        <v>95</v>
      </c>
      <c r="B23" t="s">
        <v>343</v>
      </c>
      <c r="C23">
        <v>84310000000</v>
      </c>
      <c r="D23">
        <v>3355000000</v>
      </c>
      <c r="E23">
        <v>23335000000</v>
      </c>
      <c r="F23">
        <v>0.23680464950776894</v>
      </c>
    </row>
    <row r="24" spans="1:6" x14ac:dyDescent="0.25">
      <c r="A24" t="s">
        <v>95</v>
      </c>
      <c r="B24" t="s">
        <v>236</v>
      </c>
      <c r="C24">
        <v>202695000000</v>
      </c>
      <c r="D24">
        <v>10272000000</v>
      </c>
      <c r="E24">
        <v>47639000000</v>
      </c>
      <c r="F24">
        <v>0.22401144576827253</v>
      </c>
    </row>
    <row r="25" spans="1:6" x14ac:dyDescent="0.25">
      <c r="A25" t="s">
        <v>95</v>
      </c>
      <c r="B25" t="s">
        <v>237</v>
      </c>
      <c r="C25">
        <v>149430000000</v>
      </c>
      <c r="D25">
        <v>7005000000</v>
      </c>
      <c r="E25">
        <v>36418000000</v>
      </c>
      <c r="F25">
        <v>0.22677507863213545</v>
      </c>
    </row>
    <row r="26" spans="1:6" x14ac:dyDescent="0.25">
      <c r="A26" t="s">
        <v>95</v>
      </c>
      <c r="B26" t="s">
        <v>344</v>
      </c>
      <c r="C26">
        <v>88293000000</v>
      </c>
      <c r="D26">
        <v>2810000000</v>
      </c>
      <c r="E26">
        <v>25483000000</v>
      </c>
      <c r="F26">
        <v>0.22725470875380835</v>
      </c>
    </row>
    <row r="27" spans="1:6" x14ac:dyDescent="0.25">
      <c r="A27" t="s">
        <v>95</v>
      </c>
      <c r="B27" t="s">
        <v>345</v>
      </c>
      <c r="C27">
        <v>176655000000</v>
      </c>
      <c r="D27">
        <v>8586000000</v>
      </c>
      <c r="E27">
        <v>39356000000</v>
      </c>
      <c r="F27">
        <v>0.21305369222495826</v>
      </c>
    </row>
    <row r="28" spans="1:6" x14ac:dyDescent="0.25">
      <c r="A28" t="s">
        <v>95</v>
      </c>
      <c r="B28" t="s">
        <v>346</v>
      </c>
      <c r="C28">
        <v>131247000000</v>
      </c>
      <c r="D28">
        <v>6309000000</v>
      </c>
      <c r="E28">
        <v>33270000000</v>
      </c>
      <c r="F28">
        <v>0.22034789366614094</v>
      </c>
    </row>
    <row r="29" spans="1:6" x14ac:dyDescent="0.25">
      <c r="A29" t="s">
        <v>95</v>
      </c>
      <c r="B29" t="s">
        <v>270</v>
      </c>
      <c r="C29">
        <v>78351000000</v>
      </c>
      <c r="D29">
        <v>3334000000</v>
      </c>
      <c r="F29">
        <v>0.22834424576584855</v>
      </c>
    </row>
    <row r="30" spans="1:6" x14ac:dyDescent="0.25">
      <c r="A30" t="s">
        <v>95</v>
      </c>
      <c r="B30" t="s">
        <v>347</v>
      </c>
      <c r="C30">
        <v>168787000000</v>
      </c>
      <c r="D30">
        <v>8757000000</v>
      </c>
      <c r="F30">
        <v>0.21727384217978873</v>
      </c>
    </row>
    <row r="31" spans="1:6" x14ac:dyDescent="0.25">
      <c r="A31" t="s">
        <v>95</v>
      </c>
      <c r="B31" t="s">
        <v>348</v>
      </c>
      <c r="C31">
        <v>126429000000</v>
      </c>
      <c r="D31">
        <v>5948000000</v>
      </c>
      <c r="F31">
        <v>0.228404875463699</v>
      </c>
    </row>
    <row r="32" spans="1:6" x14ac:dyDescent="0.25">
      <c r="A32" t="s">
        <v>95</v>
      </c>
      <c r="B32" t="s">
        <v>349</v>
      </c>
      <c r="C32">
        <v>75872000000</v>
      </c>
      <c r="D32">
        <v>3612000000</v>
      </c>
      <c r="F32">
        <v>0.24199968367777308</v>
      </c>
    </row>
    <row r="33" spans="1:6" x14ac:dyDescent="0.25">
      <c r="A33" t="s">
        <v>95</v>
      </c>
      <c r="B33" t="s">
        <v>350</v>
      </c>
      <c r="C33">
        <v>182214000000</v>
      </c>
      <c r="D33">
        <v>7629000000</v>
      </c>
      <c r="F33">
        <v>0.23197997958444466</v>
      </c>
    </row>
    <row r="34" spans="1:6" x14ac:dyDescent="0.25">
      <c r="A34" t="s">
        <v>95</v>
      </c>
      <c r="B34" t="s">
        <v>351</v>
      </c>
      <c r="C34">
        <v>132609000000</v>
      </c>
      <c r="D34">
        <v>5586000000</v>
      </c>
      <c r="F34">
        <v>0.23824174829762687</v>
      </c>
    </row>
    <row r="35" spans="1:6" x14ac:dyDescent="0.25">
      <c r="A35" t="s">
        <v>95</v>
      </c>
      <c r="B35" t="s">
        <v>352</v>
      </c>
      <c r="C35">
        <v>74599000000</v>
      </c>
      <c r="D35">
        <v>3217000000</v>
      </c>
      <c r="F35">
        <v>0.24161181785278624</v>
      </c>
    </row>
    <row r="36" spans="1:6" x14ac:dyDescent="0.25">
      <c r="A36" t="s">
        <v>95</v>
      </c>
      <c r="B36" t="s">
        <v>353</v>
      </c>
      <c r="C36">
        <v>140672000000</v>
      </c>
      <c r="D36">
        <v>5745000000</v>
      </c>
      <c r="F36">
        <v>0.22067646724294812</v>
      </c>
    </row>
    <row r="37" spans="1:6" x14ac:dyDescent="0.25">
      <c r="A37" t="s">
        <v>95</v>
      </c>
      <c r="B37" t="s">
        <v>354</v>
      </c>
      <c r="C37">
        <v>103240000000</v>
      </c>
      <c r="D37">
        <v>3367000000</v>
      </c>
      <c r="F37">
        <v>0.22563928709802403</v>
      </c>
    </row>
    <row r="38" spans="1:6" x14ac:dyDescent="0.25">
      <c r="A38" t="s">
        <v>95</v>
      </c>
      <c r="B38" t="s">
        <v>355</v>
      </c>
      <c r="C38">
        <v>57594000000</v>
      </c>
      <c r="D38">
        <v>1985000000</v>
      </c>
      <c r="E38">
        <v>20685000000</v>
      </c>
      <c r="F38">
        <v>0.2269680869535021</v>
      </c>
    </row>
    <row r="39" spans="1:6" x14ac:dyDescent="0.25">
      <c r="A39" t="s">
        <v>95</v>
      </c>
      <c r="B39" t="s">
        <v>356</v>
      </c>
      <c r="C39">
        <v>133438000000</v>
      </c>
      <c r="D39">
        <v>6210000000</v>
      </c>
      <c r="E39">
        <v>37548000000</v>
      </c>
      <c r="F39">
        <v>0.22126380791079003</v>
      </c>
    </row>
    <row r="40" spans="1:6" x14ac:dyDescent="0.25">
      <c r="A40" t="s">
        <v>95</v>
      </c>
      <c r="B40" t="s">
        <v>357</v>
      </c>
      <c r="C40">
        <v>98115000000</v>
      </c>
      <c r="D40">
        <v>4325000000</v>
      </c>
      <c r="E40">
        <v>31605000000</v>
      </c>
      <c r="F40">
        <v>0.23059674871324465</v>
      </c>
    </row>
    <row r="41" spans="1:6" x14ac:dyDescent="0.25">
      <c r="A41" t="s">
        <v>95</v>
      </c>
      <c r="B41" t="s">
        <v>358</v>
      </c>
      <c r="C41">
        <v>54512000000</v>
      </c>
      <c r="D41">
        <v>2317000000</v>
      </c>
      <c r="E41">
        <v>21109000000</v>
      </c>
      <c r="F41">
        <v>0.23991047842676841</v>
      </c>
    </row>
    <row r="42" spans="1:6" x14ac:dyDescent="0.25">
      <c r="A42" t="s">
        <v>95</v>
      </c>
      <c r="B42" t="s">
        <v>254</v>
      </c>
      <c r="C42">
        <v>120542000000</v>
      </c>
      <c r="D42">
        <v>4834000000</v>
      </c>
      <c r="E42">
        <v>36886000000</v>
      </c>
      <c r="F42">
        <v>0.27799439199615072</v>
      </c>
    </row>
    <row r="43" spans="1:6" x14ac:dyDescent="0.25">
      <c r="A43" t="s">
        <v>95</v>
      </c>
      <c r="B43" t="s">
        <v>255</v>
      </c>
      <c r="C43">
        <v>85519000000</v>
      </c>
      <c r="D43">
        <v>2778000000</v>
      </c>
      <c r="E43">
        <v>28753000000</v>
      </c>
      <c r="F43">
        <v>0.28866099931009481</v>
      </c>
    </row>
    <row r="44" spans="1:6" x14ac:dyDescent="0.25">
      <c r="A44" t="s">
        <v>95</v>
      </c>
      <c r="B44" t="s">
        <v>359</v>
      </c>
      <c r="C44">
        <v>46333000000</v>
      </c>
      <c r="D44">
        <v>1321000000</v>
      </c>
      <c r="E44">
        <v>16233000000</v>
      </c>
      <c r="F44">
        <v>0.28195886301340295</v>
      </c>
    </row>
    <row r="45" spans="1:6" x14ac:dyDescent="0.25">
      <c r="A45" t="s">
        <v>95</v>
      </c>
      <c r="B45" t="s">
        <v>360</v>
      </c>
      <c r="C45">
        <v>79979000000</v>
      </c>
      <c r="D45">
        <v>2615000000</v>
      </c>
      <c r="E45">
        <v>24485000000</v>
      </c>
      <c r="F45">
        <v>0.2413008414708861</v>
      </c>
    </row>
    <row r="46" spans="1:6" x14ac:dyDescent="0.25">
      <c r="A46" t="s">
        <v>95</v>
      </c>
      <c r="B46" t="s">
        <v>361</v>
      </c>
      <c r="C46">
        <v>51408000000</v>
      </c>
      <c r="D46">
        <v>1838000000</v>
      </c>
      <c r="E46">
        <v>14154000000</v>
      </c>
      <c r="F46">
        <v>0.23325163398692811</v>
      </c>
    </row>
    <row r="47" spans="1:6" x14ac:dyDescent="0.25">
      <c r="A47" t="s">
        <v>95</v>
      </c>
      <c r="B47" t="s">
        <v>362</v>
      </c>
      <c r="C47">
        <v>26741000000</v>
      </c>
      <c r="D47">
        <v>1214000000</v>
      </c>
      <c r="E47">
        <v>8559000000</v>
      </c>
      <c r="F47">
        <v>0.22452413896264165</v>
      </c>
    </row>
    <row r="48" spans="1:6" x14ac:dyDescent="0.25">
      <c r="A48" t="s">
        <v>95</v>
      </c>
      <c r="B48" t="s">
        <v>363</v>
      </c>
      <c r="C48">
        <v>44882000000</v>
      </c>
      <c r="D48">
        <v>1245000000</v>
      </c>
      <c r="E48">
        <v>11667000000</v>
      </c>
      <c r="F48">
        <v>0.21623367942605054</v>
      </c>
    </row>
    <row r="49" spans="1:6" x14ac:dyDescent="0.25">
      <c r="A49" t="s">
        <v>95</v>
      </c>
      <c r="B49" t="s">
        <v>364</v>
      </c>
      <c r="C49">
        <v>29182000000</v>
      </c>
      <c r="D49">
        <v>650000000</v>
      </c>
      <c r="E49">
        <v>7461000000</v>
      </c>
      <c r="F49">
        <v>0.22109519566856281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5"/>
  <sheetViews>
    <sheetView workbookViewId="0">
      <selection activeCell="G34" sqref="G34"/>
    </sheetView>
  </sheetViews>
  <sheetFormatPr defaultColWidth="9" defaultRowHeight="14.4" x14ac:dyDescent="0.25"/>
  <cols>
    <col min="1" max="1" width="10.44140625" bestFit="1" customWidth="1"/>
    <col min="2" max="2" width="11.6640625" bestFit="1" customWidth="1"/>
    <col min="3" max="3" width="15.109375" bestFit="1" customWidth="1"/>
    <col min="4" max="5" width="17.5546875" bestFit="1" customWidth="1"/>
  </cols>
  <sheetData>
    <row r="1" spans="1:5" x14ac:dyDescent="0.25">
      <c r="A1" t="s">
        <v>200</v>
      </c>
      <c r="B1" t="s">
        <v>201</v>
      </c>
      <c r="C1" t="s">
        <v>207</v>
      </c>
      <c r="D1" t="s">
        <v>208</v>
      </c>
      <c r="E1" t="s">
        <v>209</v>
      </c>
    </row>
    <row r="2" spans="1:5" x14ac:dyDescent="0.25">
      <c r="A2" t="s">
        <v>99</v>
      </c>
      <c r="B2" t="s">
        <v>210</v>
      </c>
      <c r="C2">
        <v>1.3</v>
      </c>
      <c r="D2">
        <v>1.2746</v>
      </c>
      <c r="E2">
        <v>1.9927999999999999</v>
      </c>
    </row>
    <row r="3" spans="1:5" x14ac:dyDescent="0.25">
      <c r="A3" t="s">
        <v>99</v>
      </c>
      <c r="B3" t="s">
        <v>211</v>
      </c>
      <c r="C3">
        <v>1.05</v>
      </c>
      <c r="D3">
        <v>1.0281</v>
      </c>
      <c r="E3">
        <v>2.1301000000000001</v>
      </c>
    </row>
    <row r="4" spans="1:5" x14ac:dyDescent="0.25">
      <c r="A4" t="s">
        <v>99</v>
      </c>
      <c r="B4" t="s">
        <v>212</v>
      </c>
      <c r="C4">
        <v>0.96</v>
      </c>
      <c r="D4">
        <v>0.95209999999999995</v>
      </c>
      <c r="E4">
        <v>0.82969999999999999</v>
      </c>
    </row>
    <row r="5" spans="1:5" x14ac:dyDescent="0.25">
      <c r="A5" t="s">
        <v>99</v>
      </c>
      <c r="B5" t="s">
        <v>213</v>
      </c>
      <c r="C5">
        <v>0.89</v>
      </c>
      <c r="D5">
        <v>0.86050000000000004</v>
      </c>
      <c r="E5">
        <v>3.4281999999999999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11"/>
  <sheetViews>
    <sheetView workbookViewId="0">
      <selection activeCell="B2" sqref="B2"/>
    </sheetView>
  </sheetViews>
  <sheetFormatPr defaultColWidth="9" defaultRowHeight="14.4" x14ac:dyDescent="0.25"/>
  <cols>
    <col min="1" max="1" width="22" customWidth="1"/>
    <col min="2" max="2" width="60" customWidth="1"/>
  </cols>
  <sheetData>
    <row r="1" spans="1:2" x14ac:dyDescent="0.25">
      <c r="A1" s="2" t="s">
        <v>365</v>
      </c>
    </row>
    <row r="2" spans="1:2" x14ac:dyDescent="0.25">
      <c r="A2" s="2" t="s">
        <v>366</v>
      </c>
      <c r="B2" t="s">
        <v>367</v>
      </c>
    </row>
    <row r="4" spans="1:2" x14ac:dyDescent="0.25">
      <c r="A4" s="2" t="s">
        <v>368</v>
      </c>
    </row>
    <row r="5" spans="1:2" x14ac:dyDescent="0.25">
      <c r="A5" t="s">
        <v>95</v>
      </c>
    </row>
    <row r="6" spans="1:2" x14ac:dyDescent="0.25">
      <c r="A6" t="s">
        <v>97</v>
      </c>
    </row>
    <row r="7" spans="1:2" x14ac:dyDescent="0.25">
      <c r="A7" t="s">
        <v>99</v>
      </c>
    </row>
    <row r="8" spans="1:2" x14ac:dyDescent="0.25">
      <c r="A8" t="s">
        <v>101</v>
      </c>
    </row>
    <row r="9" spans="1:2" x14ac:dyDescent="0.25">
      <c r="A9" t="s">
        <v>103</v>
      </c>
    </row>
    <row r="10" spans="1:2" x14ac:dyDescent="0.25">
      <c r="A10" t="s">
        <v>105</v>
      </c>
    </row>
    <row r="11" spans="1:2" x14ac:dyDescent="0.25">
      <c r="A11" t="s">
        <v>107</v>
      </c>
    </row>
  </sheetData>
  <phoneticPr fontId="9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1536"/>
  <sheetViews>
    <sheetView workbookViewId="0">
      <selection activeCell="A1502" sqref="A1502:A1526"/>
    </sheetView>
  </sheetViews>
  <sheetFormatPr defaultColWidth="9" defaultRowHeight="14.4" x14ac:dyDescent="0.25"/>
  <cols>
    <col min="1" max="1" width="11.6640625" bestFit="1" customWidth="1"/>
    <col min="2" max="2" width="9.33203125" bestFit="1" customWidth="1"/>
  </cols>
  <sheetData>
    <row r="1" spans="1:2" x14ac:dyDescent="0.25">
      <c r="A1" t="s">
        <v>145</v>
      </c>
      <c r="B1" t="s">
        <v>146</v>
      </c>
    </row>
    <row r="2" spans="1:2" x14ac:dyDescent="0.25">
      <c r="A2" s="1">
        <v>43832</v>
      </c>
      <c r="B2">
        <v>0.08</v>
      </c>
    </row>
    <row r="3" spans="1:2" x14ac:dyDescent="0.25">
      <c r="A3" s="1">
        <v>43833</v>
      </c>
      <c r="B3">
        <v>0.03</v>
      </c>
    </row>
    <row r="4" spans="1:2" x14ac:dyDescent="0.25">
      <c r="A4" s="1">
        <v>43836</v>
      </c>
      <c r="B4">
        <v>0.06</v>
      </c>
    </row>
    <row r="5" spans="1:2" x14ac:dyDescent="0.25">
      <c r="A5" s="1">
        <v>43837</v>
      </c>
      <c r="B5">
        <v>0.09</v>
      </c>
    </row>
    <row r="6" spans="1:2" x14ac:dyDescent="0.25">
      <c r="A6" s="1">
        <v>43838</v>
      </c>
      <c r="B6">
        <v>0.12</v>
      </c>
    </row>
    <row r="7" spans="1:2" x14ac:dyDescent="0.25">
      <c r="A7" s="1">
        <v>43839</v>
      </c>
      <c r="B7">
        <v>0.11</v>
      </c>
    </row>
    <row r="8" spans="1:2" x14ac:dyDescent="0.25">
      <c r="A8" s="1">
        <v>43840</v>
      </c>
      <c r="B8">
        <v>7.0000000000000007E-2</v>
      </c>
    </row>
    <row r="9" spans="1:2" x14ac:dyDescent="0.25">
      <c r="A9" s="1">
        <v>43843</v>
      </c>
      <c r="B9">
        <v>0.08</v>
      </c>
    </row>
    <row r="10" spans="1:2" x14ac:dyDescent="0.25">
      <c r="A10" s="1">
        <v>43844</v>
      </c>
      <c r="B10">
        <v>0.05</v>
      </c>
    </row>
    <row r="11" spans="1:2" x14ac:dyDescent="0.25">
      <c r="A11" s="1">
        <v>43845</v>
      </c>
      <c r="B11">
        <v>0.04</v>
      </c>
    </row>
    <row r="12" spans="1:2" x14ac:dyDescent="0.25">
      <c r="A12" s="1">
        <v>43846</v>
      </c>
      <c r="B12">
        <v>7.0000000000000007E-2</v>
      </c>
    </row>
    <row r="13" spans="1:2" x14ac:dyDescent="0.25">
      <c r="A13" s="1">
        <v>43847</v>
      </c>
      <c r="B13">
        <v>0.09</v>
      </c>
    </row>
    <row r="14" spans="1:2" x14ac:dyDescent="0.25">
      <c r="A14" s="1">
        <v>43851</v>
      </c>
      <c r="B14">
        <v>0.04</v>
      </c>
    </row>
    <row r="15" spans="1:2" x14ac:dyDescent="0.25">
      <c r="A15" s="1">
        <v>43852</v>
      </c>
      <c r="B15">
        <v>0.05</v>
      </c>
    </row>
    <row r="16" spans="1:2" x14ac:dyDescent="0.25">
      <c r="A16" s="1">
        <v>43853</v>
      </c>
      <c r="B16">
        <v>0.04</v>
      </c>
    </row>
    <row r="17" spans="1:2" x14ac:dyDescent="0.25">
      <c r="A17" s="1">
        <v>43854</v>
      </c>
      <c r="B17">
        <v>0.02</v>
      </c>
    </row>
    <row r="18" spans="1:2" x14ac:dyDescent="0.25">
      <c r="A18" s="1">
        <v>43857</v>
      </c>
      <c r="B18">
        <v>-0.02</v>
      </c>
    </row>
    <row r="19" spans="1:2" x14ac:dyDescent="0.25">
      <c r="A19" s="1">
        <v>43858</v>
      </c>
      <c r="B19">
        <v>0</v>
      </c>
    </row>
    <row r="20" spans="1:2" x14ac:dyDescent="0.25">
      <c r="A20" s="1">
        <v>43859</v>
      </c>
      <c r="B20">
        <v>-0.04</v>
      </c>
    </row>
    <row r="21" spans="1:2" x14ac:dyDescent="0.25">
      <c r="A21" s="1">
        <v>43860</v>
      </c>
      <c r="B21">
        <v>-7.0000000000000007E-2</v>
      </c>
    </row>
    <row r="22" spans="1:2" x14ac:dyDescent="0.25">
      <c r="A22" s="1">
        <v>43861</v>
      </c>
      <c r="B22">
        <v>-0.14000000000000001</v>
      </c>
    </row>
    <row r="23" spans="1:2" x14ac:dyDescent="0.25">
      <c r="A23" s="1">
        <v>43864</v>
      </c>
      <c r="B23">
        <v>-0.09</v>
      </c>
    </row>
    <row r="24" spans="1:2" x14ac:dyDescent="0.25">
      <c r="A24" s="1">
        <v>43865</v>
      </c>
      <c r="B24">
        <v>-0.03</v>
      </c>
    </row>
    <row r="25" spans="1:2" x14ac:dyDescent="0.25">
      <c r="A25" s="1">
        <v>43866</v>
      </c>
      <c r="B25">
        <v>0</v>
      </c>
    </row>
    <row r="26" spans="1:2" x14ac:dyDescent="0.25">
      <c r="A26" s="1">
        <v>43867</v>
      </c>
      <c r="B26">
        <v>-0.02</v>
      </c>
    </row>
    <row r="27" spans="1:2" x14ac:dyDescent="0.25">
      <c r="A27" s="1">
        <v>43868</v>
      </c>
      <c r="B27">
        <v>-7.0000000000000007E-2</v>
      </c>
    </row>
    <row r="28" spans="1:2" x14ac:dyDescent="0.25">
      <c r="A28" s="1">
        <v>43871</v>
      </c>
      <c r="B28">
        <v>-0.1</v>
      </c>
    </row>
    <row r="29" spans="1:2" x14ac:dyDescent="0.25">
      <c r="A29" s="1">
        <v>43872</v>
      </c>
      <c r="B29">
        <v>-0.06</v>
      </c>
    </row>
    <row r="30" spans="1:2" x14ac:dyDescent="0.25">
      <c r="A30" s="1">
        <v>43873</v>
      </c>
      <c r="B30">
        <v>-0.04</v>
      </c>
    </row>
    <row r="31" spans="1:2" x14ac:dyDescent="0.25">
      <c r="A31" s="1">
        <v>43874</v>
      </c>
      <c r="B31">
        <v>-0.06</v>
      </c>
    </row>
    <row r="32" spans="1:2" x14ac:dyDescent="0.25">
      <c r="A32" s="1">
        <v>43875</v>
      </c>
      <c r="B32">
        <v>-7.0000000000000007E-2</v>
      </c>
    </row>
    <row r="33" spans="1:2" x14ac:dyDescent="0.25">
      <c r="A33" s="1">
        <v>43879</v>
      </c>
      <c r="B33">
        <v>-0.1</v>
      </c>
    </row>
    <row r="34" spans="1:2" x14ac:dyDescent="0.25">
      <c r="A34" s="1">
        <v>43880</v>
      </c>
      <c r="B34">
        <v>-0.09</v>
      </c>
    </row>
    <row r="35" spans="1:2" x14ac:dyDescent="0.25">
      <c r="A35" s="1">
        <v>43881</v>
      </c>
      <c r="B35">
        <v>-0.11</v>
      </c>
    </row>
    <row r="36" spans="1:2" x14ac:dyDescent="0.25">
      <c r="A36" s="1">
        <v>43882</v>
      </c>
      <c r="B36">
        <v>-0.15</v>
      </c>
    </row>
    <row r="37" spans="1:2" x14ac:dyDescent="0.25">
      <c r="A37" s="1">
        <v>43885</v>
      </c>
      <c r="B37">
        <v>-0.21</v>
      </c>
    </row>
    <row r="38" spans="1:2" x14ac:dyDescent="0.25">
      <c r="A38" s="1">
        <v>43886</v>
      </c>
      <c r="B38">
        <v>-0.2</v>
      </c>
    </row>
    <row r="39" spans="1:2" x14ac:dyDescent="0.25">
      <c r="A39" s="1">
        <v>43887</v>
      </c>
      <c r="B39">
        <v>-0.21</v>
      </c>
    </row>
    <row r="40" spans="1:2" x14ac:dyDescent="0.25">
      <c r="A40" s="1">
        <v>43888</v>
      </c>
      <c r="B40">
        <v>-0.23</v>
      </c>
    </row>
    <row r="41" spans="1:2" x14ac:dyDescent="0.25">
      <c r="A41" s="1">
        <v>43889</v>
      </c>
      <c r="B41">
        <v>-0.28000000000000003</v>
      </c>
    </row>
    <row r="42" spans="1:2" x14ac:dyDescent="0.25">
      <c r="A42" s="1">
        <v>43892</v>
      </c>
      <c r="B42">
        <v>-0.31</v>
      </c>
    </row>
    <row r="43" spans="1:2" x14ac:dyDescent="0.25">
      <c r="A43" s="1">
        <v>43893</v>
      </c>
      <c r="B43">
        <v>-0.43</v>
      </c>
    </row>
    <row r="44" spans="1:2" x14ac:dyDescent="0.25">
      <c r="A44" s="1">
        <v>43894</v>
      </c>
      <c r="B44">
        <v>-0.44</v>
      </c>
    </row>
    <row r="45" spans="1:2" x14ac:dyDescent="0.25">
      <c r="A45" s="1">
        <v>43895</v>
      </c>
      <c r="B45">
        <v>-0.48</v>
      </c>
    </row>
    <row r="46" spans="1:2" x14ac:dyDescent="0.25">
      <c r="A46" s="1">
        <v>43896</v>
      </c>
      <c r="B46">
        <v>-0.56999999999999995</v>
      </c>
    </row>
    <row r="47" spans="1:2" x14ac:dyDescent="0.25">
      <c r="A47" s="1">
        <v>43899</v>
      </c>
      <c r="B47">
        <v>-0.45</v>
      </c>
    </row>
    <row r="48" spans="1:2" x14ac:dyDescent="0.25">
      <c r="A48" s="1">
        <v>43900</v>
      </c>
      <c r="B48">
        <v>-0.24</v>
      </c>
    </row>
    <row r="49" spans="1:2" x14ac:dyDescent="0.25">
      <c r="A49" s="1">
        <v>43901</v>
      </c>
      <c r="B49">
        <v>-0.14000000000000001</v>
      </c>
    </row>
    <row r="50" spans="1:2" x14ac:dyDescent="0.25">
      <c r="A50" s="1">
        <v>43902</v>
      </c>
      <c r="B50">
        <v>-0.04</v>
      </c>
    </row>
    <row r="51" spans="1:2" x14ac:dyDescent="0.25">
      <c r="A51" s="1">
        <v>43903</v>
      </c>
      <c r="B51">
        <v>0.04</v>
      </c>
    </row>
    <row r="52" spans="1:2" x14ac:dyDescent="0.25">
      <c r="A52" s="1">
        <v>43906</v>
      </c>
      <c r="B52">
        <v>0</v>
      </c>
    </row>
    <row r="53" spans="1:2" x14ac:dyDescent="0.25">
      <c r="A53" s="1">
        <v>43907</v>
      </c>
      <c r="B53">
        <v>0.39</v>
      </c>
    </row>
    <row r="54" spans="1:2" x14ac:dyDescent="0.25">
      <c r="A54" s="1">
        <v>43908</v>
      </c>
      <c r="B54">
        <v>0.55000000000000004</v>
      </c>
    </row>
    <row r="55" spans="1:2" x14ac:dyDescent="0.25">
      <c r="A55" s="1">
        <v>43909</v>
      </c>
      <c r="B55">
        <v>0.62</v>
      </c>
    </row>
    <row r="56" spans="1:2" x14ac:dyDescent="0.25">
      <c r="A56" s="1">
        <v>43910</v>
      </c>
      <c r="B56">
        <v>0.17</v>
      </c>
    </row>
    <row r="57" spans="1:2" x14ac:dyDescent="0.25">
      <c r="A57" s="1">
        <v>43913</v>
      </c>
      <c r="B57">
        <v>-0.04</v>
      </c>
    </row>
    <row r="58" spans="1:2" x14ac:dyDescent="0.25">
      <c r="A58" s="1">
        <v>43914</v>
      </c>
      <c r="B58">
        <v>-0.13</v>
      </c>
    </row>
    <row r="59" spans="1:2" x14ac:dyDescent="0.25">
      <c r="A59" s="1">
        <v>43915</v>
      </c>
      <c r="B59">
        <v>-0.19</v>
      </c>
    </row>
    <row r="60" spans="1:2" x14ac:dyDescent="0.25">
      <c r="A60" s="1">
        <v>43916</v>
      </c>
      <c r="B60">
        <v>-0.24</v>
      </c>
    </row>
    <row r="61" spans="1:2" x14ac:dyDescent="0.25">
      <c r="A61" s="1">
        <v>43917</v>
      </c>
      <c r="B61">
        <v>-0.22</v>
      </c>
    </row>
    <row r="62" spans="1:2" x14ac:dyDescent="0.25">
      <c r="A62" s="1">
        <v>43920</v>
      </c>
      <c r="B62">
        <v>-0.25</v>
      </c>
    </row>
    <row r="63" spans="1:2" x14ac:dyDescent="0.25">
      <c r="A63" s="1">
        <v>43921</v>
      </c>
      <c r="B63">
        <v>-0.17</v>
      </c>
    </row>
    <row r="64" spans="1:2" x14ac:dyDescent="0.25">
      <c r="A64" s="1">
        <v>43922</v>
      </c>
      <c r="B64">
        <v>-0.28999999999999998</v>
      </c>
    </row>
    <row r="65" spans="1:2" x14ac:dyDescent="0.25">
      <c r="A65" s="1">
        <v>43923</v>
      </c>
      <c r="B65">
        <v>-0.4</v>
      </c>
    </row>
    <row r="66" spans="1:2" x14ac:dyDescent="0.25">
      <c r="A66" s="1">
        <v>43924</v>
      </c>
      <c r="B66">
        <v>-0.46</v>
      </c>
    </row>
    <row r="67" spans="1:2" x14ac:dyDescent="0.25">
      <c r="A67" s="1">
        <v>43927</v>
      </c>
      <c r="B67">
        <v>-0.47</v>
      </c>
    </row>
    <row r="68" spans="1:2" x14ac:dyDescent="0.25">
      <c r="A68" s="1">
        <v>43928</v>
      </c>
      <c r="B68">
        <v>-0.42</v>
      </c>
    </row>
    <row r="69" spans="1:2" x14ac:dyDescent="0.25">
      <c r="A69" s="1">
        <v>43929</v>
      </c>
      <c r="B69">
        <v>-0.42</v>
      </c>
    </row>
    <row r="70" spans="1:2" x14ac:dyDescent="0.25">
      <c r="A70" s="1">
        <v>43930</v>
      </c>
      <c r="B70">
        <v>-0.5</v>
      </c>
    </row>
    <row r="71" spans="1:2" x14ac:dyDescent="0.25">
      <c r="A71" s="1">
        <v>43934</v>
      </c>
      <c r="B71">
        <v>-0.5</v>
      </c>
    </row>
    <row r="72" spans="1:2" x14ac:dyDescent="0.25">
      <c r="A72" s="1">
        <v>43935</v>
      </c>
      <c r="B72">
        <v>-0.53</v>
      </c>
    </row>
    <row r="73" spans="1:2" x14ac:dyDescent="0.25">
      <c r="A73" s="1">
        <v>43936</v>
      </c>
      <c r="B73">
        <v>-0.56000000000000005</v>
      </c>
    </row>
    <row r="74" spans="1:2" x14ac:dyDescent="0.25">
      <c r="A74" s="1">
        <v>43937</v>
      </c>
      <c r="B74">
        <v>-0.42</v>
      </c>
    </row>
    <row r="75" spans="1:2" x14ac:dyDescent="0.25">
      <c r="A75" s="1">
        <v>43938</v>
      </c>
      <c r="B75">
        <v>-0.36</v>
      </c>
    </row>
    <row r="76" spans="1:2" x14ac:dyDescent="0.25">
      <c r="A76" s="1">
        <v>43941</v>
      </c>
      <c r="B76">
        <v>-0.31</v>
      </c>
    </row>
    <row r="77" spans="1:2" x14ac:dyDescent="0.25">
      <c r="A77" s="1">
        <v>43942</v>
      </c>
      <c r="B77">
        <v>-0.38</v>
      </c>
    </row>
    <row r="78" spans="1:2" x14ac:dyDescent="0.25">
      <c r="A78" s="1">
        <v>43943</v>
      </c>
      <c r="B78">
        <v>-0.43</v>
      </c>
    </row>
    <row r="79" spans="1:2" x14ac:dyDescent="0.25">
      <c r="A79" s="1">
        <v>43944</v>
      </c>
      <c r="B79">
        <v>-0.44</v>
      </c>
    </row>
    <row r="80" spans="1:2" x14ac:dyDescent="0.25">
      <c r="A80" s="1">
        <v>43945</v>
      </c>
      <c r="B80">
        <v>-0.51</v>
      </c>
    </row>
    <row r="81" spans="1:2" x14ac:dyDescent="0.25">
      <c r="A81" s="1">
        <v>43948</v>
      </c>
      <c r="B81">
        <v>-0.5</v>
      </c>
    </row>
    <row r="82" spans="1:2" x14ac:dyDescent="0.25">
      <c r="A82" s="1">
        <v>43949</v>
      </c>
      <c r="B82">
        <v>-0.52</v>
      </c>
    </row>
    <row r="83" spans="1:2" x14ac:dyDescent="0.25">
      <c r="A83" s="1">
        <v>43950</v>
      </c>
      <c r="B83">
        <v>-0.51</v>
      </c>
    </row>
    <row r="84" spans="1:2" x14ac:dyDescent="0.25">
      <c r="A84" s="1">
        <v>43951</v>
      </c>
      <c r="B84">
        <v>-0.43</v>
      </c>
    </row>
    <row r="85" spans="1:2" x14ac:dyDescent="0.25">
      <c r="A85" s="1">
        <v>43952</v>
      </c>
      <c r="B85">
        <v>-0.42</v>
      </c>
    </row>
    <row r="86" spans="1:2" x14ac:dyDescent="0.25">
      <c r="A86" s="1">
        <v>43955</v>
      </c>
      <c r="B86">
        <v>-0.43</v>
      </c>
    </row>
    <row r="87" spans="1:2" x14ac:dyDescent="0.25">
      <c r="A87" s="1">
        <v>43956</v>
      </c>
      <c r="B87">
        <v>-0.44</v>
      </c>
    </row>
    <row r="88" spans="1:2" x14ac:dyDescent="0.25">
      <c r="A88" s="1">
        <v>43957</v>
      </c>
      <c r="B88">
        <v>-0.38</v>
      </c>
    </row>
    <row r="89" spans="1:2" x14ac:dyDescent="0.25">
      <c r="A89" s="1">
        <v>43958</v>
      </c>
      <c r="B89">
        <v>-0.45</v>
      </c>
    </row>
    <row r="90" spans="1:2" x14ac:dyDescent="0.25">
      <c r="A90" s="1">
        <v>43959</v>
      </c>
      <c r="B90">
        <v>-0.43</v>
      </c>
    </row>
    <row r="91" spans="1:2" x14ac:dyDescent="0.25">
      <c r="A91" s="1">
        <v>43962</v>
      </c>
      <c r="B91">
        <v>-0.4</v>
      </c>
    </row>
    <row r="92" spans="1:2" x14ac:dyDescent="0.25">
      <c r="A92" s="1">
        <v>43963</v>
      </c>
      <c r="B92">
        <v>-0.4</v>
      </c>
    </row>
    <row r="93" spans="1:2" x14ac:dyDescent="0.25">
      <c r="A93" s="1">
        <v>43964</v>
      </c>
      <c r="B93">
        <v>-0.43</v>
      </c>
    </row>
    <row r="94" spans="1:2" x14ac:dyDescent="0.25">
      <c r="A94" s="1">
        <v>43965</v>
      </c>
      <c r="B94">
        <v>-0.43</v>
      </c>
    </row>
    <row r="95" spans="1:2" x14ac:dyDescent="0.25">
      <c r="A95" s="1">
        <v>43966</v>
      </c>
      <c r="B95">
        <v>-0.45</v>
      </c>
    </row>
    <row r="96" spans="1:2" x14ac:dyDescent="0.25">
      <c r="A96" s="1">
        <v>43969</v>
      </c>
      <c r="B96">
        <v>-0.44</v>
      </c>
    </row>
    <row r="97" spans="1:2" x14ac:dyDescent="0.25">
      <c r="A97" s="1">
        <v>43970</v>
      </c>
      <c r="B97">
        <v>-0.45</v>
      </c>
    </row>
    <row r="98" spans="1:2" x14ac:dyDescent="0.25">
      <c r="A98" s="1">
        <v>43971</v>
      </c>
      <c r="B98">
        <v>-0.48</v>
      </c>
    </row>
    <row r="99" spans="1:2" x14ac:dyDescent="0.25">
      <c r="A99" s="1">
        <v>43972</v>
      </c>
      <c r="B99">
        <v>-0.46</v>
      </c>
    </row>
    <row r="100" spans="1:2" x14ac:dyDescent="0.25">
      <c r="A100" s="1">
        <v>43973</v>
      </c>
      <c r="B100">
        <v>-0.46</v>
      </c>
    </row>
    <row r="101" spans="1:2" x14ac:dyDescent="0.25">
      <c r="A101" s="1">
        <v>43977</v>
      </c>
      <c r="B101">
        <v>-0.44</v>
      </c>
    </row>
    <row r="102" spans="1:2" x14ac:dyDescent="0.25">
      <c r="A102" s="1">
        <v>43978</v>
      </c>
      <c r="B102">
        <v>-0.46</v>
      </c>
    </row>
    <row r="103" spans="1:2" x14ac:dyDescent="0.25">
      <c r="A103" s="1">
        <v>43979</v>
      </c>
      <c r="B103">
        <v>-0.48</v>
      </c>
    </row>
    <row r="104" spans="1:2" x14ac:dyDescent="0.25">
      <c r="A104" s="1">
        <v>43980</v>
      </c>
      <c r="B104">
        <v>-0.5</v>
      </c>
    </row>
    <row r="105" spans="1:2" x14ac:dyDescent="0.25">
      <c r="A105" s="1">
        <v>43983</v>
      </c>
      <c r="B105">
        <v>-0.52</v>
      </c>
    </row>
    <row r="106" spans="1:2" x14ac:dyDescent="0.25">
      <c r="A106" s="1">
        <v>43984</v>
      </c>
      <c r="B106">
        <v>-0.5</v>
      </c>
    </row>
    <row r="107" spans="1:2" x14ac:dyDescent="0.25">
      <c r="A107" s="1">
        <v>43985</v>
      </c>
      <c r="B107">
        <v>-0.44</v>
      </c>
    </row>
    <row r="108" spans="1:2" x14ac:dyDescent="0.25">
      <c r="A108" s="1">
        <v>43986</v>
      </c>
      <c r="B108">
        <v>-0.4</v>
      </c>
    </row>
    <row r="109" spans="1:2" x14ac:dyDescent="0.25">
      <c r="A109" s="1">
        <v>43987</v>
      </c>
      <c r="B109">
        <v>-0.36</v>
      </c>
    </row>
    <row r="110" spans="1:2" x14ac:dyDescent="0.25">
      <c r="A110" s="1">
        <v>43990</v>
      </c>
      <c r="B110">
        <v>-0.4</v>
      </c>
    </row>
    <row r="111" spans="1:2" x14ac:dyDescent="0.25">
      <c r="A111" s="1">
        <v>43991</v>
      </c>
      <c r="B111">
        <v>-0.42</v>
      </c>
    </row>
    <row r="112" spans="1:2" x14ac:dyDescent="0.25">
      <c r="A112" s="1">
        <v>43992</v>
      </c>
      <c r="B112">
        <v>-0.52</v>
      </c>
    </row>
    <row r="113" spans="1:2" x14ac:dyDescent="0.25">
      <c r="A113" s="1">
        <v>43993</v>
      </c>
      <c r="B113">
        <v>-0.55000000000000004</v>
      </c>
    </row>
    <row r="114" spans="1:2" x14ac:dyDescent="0.25">
      <c r="A114" s="1">
        <v>43994</v>
      </c>
      <c r="B114">
        <v>-0.5</v>
      </c>
    </row>
    <row r="115" spans="1:2" x14ac:dyDescent="0.25">
      <c r="A115" s="1">
        <v>43997</v>
      </c>
      <c r="B115">
        <v>-0.52</v>
      </c>
    </row>
    <row r="116" spans="1:2" x14ac:dyDescent="0.25">
      <c r="A116" s="1">
        <v>43998</v>
      </c>
      <c r="B116">
        <v>-0.52</v>
      </c>
    </row>
    <row r="117" spans="1:2" x14ac:dyDescent="0.25">
      <c r="A117" s="1">
        <v>43999</v>
      </c>
      <c r="B117">
        <v>-0.52</v>
      </c>
    </row>
    <row r="118" spans="1:2" x14ac:dyDescent="0.25">
      <c r="A118" s="1">
        <v>44000</v>
      </c>
      <c r="B118">
        <v>-0.56999999999999995</v>
      </c>
    </row>
    <row r="119" spans="1:2" x14ac:dyDescent="0.25">
      <c r="A119" s="1">
        <v>44001</v>
      </c>
      <c r="B119">
        <v>-0.6</v>
      </c>
    </row>
    <row r="120" spans="1:2" x14ac:dyDescent="0.25">
      <c r="A120" s="1">
        <v>44004</v>
      </c>
      <c r="B120">
        <v>-0.63</v>
      </c>
    </row>
    <row r="121" spans="1:2" x14ac:dyDescent="0.25">
      <c r="A121" s="1">
        <v>44005</v>
      </c>
      <c r="B121">
        <v>-0.66</v>
      </c>
    </row>
    <row r="122" spans="1:2" x14ac:dyDescent="0.25">
      <c r="A122" s="1">
        <v>44006</v>
      </c>
      <c r="B122">
        <v>-0.64</v>
      </c>
    </row>
    <row r="123" spans="1:2" x14ac:dyDescent="0.25">
      <c r="A123" s="1">
        <v>44007</v>
      </c>
      <c r="B123">
        <v>-0.65</v>
      </c>
    </row>
    <row r="124" spans="1:2" x14ac:dyDescent="0.25">
      <c r="A124" s="1">
        <v>44008</v>
      </c>
      <c r="B124">
        <v>-0.68</v>
      </c>
    </row>
    <row r="125" spans="1:2" x14ac:dyDescent="0.25">
      <c r="A125" s="1">
        <v>44011</v>
      </c>
      <c r="B125">
        <v>-0.7</v>
      </c>
    </row>
    <row r="126" spans="1:2" x14ac:dyDescent="0.25">
      <c r="A126" s="1">
        <v>44012</v>
      </c>
      <c r="B126">
        <v>-0.68</v>
      </c>
    </row>
    <row r="127" spans="1:2" x14ac:dyDescent="0.25">
      <c r="A127" s="1">
        <v>44013</v>
      </c>
      <c r="B127">
        <v>-0.68</v>
      </c>
    </row>
    <row r="128" spans="1:2" x14ac:dyDescent="0.25">
      <c r="A128" s="1">
        <v>44014</v>
      </c>
      <c r="B128">
        <v>-0.73</v>
      </c>
    </row>
    <row r="129" spans="1:2" x14ac:dyDescent="0.25">
      <c r="A129" s="1">
        <v>44018</v>
      </c>
      <c r="B129">
        <v>-0.76</v>
      </c>
    </row>
    <row r="130" spans="1:2" x14ac:dyDescent="0.25">
      <c r="A130" s="1">
        <v>44019</v>
      </c>
      <c r="B130">
        <v>-0.78</v>
      </c>
    </row>
    <row r="131" spans="1:2" x14ac:dyDescent="0.25">
      <c r="A131" s="1">
        <v>44020</v>
      </c>
      <c r="B131">
        <v>-0.75</v>
      </c>
    </row>
    <row r="132" spans="1:2" x14ac:dyDescent="0.25">
      <c r="A132" s="1">
        <v>44021</v>
      </c>
      <c r="B132">
        <v>-0.77</v>
      </c>
    </row>
    <row r="133" spans="1:2" x14ac:dyDescent="0.25">
      <c r="A133" s="1">
        <v>44022</v>
      </c>
      <c r="B133">
        <v>-0.76</v>
      </c>
    </row>
    <row r="134" spans="1:2" x14ac:dyDescent="0.25">
      <c r="A134" s="1">
        <v>44025</v>
      </c>
      <c r="B134">
        <v>-0.78</v>
      </c>
    </row>
    <row r="135" spans="1:2" x14ac:dyDescent="0.25">
      <c r="A135" s="1">
        <v>44026</v>
      </c>
      <c r="B135">
        <v>-0.78</v>
      </c>
    </row>
    <row r="136" spans="1:2" x14ac:dyDescent="0.25">
      <c r="A136" s="1">
        <v>44027</v>
      </c>
      <c r="B136">
        <v>-0.77</v>
      </c>
    </row>
    <row r="137" spans="1:2" x14ac:dyDescent="0.25">
      <c r="A137" s="1">
        <v>44028</v>
      </c>
      <c r="B137">
        <v>-0.79</v>
      </c>
    </row>
    <row r="138" spans="1:2" x14ac:dyDescent="0.25">
      <c r="A138" s="1">
        <v>44029</v>
      </c>
      <c r="B138">
        <v>-0.82</v>
      </c>
    </row>
    <row r="139" spans="1:2" x14ac:dyDescent="0.25">
      <c r="A139" s="1">
        <v>44032</v>
      </c>
      <c r="B139">
        <v>-0.84</v>
      </c>
    </row>
    <row r="140" spans="1:2" x14ac:dyDescent="0.25">
      <c r="A140" s="1">
        <v>44033</v>
      </c>
      <c r="B140">
        <v>-0.87</v>
      </c>
    </row>
    <row r="141" spans="1:2" x14ac:dyDescent="0.25">
      <c r="A141" s="1">
        <v>44034</v>
      </c>
      <c r="B141">
        <v>-0.88</v>
      </c>
    </row>
    <row r="142" spans="1:2" x14ac:dyDescent="0.25">
      <c r="A142" s="1">
        <v>44035</v>
      </c>
      <c r="B142">
        <v>-0.9</v>
      </c>
    </row>
    <row r="143" spans="1:2" x14ac:dyDescent="0.25">
      <c r="A143" s="1">
        <v>44036</v>
      </c>
      <c r="B143">
        <v>-0.92</v>
      </c>
    </row>
    <row r="144" spans="1:2" x14ac:dyDescent="0.25">
      <c r="A144" s="1">
        <v>44039</v>
      </c>
      <c r="B144">
        <v>-0.9</v>
      </c>
    </row>
    <row r="145" spans="1:2" x14ac:dyDescent="0.25">
      <c r="A145" s="1">
        <v>44040</v>
      </c>
      <c r="B145">
        <v>-0.92</v>
      </c>
    </row>
    <row r="146" spans="1:2" x14ac:dyDescent="0.25">
      <c r="A146" s="1">
        <v>44041</v>
      </c>
      <c r="B146">
        <v>-0.95</v>
      </c>
    </row>
    <row r="147" spans="1:2" x14ac:dyDescent="0.25">
      <c r="A147" s="1">
        <v>44042</v>
      </c>
      <c r="B147">
        <v>-0.97</v>
      </c>
    </row>
    <row r="148" spans="1:2" x14ac:dyDescent="0.25">
      <c r="A148" s="1">
        <v>44043</v>
      </c>
      <c r="B148">
        <v>-1</v>
      </c>
    </row>
    <row r="149" spans="1:2" x14ac:dyDescent="0.25">
      <c r="A149" s="1">
        <v>44046</v>
      </c>
      <c r="B149">
        <v>-1.02</v>
      </c>
    </row>
    <row r="150" spans="1:2" x14ac:dyDescent="0.25">
      <c r="A150" s="1">
        <v>44047</v>
      </c>
      <c r="B150">
        <v>-1.05</v>
      </c>
    </row>
    <row r="151" spans="1:2" x14ac:dyDescent="0.25">
      <c r="A151" s="1">
        <v>44048</v>
      </c>
      <c r="B151">
        <v>-1.06</v>
      </c>
    </row>
    <row r="152" spans="1:2" x14ac:dyDescent="0.25">
      <c r="A152" s="1">
        <v>44049</v>
      </c>
      <c r="B152">
        <v>-1.08</v>
      </c>
    </row>
    <row r="153" spans="1:2" x14ac:dyDescent="0.25">
      <c r="A153" s="1">
        <v>44050</v>
      </c>
      <c r="B153">
        <v>-1.04</v>
      </c>
    </row>
    <row r="154" spans="1:2" x14ac:dyDescent="0.25">
      <c r="A154" s="1">
        <v>44053</v>
      </c>
      <c r="B154">
        <v>-1.02</v>
      </c>
    </row>
    <row r="155" spans="1:2" x14ac:dyDescent="0.25">
      <c r="A155" s="1">
        <v>44054</v>
      </c>
      <c r="B155">
        <v>-0.99</v>
      </c>
    </row>
    <row r="156" spans="1:2" x14ac:dyDescent="0.25">
      <c r="A156" s="1">
        <v>44055</v>
      </c>
      <c r="B156">
        <v>-0.98</v>
      </c>
    </row>
    <row r="157" spans="1:2" x14ac:dyDescent="0.25">
      <c r="A157" s="1">
        <v>44056</v>
      </c>
      <c r="B157">
        <v>-0.96</v>
      </c>
    </row>
    <row r="158" spans="1:2" x14ac:dyDescent="0.25">
      <c r="A158" s="1">
        <v>44057</v>
      </c>
      <c r="B158">
        <v>-0.94</v>
      </c>
    </row>
    <row r="159" spans="1:2" x14ac:dyDescent="0.25">
      <c r="A159" s="1">
        <v>44060</v>
      </c>
      <c r="B159">
        <v>-0.97</v>
      </c>
    </row>
    <row r="160" spans="1:2" x14ac:dyDescent="0.25">
      <c r="A160" s="1">
        <v>44061</v>
      </c>
      <c r="B160">
        <v>-1.01</v>
      </c>
    </row>
    <row r="161" spans="1:2" x14ac:dyDescent="0.25">
      <c r="A161" s="1">
        <v>44062</v>
      </c>
      <c r="B161">
        <v>-0.99</v>
      </c>
    </row>
    <row r="162" spans="1:2" x14ac:dyDescent="0.25">
      <c r="A162" s="1">
        <v>44063</v>
      </c>
      <c r="B162">
        <v>-0.97</v>
      </c>
    </row>
    <row r="163" spans="1:2" x14ac:dyDescent="0.25">
      <c r="A163" s="1">
        <v>44064</v>
      </c>
      <c r="B163">
        <v>-1</v>
      </c>
    </row>
    <row r="164" spans="1:2" x14ac:dyDescent="0.25">
      <c r="A164" s="1">
        <v>44067</v>
      </c>
      <c r="B164">
        <v>-1.02</v>
      </c>
    </row>
    <row r="165" spans="1:2" x14ac:dyDescent="0.25">
      <c r="A165" s="1">
        <v>44068</v>
      </c>
      <c r="B165">
        <v>-1.01</v>
      </c>
    </row>
    <row r="166" spans="1:2" x14ac:dyDescent="0.25">
      <c r="A166" s="1">
        <v>44069</v>
      </c>
      <c r="B166">
        <v>-1.03</v>
      </c>
    </row>
    <row r="167" spans="1:2" x14ac:dyDescent="0.25">
      <c r="A167" s="1">
        <v>44070</v>
      </c>
      <c r="B167">
        <v>-0.99</v>
      </c>
    </row>
    <row r="168" spans="1:2" x14ac:dyDescent="0.25">
      <c r="A168" s="1">
        <v>44071</v>
      </c>
      <c r="B168">
        <v>-1.03</v>
      </c>
    </row>
    <row r="169" spans="1:2" x14ac:dyDescent="0.25">
      <c r="A169" s="1">
        <v>44074</v>
      </c>
      <c r="B169">
        <v>-1.08</v>
      </c>
    </row>
    <row r="170" spans="1:2" x14ac:dyDescent="0.25">
      <c r="A170" s="1">
        <v>44075</v>
      </c>
      <c r="B170">
        <v>-1.08</v>
      </c>
    </row>
    <row r="171" spans="1:2" x14ac:dyDescent="0.25">
      <c r="A171" s="1">
        <v>44076</v>
      </c>
      <c r="B171">
        <v>-1.07</v>
      </c>
    </row>
    <row r="172" spans="1:2" x14ac:dyDescent="0.25">
      <c r="A172" s="1">
        <v>44077</v>
      </c>
      <c r="B172">
        <v>-1.02</v>
      </c>
    </row>
    <row r="173" spans="1:2" x14ac:dyDescent="0.25">
      <c r="A173" s="1">
        <v>44078</v>
      </c>
      <c r="B173">
        <v>-0.98</v>
      </c>
    </row>
    <row r="174" spans="1:2" x14ac:dyDescent="0.25">
      <c r="A174" s="1">
        <v>44082</v>
      </c>
      <c r="B174">
        <v>-0.99</v>
      </c>
    </row>
    <row r="175" spans="1:2" x14ac:dyDescent="0.25">
      <c r="A175" s="1">
        <v>44083</v>
      </c>
      <c r="B175">
        <v>-1</v>
      </c>
    </row>
    <row r="176" spans="1:2" x14ac:dyDescent="0.25">
      <c r="A176" s="1">
        <v>44084</v>
      </c>
      <c r="B176">
        <v>-1.01</v>
      </c>
    </row>
    <row r="177" spans="1:2" x14ac:dyDescent="0.25">
      <c r="A177" s="1">
        <v>44085</v>
      </c>
      <c r="B177">
        <v>-0.98</v>
      </c>
    </row>
    <row r="178" spans="1:2" x14ac:dyDescent="0.25">
      <c r="A178" s="1">
        <v>44088</v>
      </c>
      <c r="B178">
        <v>-0.97</v>
      </c>
    </row>
    <row r="179" spans="1:2" x14ac:dyDescent="0.25">
      <c r="A179" s="1">
        <v>44089</v>
      </c>
      <c r="B179">
        <v>-0.99</v>
      </c>
    </row>
    <row r="180" spans="1:2" x14ac:dyDescent="0.25">
      <c r="A180" s="1">
        <v>44090</v>
      </c>
      <c r="B180">
        <v>-0.99</v>
      </c>
    </row>
    <row r="181" spans="1:2" x14ac:dyDescent="0.25">
      <c r="A181" s="1">
        <v>44091</v>
      </c>
      <c r="B181">
        <v>-0.97</v>
      </c>
    </row>
    <row r="182" spans="1:2" x14ac:dyDescent="0.25">
      <c r="A182" s="1">
        <v>44092</v>
      </c>
      <c r="B182">
        <v>-0.97</v>
      </c>
    </row>
    <row r="183" spans="1:2" x14ac:dyDescent="0.25">
      <c r="A183" s="1">
        <v>44095</v>
      </c>
      <c r="B183">
        <v>-0.94</v>
      </c>
    </row>
    <row r="184" spans="1:2" x14ac:dyDescent="0.25">
      <c r="A184" s="1">
        <v>44096</v>
      </c>
      <c r="B184">
        <v>-0.94</v>
      </c>
    </row>
    <row r="185" spans="1:2" x14ac:dyDescent="0.25">
      <c r="A185" s="1">
        <v>44097</v>
      </c>
      <c r="B185">
        <v>-0.92</v>
      </c>
    </row>
    <row r="186" spans="1:2" x14ac:dyDescent="0.25">
      <c r="A186" s="1">
        <v>44098</v>
      </c>
      <c r="B186">
        <v>-0.91</v>
      </c>
    </row>
    <row r="187" spans="1:2" x14ac:dyDescent="0.25">
      <c r="A187" s="1">
        <v>44099</v>
      </c>
      <c r="B187">
        <v>-0.92</v>
      </c>
    </row>
    <row r="188" spans="1:2" x14ac:dyDescent="0.25">
      <c r="A188" s="1">
        <v>44102</v>
      </c>
      <c r="B188">
        <v>-0.94</v>
      </c>
    </row>
    <row r="189" spans="1:2" x14ac:dyDescent="0.25">
      <c r="A189" s="1">
        <v>44103</v>
      </c>
      <c r="B189">
        <v>-0.98</v>
      </c>
    </row>
    <row r="190" spans="1:2" x14ac:dyDescent="0.25">
      <c r="A190" s="1">
        <v>44104</v>
      </c>
      <c r="B190">
        <v>-0.94</v>
      </c>
    </row>
    <row r="191" spans="1:2" x14ac:dyDescent="0.25">
      <c r="A191" s="1">
        <v>44105</v>
      </c>
      <c r="B191">
        <v>-0.95</v>
      </c>
    </row>
    <row r="192" spans="1:2" x14ac:dyDescent="0.25">
      <c r="A192" s="1">
        <v>44106</v>
      </c>
      <c r="B192">
        <v>-0.94</v>
      </c>
    </row>
    <row r="193" spans="1:2" x14ac:dyDescent="0.25">
      <c r="A193" s="1">
        <v>44109</v>
      </c>
      <c r="B193">
        <v>-0.9</v>
      </c>
    </row>
    <row r="194" spans="1:2" x14ac:dyDescent="0.25">
      <c r="A194" s="1">
        <v>44110</v>
      </c>
      <c r="B194">
        <v>-0.9</v>
      </c>
    </row>
    <row r="195" spans="1:2" x14ac:dyDescent="0.25">
      <c r="A195" s="1">
        <v>44111</v>
      </c>
      <c r="B195">
        <v>-0.9</v>
      </c>
    </row>
    <row r="196" spans="1:2" x14ac:dyDescent="0.25">
      <c r="A196" s="1">
        <v>44112</v>
      </c>
      <c r="B196">
        <v>-0.94</v>
      </c>
    </row>
    <row r="197" spans="1:2" x14ac:dyDescent="0.25">
      <c r="A197" s="1">
        <v>44113</v>
      </c>
      <c r="B197">
        <v>-0.94</v>
      </c>
    </row>
    <row r="198" spans="1:2" x14ac:dyDescent="0.25">
      <c r="A198" s="1">
        <v>44117</v>
      </c>
      <c r="B198">
        <v>-0.96</v>
      </c>
    </row>
    <row r="199" spans="1:2" x14ac:dyDescent="0.25">
      <c r="A199" s="1">
        <v>44118</v>
      </c>
      <c r="B199">
        <v>-0.96</v>
      </c>
    </row>
    <row r="200" spans="1:2" x14ac:dyDescent="0.25">
      <c r="A200" s="1">
        <v>44119</v>
      </c>
      <c r="B200">
        <v>-0.95</v>
      </c>
    </row>
    <row r="201" spans="1:2" x14ac:dyDescent="0.25">
      <c r="A201" s="1">
        <v>44120</v>
      </c>
      <c r="B201">
        <v>-0.95</v>
      </c>
    </row>
    <row r="202" spans="1:2" x14ac:dyDescent="0.25">
      <c r="A202" s="1">
        <v>44123</v>
      </c>
      <c r="B202">
        <v>-0.93</v>
      </c>
    </row>
    <row r="203" spans="1:2" x14ac:dyDescent="0.25">
      <c r="A203" s="1">
        <v>44124</v>
      </c>
      <c r="B203">
        <v>-0.91</v>
      </c>
    </row>
    <row r="204" spans="1:2" x14ac:dyDescent="0.25">
      <c r="A204" s="1">
        <v>44125</v>
      </c>
      <c r="B204">
        <v>-0.91</v>
      </c>
    </row>
    <row r="205" spans="1:2" x14ac:dyDescent="0.25">
      <c r="A205" s="1">
        <v>44126</v>
      </c>
      <c r="B205">
        <v>-0.89</v>
      </c>
    </row>
    <row r="206" spans="1:2" x14ac:dyDescent="0.25">
      <c r="A206" s="1">
        <v>44127</v>
      </c>
      <c r="B206">
        <v>-0.9</v>
      </c>
    </row>
    <row r="207" spans="1:2" x14ac:dyDescent="0.25">
      <c r="A207" s="1">
        <v>44130</v>
      </c>
      <c r="B207">
        <v>-0.91</v>
      </c>
    </row>
    <row r="208" spans="1:2" x14ac:dyDescent="0.25">
      <c r="A208" s="1">
        <v>44131</v>
      </c>
      <c r="B208">
        <v>-0.92</v>
      </c>
    </row>
    <row r="209" spans="1:2" x14ac:dyDescent="0.25">
      <c r="A209" s="1">
        <v>44132</v>
      </c>
      <c r="B209">
        <v>-0.91</v>
      </c>
    </row>
    <row r="210" spans="1:2" x14ac:dyDescent="0.25">
      <c r="A210" s="1">
        <v>44133</v>
      </c>
      <c r="B210">
        <v>-0.86</v>
      </c>
    </row>
    <row r="211" spans="1:2" x14ac:dyDescent="0.25">
      <c r="A211" s="1">
        <v>44134</v>
      </c>
      <c r="B211">
        <v>-0.82</v>
      </c>
    </row>
    <row r="212" spans="1:2" x14ac:dyDescent="0.25">
      <c r="A212" s="1">
        <v>44137</v>
      </c>
      <c r="B212">
        <v>-0.84</v>
      </c>
    </row>
    <row r="213" spans="1:2" x14ac:dyDescent="0.25">
      <c r="A213" s="1">
        <v>44138</v>
      </c>
      <c r="B213">
        <v>-0.82</v>
      </c>
    </row>
    <row r="214" spans="1:2" x14ac:dyDescent="0.25">
      <c r="A214" s="1">
        <v>44139</v>
      </c>
      <c r="B214">
        <v>-0.86</v>
      </c>
    </row>
    <row r="215" spans="1:2" x14ac:dyDescent="0.25">
      <c r="A215" s="1">
        <v>44140</v>
      </c>
      <c r="B215">
        <v>-0.87</v>
      </c>
    </row>
    <row r="216" spans="1:2" x14ac:dyDescent="0.25">
      <c r="A216" s="1">
        <v>44141</v>
      </c>
      <c r="B216">
        <v>-0.82</v>
      </c>
    </row>
    <row r="217" spans="1:2" x14ac:dyDescent="0.25">
      <c r="A217" s="1">
        <v>44144</v>
      </c>
      <c r="B217">
        <v>-0.77</v>
      </c>
    </row>
    <row r="218" spans="1:2" x14ac:dyDescent="0.25">
      <c r="A218" s="1">
        <v>44145</v>
      </c>
      <c r="B218">
        <v>-0.78</v>
      </c>
    </row>
    <row r="219" spans="1:2" x14ac:dyDescent="0.25">
      <c r="A219" s="1">
        <v>44147</v>
      </c>
      <c r="B219">
        <v>-0.83</v>
      </c>
    </row>
    <row r="220" spans="1:2" x14ac:dyDescent="0.25">
      <c r="A220" s="1">
        <v>44148</v>
      </c>
      <c r="B220">
        <v>-0.83</v>
      </c>
    </row>
    <row r="221" spans="1:2" x14ac:dyDescent="0.25">
      <c r="A221" s="1">
        <v>44151</v>
      </c>
      <c r="B221">
        <v>-0.81</v>
      </c>
    </row>
    <row r="222" spans="1:2" x14ac:dyDescent="0.25">
      <c r="A222" s="1">
        <v>44152</v>
      </c>
      <c r="B222">
        <v>-0.83</v>
      </c>
    </row>
    <row r="223" spans="1:2" x14ac:dyDescent="0.25">
      <c r="A223" s="1">
        <v>44153</v>
      </c>
      <c r="B223">
        <v>-0.82</v>
      </c>
    </row>
    <row r="224" spans="1:2" x14ac:dyDescent="0.25">
      <c r="A224" s="1">
        <v>44154</v>
      </c>
      <c r="B224">
        <v>-0.84</v>
      </c>
    </row>
    <row r="225" spans="1:2" x14ac:dyDescent="0.25">
      <c r="A225" s="1">
        <v>44155</v>
      </c>
      <c r="B225">
        <v>-0.86</v>
      </c>
    </row>
    <row r="226" spans="1:2" x14ac:dyDescent="0.25">
      <c r="A226" s="1">
        <v>44158</v>
      </c>
      <c r="B226">
        <v>-0.85</v>
      </c>
    </row>
    <row r="227" spans="1:2" x14ac:dyDescent="0.25">
      <c r="A227" s="1">
        <v>44159</v>
      </c>
      <c r="B227">
        <v>-0.86</v>
      </c>
    </row>
    <row r="228" spans="1:2" x14ac:dyDescent="0.25">
      <c r="A228" s="1">
        <v>44160</v>
      </c>
      <c r="B228">
        <v>-0.87</v>
      </c>
    </row>
    <row r="229" spans="1:2" x14ac:dyDescent="0.25">
      <c r="A229" s="1">
        <v>44162</v>
      </c>
      <c r="B229">
        <v>-0.91</v>
      </c>
    </row>
    <row r="230" spans="1:2" x14ac:dyDescent="0.25">
      <c r="A230" s="1">
        <v>44165</v>
      </c>
      <c r="B230">
        <v>-0.93</v>
      </c>
    </row>
    <row r="231" spans="1:2" x14ac:dyDescent="0.25">
      <c r="A231" s="1">
        <v>44166</v>
      </c>
      <c r="B231">
        <v>-0.89</v>
      </c>
    </row>
    <row r="232" spans="1:2" x14ac:dyDescent="0.25">
      <c r="A232" s="1">
        <v>44167</v>
      </c>
      <c r="B232">
        <v>-0.9</v>
      </c>
    </row>
    <row r="233" spans="1:2" x14ac:dyDescent="0.25">
      <c r="A233" s="1">
        <v>44168</v>
      </c>
      <c r="B233">
        <v>-0.94</v>
      </c>
    </row>
    <row r="234" spans="1:2" x14ac:dyDescent="0.25">
      <c r="A234" s="1">
        <v>44169</v>
      </c>
      <c r="B234">
        <v>-0.92</v>
      </c>
    </row>
    <row r="235" spans="1:2" x14ac:dyDescent="0.25">
      <c r="A235" s="1">
        <v>44172</v>
      </c>
      <c r="B235">
        <v>-0.94</v>
      </c>
    </row>
    <row r="236" spans="1:2" x14ac:dyDescent="0.25">
      <c r="A236" s="1">
        <v>44173</v>
      </c>
      <c r="B236">
        <v>-0.97</v>
      </c>
    </row>
    <row r="237" spans="1:2" x14ac:dyDescent="0.25">
      <c r="A237" s="1">
        <v>44174</v>
      </c>
      <c r="B237">
        <v>-0.96</v>
      </c>
    </row>
    <row r="238" spans="1:2" x14ac:dyDescent="0.25">
      <c r="A238" s="1">
        <v>44175</v>
      </c>
      <c r="B238">
        <v>-0.96</v>
      </c>
    </row>
    <row r="239" spans="1:2" x14ac:dyDescent="0.25">
      <c r="A239" s="1">
        <v>44176</v>
      </c>
      <c r="B239">
        <v>-0.97</v>
      </c>
    </row>
    <row r="240" spans="1:2" x14ac:dyDescent="0.25">
      <c r="A240" s="1">
        <v>44179</v>
      </c>
      <c r="B240">
        <v>-0.98</v>
      </c>
    </row>
    <row r="241" spans="1:2" x14ac:dyDescent="0.25">
      <c r="A241" s="1">
        <v>44180</v>
      </c>
      <c r="B241">
        <v>-0.99</v>
      </c>
    </row>
    <row r="242" spans="1:2" x14ac:dyDescent="0.25">
      <c r="A242" s="1">
        <v>44181</v>
      </c>
      <c r="B242">
        <v>-1</v>
      </c>
    </row>
    <row r="243" spans="1:2" x14ac:dyDescent="0.25">
      <c r="A243" s="1">
        <v>44182</v>
      </c>
      <c r="B243">
        <v>-1</v>
      </c>
    </row>
    <row r="244" spans="1:2" x14ac:dyDescent="0.25">
      <c r="A244" s="1">
        <v>44183</v>
      </c>
      <c r="B244">
        <v>-1</v>
      </c>
    </row>
    <row r="245" spans="1:2" x14ac:dyDescent="0.25">
      <c r="A245" s="1">
        <v>44186</v>
      </c>
      <c r="B245">
        <v>-1</v>
      </c>
    </row>
    <row r="246" spans="1:2" x14ac:dyDescent="0.25">
      <c r="A246" s="1">
        <v>44187</v>
      </c>
      <c r="B246">
        <v>-1.01</v>
      </c>
    </row>
    <row r="247" spans="1:2" x14ac:dyDescent="0.25">
      <c r="A247" s="1">
        <v>44188</v>
      </c>
      <c r="B247">
        <v>-1.01</v>
      </c>
    </row>
    <row r="248" spans="1:2" x14ac:dyDescent="0.25">
      <c r="A248" s="1">
        <v>44189</v>
      </c>
      <c r="B248">
        <v>-1.03</v>
      </c>
    </row>
    <row r="249" spans="1:2" x14ac:dyDescent="0.25">
      <c r="A249" s="1">
        <v>44193</v>
      </c>
      <c r="B249">
        <v>-1.03</v>
      </c>
    </row>
    <row r="250" spans="1:2" x14ac:dyDescent="0.25">
      <c r="A250" s="1">
        <v>44194</v>
      </c>
      <c r="B250">
        <v>-1.02</v>
      </c>
    </row>
    <row r="251" spans="1:2" x14ac:dyDescent="0.25">
      <c r="A251" s="1">
        <v>44195</v>
      </c>
      <c r="B251">
        <v>-1.03</v>
      </c>
    </row>
    <row r="252" spans="1:2" x14ac:dyDescent="0.25">
      <c r="A252" s="1">
        <v>44196</v>
      </c>
      <c r="B252">
        <v>-1.06</v>
      </c>
    </row>
    <row r="253" spans="1:2" x14ac:dyDescent="0.25">
      <c r="A253" s="1">
        <v>44200</v>
      </c>
      <c r="B253">
        <v>-1.08</v>
      </c>
    </row>
    <row r="254" spans="1:2" x14ac:dyDescent="0.25">
      <c r="A254" s="1">
        <v>44201</v>
      </c>
      <c r="B254">
        <v>-1.07</v>
      </c>
    </row>
    <row r="255" spans="1:2" x14ac:dyDescent="0.25">
      <c r="A255" s="1">
        <v>44202</v>
      </c>
      <c r="B255">
        <v>-1.02</v>
      </c>
    </row>
    <row r="256" spans="1:2" x14ac:dyDescent="0.25">
      <c r="A256" s="1">
        <v>44203</v>
      </c>
      <c r="B256">
        <v>-1.01</v>
      </c>
    </row>
    <row r="257" spans="1:2" x14ac:dyDescent="0.25">
      <c r="A257" s="1">
        <v>44204</v>
      </c>
      <c r="B257">
        <v>-0.93</v>
      </c>
    </row>
    <row r="258" spans="1:2" x14ac:dyDescent="0.25">
      <c r="A258" s="1">
        <v>44207</v>
      </c>
      <c r="B258">
        <v>-0.91</v>
      </c>
    </row>
    <row r="259" spans="1:2" x14ac:dyDescent="0.25">
      <c r="A259" s="1">
        <v>44208</v>
      </c>
      <c r="B259">
        <v>-0.93</v>
      </c>
    </row>
    <row r="260" spans="1:2" x14ac:dyDescent="0.25">
      <c r="A260" s="1">
        <v>44209</v>
      </c>
      <c r="B260">
        <v>-0.96</v>
      </c>
    </row>
    <row r="261" spans="1:2" x14ac:dyDescent="0.25">
      <c r="A261" s="1">
        <v>44210</v>
      </c>
      <c r="B261">
        <v>-0.94</v>
      </c>
    </row>
    <row r="262" spans="1:2" x14ac:dyDescent="0.25">
      <c r="A262" s="1">
        <v>44211</v>
      </c>
      <c r="B262">
        <v>-0.99</v>
      </c>
    </row>
    <row r="263" spans="1:2" x14ac:dyDescent="0.25">
      <c r="A263" s="1">
        <v>44215</v>
      </c>
      <c r="B263">
        <v>-1</v>
      </c>
    </row>
    <row r="264" spans="1:2" x14ac:dyDescent="0.25">
      <c r="A264" s="1">
        <v>44216</v>
      </c>
      <c r="B264">
        <v>-1.02</v>
      </c>
    </row>
    <row r="265" spans="1:2" x14ac:dyDescent="0.25">
      <c r="A265" s="1">
        <v>44217</v>
      </c>
      <c r="B265">
        <v>-0.98</v>
      </c>
    </row>
    <row r="266" spans="1:2" x14ac:dyDescent="0.25">
      <c r="A266" s="1">
        <v>44218</v>
      </c>
      <c r="B266">
        <v>-0.99</v>
      </c>
    </row>
    <row r="267" spans="1:2" x14ac:dyDescent="0.25">
      <c r="A267" s="1">
        <v>44221</v>
      </c>
      <c r="B267">
        <v>-1.03</v>
      </c>
    </row>
    <row r="268" spans="1:2" x14ac:dyDescent="0.25">
      <c r="A268" s="1">
        <v>44222</v>
      </c>
      <c r="B268">
        <v>-1.03</v>
      </c>
    </row>
    <row r="269" spans="1:2" x14ac:dyDescent="0.25">
      <c r="A269" s="1">
        <v>44223</v>
      </c>
      <c r="B269">
        <v>-1.04</v>
      </c>
    </row>
    <row r="270" spans="1:2" x14ac:dyDescent="0.25">
      <c r="A270" s="1">
        <v>44224</v>
      </c>
      <c r="B270">
        <v>-1.06</v>
      </c>
    </row>
    <row r="271" spans="1:2" x14ac:dyDescent="0.25">
      <c r="A271" s="1">
        <v>44225</v>
      </c>
      <c r="B271">
        <v>-1.02</v>
      </c>
    </row>
    <row r="272" spans="1:2" x14ac:dyDescent="0.25">
      <c r="A272" s="1">
        <v>44228</v>
      </c>
      <c r="B272">
        <v>-1.02</v>
      </c>
    </row>
    <row r="273" spans="1:2" x14ac:dyDescent="0.25">
      <c r="A273" s="1">
        <v>44229</v>
      </c>
      <c r="B273">
        <v>-1.03</v>
      </c>
    </row>
    <row r="274" spans="1:2" x14ac:dyDescent="0.25">
      <c r="A274" s="1">
        <v>44230</v>
      </c>
      <c r="B274">
        <v>-1.04</v>
      </c>
    </row>
    <row r="275" spans="1:2" x14ac:dyDescent="0.25">
      <c r="A275" s="1">
        <v>44231</v>
      </c>
      <c r="B275">
        <v>-1.02</v>
      </c>
    </row>
    <row r="276" spans="1:2" x14ac:dyDescent="0.25">
      <c r="A276" s="1">
        <v>44232</v>
      </c>
      <c r="B276">
        <v>-1.02</v>
      </c>
    </row>
    <row r="277" spans="1:2" x14ac:dyDescent="0.25">
      <c r="A277" s="1">
        <v>44235</v>
      </c>
      <c r="B277">
        <v>-1.03</v>
      </c>
    </row>
    <row r="278" spans="1:2" x14ac:dyDescent="0.25">
      <c r="A278" s="1">
        <v>44236</v>
      </c>
      <c r="B278">
        <v>-1.04</v>
      </c>
    </row>
    <row r="279" spans="1:2" x14ac:dyDescent="0.25">
      <c r="A279" s="1">
        <v>44237</v>
      </c>
      <c r="B279">
        <v>-1.06</v>
      </c>
    </row>
    <row r="280" spans="1:2" x14ac:dyDescent="0.25">
      <c r="A280" s="1">
        <v>44238</v>
      </c>
      <c r="B280">
        <v>-1.04</v>
      </c>
    </row>
    <row r="281" spans="1:2" x14ac:dyDescent="0.25">
      <c r="A281" s="1">
        <v>44239</v>
      </c>
      <c r="B281">
        <v>-1.01</v>
      </c>
    </row>
    <row r="282" spans="1:2" x14ac:dyDescent="0.25">
      <c r="A282" s="1">
        <v>44243</v>
      </c>
      <c r="B282">
        <v>-0.94</v>
      </c>
    </row>
    <row r="283" spans="1:2" x14ac:dyDescent="0.25">
      <c r="A283" s="1">
        <v>44244</v>
      </c>
      <c r="B283">
        <v>-0.92</v>
      </c>
    </row>
    <row r="284" spans="1:2" x14ac:dyDescent="0.25">
      <c r="A284" s="1">
        <v>44245</v>
      </c>
      <c r="B284">
        <v>-0.87</v>
      </c>
    </row>
    <row r="285" spans="1:2" x14ac:dyDescent="0.25">
      <c r="A285" s="1">
        <v>44246</v>
      </c>
      <c r="B285">
        <v>-0.8</v>
      </c>
    </row>
    <row r="286" spans="1:2" x14ac:dyDescent="0.25">
      <c r="A286" s="1">
        <v>44249</v>
      </c>
      <c r="B286">
        <v>-0.79</v>
      </c>
    </row>
    <row r="287" spans="1:2" x14ac:dyDescent="0.25">
      <c r="A287" s="1">
        <v>44250</v>
      </c>
      <c r="B287">
        <v>-0.79</v>
      </c>
    </row>
    <row r="288" spans="1:2" x14ac:dyDescent="0.25">
      <c r="A288" s="1">
        <v>44251</v>
      </c>
      <c r="B288">
        <v>-0.79</v>
      </c>
    </row>
    <row r="289" spans="1:2" x14ac:dyDescent="0.25">
      <c r="A289" s="1">
        <v>44252</v>
      </c>
      <c r="B289">
        <v>-0.6</v>
      </c>
    </row>
    <row r="290" spans="1:2" x14ac:dyDescent="0.25">
      <c r="A290" s="1">
        <v>44253</v>
      </c>
      <c r="B290">
        <v>-0.71</v>
      </c>
    </row>
    <row r="291" spans="1:2" x14ac:dyDescent="0.25">
      <c r="A291" s="1">
        <v>44256</v>
      </c>
      <c r="B291">
        <v>-0.71</v>
      </c>
    </row>
    <row r="292" spans="1:2" x14ac:dyDescent="0.25">
      <c r="A292" s="1">
        <v>44257</v>
      </c>
      <c r="B292">
        <v>-0.78</v>
      </c>
    </row>
    <row r="293" spans="1:2" x14ac:dyDescent="0.25">
      <c r="A293" s="1">
        <v>44258</v>
      </c>
      <c r="B293">
        <v>-0.74</v>
      </c>
    </row>
    <row r="294" spans="1:2" x14ac:dyDescent="0.25">
      <c r="A294" s="1">
        <v>44259</v>
      </c>
      <c r="B294">
        <v>-0.66</v>
      </c>
    </row>
    <row r="295" spans="1:2" x14ac:dyDescent="0.25">
      <c r="A295" s="1">
        <v>44260</v>
      </c>
      <c r="B295">
        <v>-0.66</v>
      </c>
    </row>
    <row r="296" spans="1:2" x14ac:dyDescent="0.25">
      <c r="A296" s="1">
        <v>44263</v>
      </c>
      <c r="B296">
        <v>-0.62</v>
      </c>
    </row>
    <row r="297" spans="1:2" x14ac:dyDescent="0.25">
      <c r="A297" s="1">
        <v>44264</v>
      </c>
      <c r="B297">
        <v>-0.66</v>
      </c>
    </row>
    <row r="298" spans="1:2" x14ac:dyDescent="0.25">
      <c r="A298" s="1">
        <v>44265</v>
      </c>
      <c r="B298">
        <v>-0.73</v>
      </c>
    </row>
    <row r="299" spans="1:2" x14ac:dyDescent="0.25">
      <c r="A299" s="1">
        <v>44266</v>
      </c>
      <c r="B299">
        <v>-0.74</v>
      </c>
    </row>
    <row r="300" spans="1:2" x14ac:dyDescent="0.25">
      <c r="A300" s="1">
        <v>44267</v>
      </c>
      <c r="B300">
        <v>-0.62</v>
      </c>
    </row>
    <row r="301" spans="1:2" x14ac:dyDescent="0.25">
      <c r="A301" s="1">
        <v>44270</v>
      </c>
      <c r="B301">
        <v>-0.65</v>
      </c>
    </row>
    <row r="302" spans="1:2" x14ac:dyDescent="0.25">
      <c r="A302" s="1">
        <v>44271</v>
      </c>
      <c r="B302">
        <v>-0.68</v>
      </c>
    </row>
    <row r="303" spans="1:2" x14ac:dyDescent="0.25">
      <c r="A303" s="1">
        <v>44272</v>
      </c>
      <c r="B303">
        <v>-0.67</v>
      </c>
    </row>
    <row r="304" spans="1:2" x14ac:dyDescent="0.25">
      <c r="A304" s="1">
        <v>44273</v>
      </c>
      <c r="B304">
        <v>-0.56000000000000005</v>
      </c>
    </row>
    <row r="305" spans="1:2" x14ac:dyDescent="0.25">
      <c r="A305" s="1">
        <v>44274</v>
      </c>
      <c r="B305">
        <v>-0.56999999999999995</v>
      </c>
    </row>
    <row r="306" spans="1:2" x14ac:dyDescent="0.25">
      <c r="A306" s="1">
        <v>44277</v>
      </c>
      <c r="B306">
        <v>-0.64</v>
      </c>
    </row>
    <row r="307" spans="1:2" x14ac:dyDescent="0.25">
      <c r="A307" s="1">
        <v>44278</v>
      </c>
      <c r="B307">
        <v>-0.66</v>
      </c>
    </row>
    <row r="308" spans="1:2" x14ac:dyDescent="0.25">
      <c r="A308" s="1">
        <v>44279</v>
      </c>
      <c r="B308">
        <v>-0.69</v>
      </c>
    </row>
    <row r="309" spans="1:2" x14ac:dyDescent="0.25">
      <c r="A309" s="1">
        <v>44280</v>
      </c>
      <c r="B309">
        <v>-0.69</v>
      </c>
    </row>
    <row r="310" spans="1:2" x14ac:dyDescent="0.25">
      <c r="A310" s="1">
        <v>44281</v>
      </c>
      <c r="B310">
        <v>-0.67</v>
      </c>
    </row>
    <row r="311" spans="1:2" x14ac:dyDescent="0.25">
      <c r="A311" s="1">
        <v>44284</v>
      </c>
      <c r="B311">
        <v>-0.63</v>
      </c>
    </row>
    <row r="312" spans="1:2" x14ac:dyDescent="0.25">
      <c r="A312" s="1">
        <v>44285</v>
      </c>
      <c r="B312">
        <v>-0.62</v>
      </c>
    </row>
    <row r="313" spans="1:2" x14ac:dyDescent="0.25">
      <c r="A313" s="1">
        <v>44286</v>
      </c>
      <c r="B313">
        <v>-0.63</v>
      </c>
    </row>
    <row r="314" spans="1:2" x14ac:dyDescent="0.25">
      <c r="A314" s="1">
        <v>44287</v>
      </c>
      <c r="B314">
        <v>-0.66</v>
      </c>
    </row>
    <row r="315" spans="1:2" x14ac:dyDescent="0.25">
      <c r="A315" s="1">
        <v>44288</v>
      </c>
      <c r="B315">
        <v>-0.64</v>
      </c>
    </row>
    <row r="316" spans="1:2" x14ac:dyDescent="0.25">
      <c r="A316" s="1">
        <v>44291</v>
      </c>
      <c r="B316">
        <v>-0.62</v>
      </c>
    </row>
    <row r="317" spans="1:2" x14ac:dyDescent="0.25">
      <c r="A317" s="1">
        <v>44292</v>
      </c>
      <c r="B317">
        <v>-0.65</v>
      </c>
    </row>
    <row r="318" spans="1:2" x14ac:dyDescent="0.25">
      <c r="A318" s="1">
        <v>44293</v>
      </c>
      <c r="B318">
        <v>-0.66</v>
      </c>
    </row>
    <row r="319" spans="1:2" x14ac:dyDescent="0.25">
      <c r="A319" s="1">
        <v>44294</v>
      </c>
      <c r="B319">
        <v>-0.69</v>
      </c>
    </row>
    <row r="320" spans="1:2" x14ac:dyDescent="0.25">
      <c r="A320" s="1">
        <v>44295</v>
      </c>
      <c r="B320">
        <v>-0.64</v>
      </c>
    </row>
    <row r="321" spans="1:2" x14ac:dyDescent="0.25">
      <c r="A321" s="1">
        <v>44298</v>
      </c>
      <c r="B321">
        <v>-0.64</v>
      </c>
    </row>
    <row r="322" spans="1:2" x14ac:dyDescent="0.25">
      <c r="A322" s="1">
        <v>44299</v>
      </c>
      <c r="B322">
        <v>-0.69</v>
      </c>
    </row>
    <row r="323" spans="1:2" x14ac:dyDescent="0.25">
      <c r="A323" s="1">
        <v>44300</v>
      </c>
      <c r="B323">
        <v>-0.69</v>
      </c>
    </row>
    <row r="324" spans="1:2" x14ac:dyDescent="0.25">
      <c r="A324" s="1">
        <v>44301</v>
      </c>
      <c r="B324">
        <v>-0.77</v>
      </c>
    </row>
    <row r="325" spans="1:2" x14ac:dyDescent="0.25">
      <c r="A325" s="1">
        <v>44302</v>
      </c>
      <c r="B325">
        <v>-0.77</v>
      </c>
    </row>
    <row r="326" spans="1:2" x14ac:dyDescent="0.25">
      <c r="A326" s="1">
        <v>44305</v>
      </c>
      <c r="B326">
        <v>-0.73</v>
      </c>
    </row>
    <row r="327" spans="1:2" x14ac:dyDescent="0.25">
      <c r="A327" s="1">
        <v>44306</v>
      </c>
      <c r="B327">
        <v>-0.74</v>
      </c>
    </row>
    <row r="328" spans="1:2" x14ac:dyDescent="0.25">
      <c r="A328" s="1">
        <v>44307</v>
      </c>
      <c r="B328">
        <v>-0.76</v>
      </c>
    </row>
    <row r="329" spans="1:2" x14ac:dyDescent="0.25">
      <c r="A329" s="1">
        <v>44308</v>
      </c>
      <c r="B329">
        <v>-0.76</v>
      </c>
    </row>
    <row r="330" spans="1:2" x14ac:dyDescent="0.25">
      <c r="A330" s="1">
        <v>44309</v>
      </c>
      <c r="B330">
        <v>-0.76</v>
      </c>
    </row>
    <row r="331" spans="1:2" x14ac:dyDescent="0.25">
      <c r="A331" s="1">
        <v>44312</v>
      </c>
      <c r="B331">
        <v>-0.78</v>
      </c>
    </row>
    <row r="332" spans="1:2" x14ac:dyDescent="0.25">
      <c r="A332" s="1">
        <v>44313</v>
      </c>
      <c r="B332">
        <v>-0.76</v>
      </c>
    </row>
    <row r="333" spans="1:2" x14ac:dyDescent="0.25">
      <c r="A333" s="1">
        <v>44314</v>
      </c>
      <c r="B333">
        <v>-0.78</v>
      </c>
    </row>
    <row r="334" spans="1:2" x14ac:dyDescent="0.25">
      <c r="A334" s="1">
        <v>44315</v>
      </c>
      <c r="B334">
        <v>-0.77</v>
      </c>
    </row>
    <row r="335" spans="1:2" x14ac:dyDescent="0.25">
      <c r="A335" s="1">
        <v>44316</v>
      </c>
      <c r="B335">
        <v>-0.76</v>
      </c>
    </row>
    <row r="336" spans="1:2" x14ac:dyDescent="0.25">
      <c r="A336" s="1">
        <v>44319</v>
      </c>
      <c r="B336">
        <v>-0.79</v>
      </c>
    </row>
    <row r="337" spans="1:2" x14ac:dyDescent="0.25">
      <c r="A337" s="1">
        <v>44320</v>
      </c>
      <c r="B337">
        <v>-0.81</v>
      </c>
    </row>
    <row r="338" spans="1:2" x14ac:dyDescent="0.25">
      <c r="A338" s="1">
        <v>44321</v>
      </c>
      <c r="B338">
        <v>-0.88</v>
      </c>
    </row>
    <row r="339" spans="1:2" x14ac:dyDescent="0.25">
      <c r="A339" s="1">
        <v>44322</v>
      </c>
      <c r="B339">
        <v>-0.87</v>
      </c>
    </row>
    <row r="340" spans="1:2" x14ac:dyDescent="0.25">
      <c r="A340" s="1">
        <v>44323</v>
      </c>
      <c r="B340">
        <v>-0.89</v>
      </c>
    </row>
    <row r="341" spans="1:2" x14ac:dyDescent="0.25">
      <c r="A341" s="1">
        <v>44326</v>
      </c>
      <c r="B341">
        <v>-0.91</v>
      </c>
    </row>
    <row r="342" spans="1:2" x14ac:dyDescent="0.25">
      <c r="A342" s="1">
        <v>44327</v>
      </c>
      <c r="B342">
        <v>-0.89</v>
      </c>
    </row>
    <row r="343" spans="1:2" x14ac:dyDescent="0.25">
      <c r="A343" s="1">
        <v>44328</v>
      </c>
      <c r="B343">
        <v>-0.85</v>
      </c>
    </row>
    <row r="344" spans="1:2" x14ac:dyDescent="0.25">
      <c r="A344" s="1">
        <v>44329</v>
      </c>
      <c r="B344">
        <v>-0.85</v>
      </c>
    </row>
    <row r="345" spans="1:2" x14ac:dyDescent="0.25">
      <c r="A345" s="1">
        <v>44330</v>
      </c>
      <c r="B345">
        <v>-0.88</v>
      </c>
    </row>
    <row r="346" spans="1:2" x14ac:dyDescent="0.25">
      <c r="A346" s="1">
        <v>44333</v>
      </c>
      <c r="B346">
        <v>-0.9</v>
      </c>
    </row>
    <row r="347" spans="1:2" x14ac:dyDescent="0.25">
      <c r="A347" s="1">
        <v>44334</v>
      </c>
      <c r="B347">
        <v>-0.88</v>
      </c>
    </row>
    <row r="348" spans="1:2" x14ac:dyDescent="0.25">
      <c r="A348" s="1">
        <v>44335</v>
      </c>
      <c r="B348">
        <v>-0.8</v>
      </c>
    </row>
    <row r="349" spans="1:2" x14ac:dyDescent="0.25">
      <c r="A349" s="1">
        <v>44336</v>
      </c>
      <c r="B349">
        <v>-0.78</v>
      </c>
    </row>
    <row r="350" spans="1:2" x14ac:dyDescent="0.25">
      <c r="A350" s="1">
        <v>44337</v>
      </c>
      <c r="B350">
        <v>-0.8</v>
      </c>
    </row>
    <row r="351" spans="1:2" x14ac:dyDescent="0.25">
      <c r="A351" s="1">
        <v>44340</v>
      </c>
      <c r="B351">
        <v>-0.83</v>
      </c>
    </row>
    <row r="352" spans="1:2" x14ac:dyDescent="0.25">
      <c r="A352" s="1">
        <v>44341</v>
      </c>
      <c r="B352">
        <v>-0.86</v>
      </c>
    </row>
    <row r="353" spans="1:2" x14ac:dyDescent="0.25">
      <c r="A353" s="1">
        <v>44342</v>
      </c>
      <c r="B353">
        <v>-0.82</v>
      </c>
    </row>
    <row r="354" spans="1:2" x14ac:dyDescent="0.25">
      <c r="A354" s="1">
        <v>44343</v>
      </c>
      <c r="B354">
        <v>-0.81</v>
      </c>
    </row>
    <row r="355" spans="1:2" x14ac:dyDescent="0.25">
      <c r="A355" s="1">
        <v>44344</v>
      </c>
      <c r="B355">
        <v>-0.84</v>
      </c>
    </row>
    <row r="356" spans="1:2" x14ac:dyDescent="0.25">
      <c r="A356" s="1">
        <v>44348</v>
      </c>
      <c r="B356">
        <v>-0.84</v>
      </c>
    </row>
    <row r="357" spans="1:2" x14ac:dyDescent="0.25">
      <c r="A357" s="1">
        <v>44349</v>
      </c>
      <c r="B357">
        <v>-0.85</v>
      </c>
    </row>
    <row r="358" spans="1:2" x14ac:dyDescent="0.25">
      <c r="A358" s="1">
        <v>44350</v>
      </c>
      <c r="B358">
        <v>-0.79</v>
      </c>
    </row>
    <row r="359" spans="1:2" x14ac:dyDescent="0.25">
      <c r="A359" s="1">
        <v>44351</v>
      </c>
      <c r="B359">
        <v>-0.84</v>
      </c>
    </row>
    <row r="360" spans="1:2" x14ac:dyDescent="0.25">
      <c r="A360" s="1">
        <v>44354</v>
      </c>
      <c r="B360">
        <v>-0.82</v>
      </c>
    </row>
    <row r="361" spans="1:2" x14ac:dyDescent="0.25">
      <c r="A361" s="1">
        <v>44355</v>
      </c>
      <c r="B361">
        <v>-0.83</v>
      </c>
    </row>
    <row r="362" spans="1:2" x14ac:dyDescent="0.25">
      <c r="A362" s="1">
        <v>44356</v>
      </c>
      <c r="B362">
        <v>-0.82</v>
      </c>
    </row>
    <row r="363" spans="1:2" x14ac:dyDescent="0.25">
      <c r="A363" s="1">
        <v>44357</v>
      </c>
      <c r="B363">
        <v>-0.9</v>
      </c>
    </row>
    <row r="364" spans="1:2" x14ac:dyDescent="0.25">
      <c r="A364" s="1">
        <v>44358</v>
      </c>
      <c r="B364">
        <v>-0.85</v>
      </c>
    </row>
    <row r="365" spans="1:2" x14ac:dyDescent="0.25">
      <c r="A365" s="1">
        <v>44361</v>
      </c>
      <c r="B365">
        <v>-0.85</v>
      </c>
    </row>
    <row r="366" spans="1:2" x14ac:dyDescent="0.25">
      <c r="A366" s="1">
        <v>44362</v>
      </c>
      <c r="B366">
        <v>-0.87</v>
      </c>
    </row>
    <row r="367" spans="1:2" x14ac:dyDescent="0.25">
      <c r="A367" s="1">
        <v>44363</v>
      </c>
      <c r="B367">
        <v>-0.75</v>
      </c>
    </row>
    <row r="368" spans="1:2" x14ac:dyDescent="0.25">
      <c r="A368" s="1">
        <v>44364</v>
      </c>
      <c r="B368">
        <v>-0.75</v>
      </c>
    </row>
    <row r="369" spans="1:2" x14ac:dyDescent="0.25">
      <c r="A369" s="1">
        <v>44365</v>
      </c>
      <c r="B369">
        <v>-0.79</v>
      </c>
    </row>
    <row r="370" spans="1:2" x14ac:dyDescent="0.25">
      <c r="A370" s="1">
        <v>44368</v>
      </c>
      <c r="B370">
        <v>-0.75</v>
      </c>
    </row>
    <row r="371" spans="1:2" x14ac:dyDescent="0.25">
      <c r="A371" s="1">
        <v>44369</v>
      </c>
      <c r="B371">
        <v>-0.83</v>
      </c>
    </row>
    <row r="372" spans="1:2" x14ac:dyDescent="0.25">
      <c r="A372" s="1">
        <v>44370</v>
      </c>
      <c r="B372">
        <v>-0.84</v>
      </c>
    </row>
    <row r="373" spans="1:2" x14ac:dyDescent="0.25">
      <c r="A373" s="1">
        <v>44371</v>
      </c>
      <c r="B373">
        <v>-0.81</v>
      </c>
    </row>
    <row r="374" spans="1:2" x14ac:dyDescent="0.25">
      <c r="A374" s="1">
        <v>44372</v>
      </c>
      <c r="B374">
        <v>-0.8</v>
      </c>
    </row>
    <row r="375" spans="1:2" x14ac:dyDescent="0.25">
      <c r="A375" s="1">
        <v>44375</v>
      </c>
      <c r="B375">
        <v>-0.84</v>
      </c>
    </row>
    <row r="376" spans="1:2" x14ac:dyDescent="0.25">
      <c r="A376" s="1">
        <v>44376</v>
      </c>
      <c r="B376">
        <v>-0.83</v>
      </c>
    </row>
    <row r="377" spans="1:2" x14ac:dyDescent="0.25">
      <c r="A377" s="1">
        <v>44377</v>
      </c>
      <c r="B377">
        <v>-0.87</v>
      </c>
    </row>
    <row r="378" spans="1:2" x14ac:dyDescent="0.25">
      <c r="A378" s="1">
        <v>44378</v>
      </c>
      <c r="B378">
        <v>-0.87</v>
      </c>
    </row>
    <row r="379" spans="1:2" x14ac:dyDescent="0.25">
      <c r="A379" s="1">
        <v>44379</v>
      </c>
      <c r="B379">
        <v>-0.89</v>
      </c>
    </row>
    <row r="380" spans="1:2" x14ac:dyDescent="0.25">
      <c r="A380" s="1">
        <v>44383</v>
      </c>
      <c r="B380">
        <v>-0.94</v>
      </c>
    </row>
    <row r="381" spans="1:2" x14ac:dyDescent="0.25">
      <c r="A381" s="1">
        <v>44384</v>
      </c>
      <c r="B381">
        <v>-0.95</v>
      </c>
    </row>
    <row r="382" spans="1:2" x14ac:dyDescent="0.25">
      <c r="A382" s="1">
        <v>44385</v>
      </c>
      <c r="B382">
        <v>-0.92</v>
      </c>
    </row>
    <row r="383" spans="1:2" x14ac:dyDescent="0.25">
      <c r="A383" s="1">
        <v>44386</v>
      </c>
      <c r="B383">
        <v>-0.91</v>
      </c>
    </row>
    <row r="384" spans="1:2" x14ac:dyDescent="0.25">
      <c r="A384" s="1">
        <v>44389</v>
      </c>
      <c r="B384">
        <v>-0.95</v>
      </c>
    </row>
    <row r="385" spans="1:2" x14ac:dyDescent="0.25">
      <c r="A385" s="1">
        <v>44390</v>
      </c>
      <c r="B385">
        <v>-0.94</v>
      </c>
    </row>
    <row r="386" spans="1:2" x14ac:dyDescent="0.25">
      <c r="A386" s="1">
        <v>44391</v>
      </c>
      <c r="B386">
        <v>-0.97</v>
      </c>
    </row>
    <row r="387" spans="1:2" x14ac:dyDescent="0.25">
      <c r="A387" s="1">
        <v>44392</v>
      </c>
      <c r="B387">
        <v>-1.01</v>
      </c>
    </row>
    <row r="388" spans="1:2" x14ac:dyDescent="0.25">
      <c r="A388" s="1">
        <v>44393</v>
      </c>
      <c r="B388">
        <v>-1.02</v>
      </c>
    </row>
    <row r="389" spans="1:2" x14ac:dyDescent="0.25">
      <c r="A389" s="1">
        <v>44396</v>
      </c>
      <c r="B389">
        <v>-1.05</v>
      </c>
    </row>
    <row r="390" spans="1:2" x14ac:dyDescent="0.25">
      <c r="A390" s="1">
        <v>44397</v>
      </c>
      <c r="B390">
        <v>-1.03</v>
      </c>
    </row>
    <row r="391" spans="1:2" x14ac:dyDescent="0.25">
      <c r="A391" s="1">
        <v>44398</v>
      </c>
      <c r="B391">
        <v>-0.98</v>
      </c>
    </row>
    <row r="392" spans="1:2" x14ac:dyDescent="0.25">
      <c r="A392" s="1">
        <v>44399</v>
      </c>
      <c r="B392">
        <v>-1.01</v>
      </c>
    </row>
    <row r="393" spans="1:2" x14ac:dyDescent="0.25">
      <c r="A393" s="1">
        <v>44400</v>
      </c>
      <c r="B393">
        <v>-1.05</v>
      </c>
    </row>
    <row r="394" spans="1:2" x14ac:dyDescent="0.25">
      <c r="A394" s="1">
        <v>44403</v>
      </c>
      <c r="B394">
        <v>-1.1100000000000001</v>
      </c>
    </row>
    <row r="395" spans="1:2" x14ac:dyDescent="0.25">
      <c r="A395" s="1">
        <v>44404</v>
      </c>
      <c r="B395">
        <v>-1.1299999999999999</v>
      </c>
    </row>
    <row r="396" spans="1:2" x14ac:dyDescent="0.25">
      <c r="A396" s="1">
        <v>44405</v>
      </c>
      <c r="B396">
        <v>-1.1499999999999999</v>
      </c>
    </row>
    <row r="397" spans="1:2" x14ac:dyDescent="0.25">
      <c r="A397" s="1">
        <v>44406</v>
      </c>
      <c r="B397">
        <v>-1.1499999999999999</v>
      </c>
    </row>
    <row r="398" spans="1:2" x14ac:dyDescent="0.25">
      <c r="A398" s="1">
        <v>44407</v>
      </c>
      <c r="B398">
        <v>-1.1599999999999999</v>
      </c>
    </row>
    <row r="399" spans="1:2" x14ac:dyDescent="0.25">
      <c r="A399" s="1">
        <v>44410</v>
      </c>
      <c r="B399">
        <v>-1.17</v>
      </c>
    </row>
    <row r="400" spans="1:2" x14ac:dyDescent="0.25">
      <c r="A400" s="1">
        <v>44411</v>
      </c>
      <c r="B400">
        <v>-1.19</v>
      </c>
    </row>
    <row r="401" spans="1:2" x14ac:dyDescent="0.25">
      <c r="A401" s="1">
        <v>44412</v>
      </c>
      <c r="B401">
        <v>-1.1599999999999999</v>
      </c>
    </row>
    <row r="402" spans="1:2" x14ac:dyDescent="0.25">
      <c r="A402" s="1">
        <v>44413</v>
      </c>
      <c r="B402">
        <v>-1.1000000000000001</v>
      </c>
    </row>
    <row r="403" spans="1:2" x14ac:dyDescent="0.25">
      <c r="A403" s="1">
        <v>44414</v>
      </c>
      <c r="B403">
        <v>-1.06</v>
      </c>
    </row>
    <row r="404" spans="1:2" x14ac:dyDescent="0.25">
      <c r="A404" s="1">
        <v>44417</v>
      </c>
      <c r="B404">
        <v>-1.04</v>
      </c>
    </row>
    <row r="405" spans="1:2" x14ac:dyDescent="0.25">
      <c r="A405" s="1">
        <v>44418</v>
      </c>
      <c r="B405">
        <v>-1.04</v>
      </c>
    </row>
    <row r="406" spans="1:2" x14ac:dyDescent="0.25">
      <c r="A406" s="1">
        <v>44419</v>
      </c>
      <c r="B406">
        <v>-1.07</v>
      </c>
    </row>
    <row r="407" spans="1:2" x14ac:dyDescent="0.25">
      <c r="A407" s="1">
        <v>44420</v>
      </c>
      <c r="B407">
        <v>-1.05</v>
      </c>
    </row>
    <row r="408" spans="1:2" x14ac:dyDescent="0.25">
      <c r="A408" s="1">
        <v>44421</v>
      </c>
      <c r="B408">
        <v>-1.08</v>
      </c>
    </row>
    <row r="409" spans="1:2" x14ac:dyDescent="0.25">
      <c r="A409" s="1">
        <v>44424</v>
      </c>
      <c r="B409">
        <v>-1.1000000000000001</v>
      </c>
    </row>
    <row r="410" spans="1:2" x14ac:dyDescent="0.25">
      <c r="A410" s="1">
        <v>44425</v>
      </c>
      <c r="B410">
        <v>-1.07</v>
      </c>
    </row>
    <row r="411" spans="1:2" x14ac:dyDescent="0.25">
      <c r="A411" s="1">
        <v>44426</v>
      </c>
      <c r="B411">
        <v>-1.05</v>
      </c>
    </row>
    <row r="412" spans="1:2" x14ac:dyDescent="0.25">
      <c r="A412" s="1">
        <v>44427</v>
      </c>
      <c r="B412">
        <v>-1.04</v>
      </c>
    </row>
    <row r="413" spans="1:2" x14ac:dyDescent="0.25">
      <c r="A413" s="1">
        <v>44428</v>
      </c>
      <c r="B413">
        <v>-1.01</v>
      </c>
    </row>
    <row r="414" spans="1:2" x14ac:dyDescent="0.25">
      <c r="A414" s="1">
        <v>44431</v>
      </c>
      <c r="B414">
        <v>-1.02</v>
      </c>
    </row>
    <row r="415" spans="1:2" x14ac:dyDescent="0.25">
      <c r="A415" s="1">
        <v>44432</v>
      </c>
      <c r="B415">
        <v>-1.01</v>
      </c>
    </row>
    <row r="416" spans="1:2" x14ac:dyDescent="0.25">
      <c r="A416" s="1">
        <v>44433</v>
      </c>
      <c r="B416">
        <v>-1</v>
      </c>
    </row>
    <row r="417" spans="1:2" x14ac:dyDescent="0.25">
      <c r="A417" s="1">
        <v>44434</v>
      </c>
      <c r="B417">
        <v>-0.99</v>
      </c>
    </row>
    <row r="418" spans="1:2" x14ac:dyDescent="0.25">
      <c r="A418" s="1">
        <v>44435</v>
      </c>
      <c r="B418">
        <v>-1.08</v>
      </c>
    </row>
    <row r="419" spans="1:2" x14ac:dyDescent="0.25">
      <c r="A419" s="1">
        <v>44438</v>
      </c>
      <c r="B419">
        <v>-1.08</v>
      </c>
    </row>
    <row r="420" spans="1:2" x14ac:dyDescent="0.25">
      <c r="A420" s="1">
        <v>44439</v>
      </c>
      <c r="B420">
        <v>-1.03</v>
      </c>
    </row>
    <row r="421" spans="1:2" x14ac:dyDescent="0.25">
      <c r="A421" s="1">
        <v>44440</v>
      </c>
      <c r="B421">
        <v>-1.03</v>
      </c>
    </row>
    <row r="422" spans="1:2" x14ac:dyDescent="0.25">
      <c r="A422" s="1">
        <v>44441</v>
      </c>
      <c r="B422">
        <v>-1.03</v>
      </c>
    </row>
    <row r="423" spans="1:2" x14ac:dyDescent="0.25">
      <c r="A423" s="1">
        <v>44442</v>
      </c>
      <c r="B423">
        <v>-1.01</v>
      </c>
    </row>
    <row r="424" spans="1:2" x14ac:dyDescent="0.25">
      <c r="A424" s="1">
        <v>44446</v>
      </c>
      <c r="B424">
        <v>-0.98</v>
      </c>
    </row>
    <row r="425" spans="1:2" x14ac:dyDescent="0.25">
      <c r="A425" s="1">
        <v>44447</v>
      </c>
      <c r="B425">
        <v>-1.03</v>
      </c>
    </row>
    <row r="426" spans="1:2" x14ac:dyDescent="0.25">
      <c r="A426" s="1">
        <v>44448</v>
      </c>
      <c r="B426">
        <v>-1.08</v>
      </c>
    </row>
    <row r="427" spans="1:2" x14ac:dyDescent="0.25">
      <c r="A427" s="1">
        <v>44449</v>
      </c>
      <c r="B427">
        <v>-1.05</v>
      </c>
    </row>
    <row r="428" spans="1:2" x14ac:dyDescent="0.25">
      <c r="A428" s="1">
        <v>44452</v>
      </c>
      <c r="B428">
        <v>-1.04</v>
      </c>
    </row>
    <row r="429" spans="1:2" x14ac:dyDescent="0.25">
      <c r="A429" s="1">
        <v>44453</v>
      </c>
      <c r="B429">
        <v>-1.05</v>
      </c>
    </row>
    <row r="430" spans="1:2" x14ac:dyDescent="0.25">
      <c r="A430" s="1">
        <v>44454</v>
      </c>
      <c r="B430">
        <v>-1.04</v>
      </c>
    </row>
    <row r="431" spans="1:2" x14ac:dyDescent="0.25">
      <c r="A431" s="1">
        <v>44455</v>
      </c>
      <c r="B431">
        <v>-1.01</v>
      </c>
    </row>
    <row r="432" spans="1:2" x14ac:dyDescent="0.25">
      <c r="A432" s="1">
        <v>44456</v>
      </c>
      <c r="B432">
        <v>-0.96</v>
      </c>
    </row>
    <row r="433" spans="1:2" x14ac:dyDescent="0.25">
      <c r="A433" s="1">
        <v>44459</v>
      </c>
      <c r="B433">
        <v>-0.98</v>
      </c>
    </row>
    <row r="434" spans="1:2" x14ac:dyDescent="0.25">
      <c r="A434" s="1">
        <v>44460</v>
      </c>
      <c r="B434">
        <v>-0.96</v>
      </c>
    </row>
    <row r="435" spans="1:2" x14ac:dyDescent="0.25">
      <c r="A435" s="1">
        <v>44461</v>
      </c>
      <c r="B435">
        <v>-0.96</v>
      </c>
    </row>
    <row r="436" spans="1:2" x14ac:dyDescent="0.25">
      <c r="A436" s="1">
        <v>44462</v>
      </c>
      <c r="B436">
        <v>-0.9</v>
      </c>
    </row>
    <row r="437" spans="1:2" x14ac:dyDescent="0.25">
      <c r="A437" s="1">
        <v>44463</v>
      </c>
      <c r="B437">
        <v>-0.87</v>
      </c>
    </row>
    <row r="438" spans="1:2" x14ac:dyDescent="0.25">
      <c r="A438" s="1">
        <v>44466</v>
      </c>
      <c r="B438">
        <v>-0.87</v>
      </c>
    </row>
    <row r="439" spans="1:2" x14ac:dyDescent="0.25">
      <c r="A439" s="1">
        <v>44467</v>
      </c>
      <c r="B439">
        <v>-0.84</v>
      </c>
    </row>
    <row r="440" spans="1:2" x14ac:dyDescent="0.25">
      <c r="A440" s="1">
        <v>44468</v>
      </c>
      <c r="B440">
        <v>-0.82</v>
      </c>
    </row>
    <row r="441" spans="1:2" x14ac:dyDescent="0.25">
      <c r="A441" s="1">
        <v>44469</v>
      </c>
      <c r="B441">
        <v>-0.85</v>
      </c>
    </row>
    <row r="442" spans="1:2" x14ac:dyDescent="0.25">
      <c r="A442" s="1">
        <v>44470</v>
      </c>
      <c r="B442">
        <v>-0.9</v>
      </c>
    </row>
    <row r="443" spans="1:2" x14ac:dyDescent="0.25">
      <c r="A443" s="1">
        <v>44473</v>
      </c>
      <c r="B443">
        <v>-0.89</v>
      </c>
    </row>
    <row r="444" spans="1:2" x14ac:dyDescent="0.25">
      <c r="A444" s="1">
        <v>44474</v>
      </c>
      <c r="B444">
        <v>-0.91</v>
      </c>
    </row>
    <row r="445" spans="1:2" x14ac:dyDescent="0.25">
      <c r="A445" s="1">
        <v>44475</v>
      </c>
      <c r="B445">
        <v>-0.9</v>
      </c>
    </row>
    <row r="446" spans="1:2" x14ac:dyDescent="0.25">
      <c r="A446" s="1">
        <v>44476</v>
      </c>
      <c r="B446">
        <v>-0.88</v>
      </c>
    </row>
    <row r="447" spans="1:2" x14ac:dyDescent="0.25">
      <c r="A447" s="1">
        <v>44477</v>
      </c>
      <c r="B447">
        <v>-0.89</v>
      </c>
    </row>
    <row r="448" spans="1:2" x14ac:dyDescent="0.25">
      <c r="A448" s="1">
        <v>44481</v>
      </c>
      <c r="B448">
        <v>-0.9</v>
      </c>
    </row>
    <row r="449" spans="1:2" x14ac:dyDescent="0.25">
      <c r="A449" s="1">
        <v>44482</v>
      </c>
      <c r="B449">
        <v>-0.96</v>
      </c>
    </row>
    <row r="450" spans="1:2" x14ac:dyDescent="0.25">
      <c r="A450" s="1">
        <v>44483</v>
      </c>
      <c r="B450">
        <v>-1</v>
      </c>
    </row>
    <row r="451" spans="1:2" x14ac:dyDescent="0.25">
      <c r="A451" s="1">
        <v>44484</v>
      </c>
      <c r="B451">
        <v>-0.97</v>
      </c>
    </row>
    <row r="452" spans="1:2" x14ac:dyDescent="0.25">
      <c r="A452" s="1">
        <v>44487</v>
      </c>
      <c r="B452">
        <v>-0.95</v>
      </c>
    </row>
    <row r="453" spans="1:2" x14ac:dyDescent="0.25">
      <c r="A453" s="1">
        <v>44488</v>
      </c>
      <c r="B453">
        <v>-0.89</v>
      </c>
    </row>
    <row r="454" spans="1:2" x14ac:dyDescent="0.25">
      <c r="A454" s="1">
        <v>44489</v>
      </c>
      <c r="B454">
        <v>-0.92</v>
      </c>
    </row>
    <row r="455" spans="1:2" x14ac:dyDescent="0.25">
      <c r="A455" s="1">
        <v>44490</v>
      </c>
      <c r="B455">
        <v>-0.96</v>
      </c>
    </row>
    <row r="456" spans="1:2" x14ac:dyDescent="0.25">
      <c r="A456" s="1">
        <v>44491</v>
      </c>
      <c r="B456">
        <v>-0.98</v>
      </c>
    </row>
    <row r="457" spans="1:2" x14ac:dyDescent="0.25">
      <c r="A457" s="1">
        <v>44494</v>
      </c>
      <c r="B457">
        <v>-1.02</v>
      </c>
    </row>
    <row r="458" spans="1:2" x14ac:dyDescent="0.25">
      <c r="A458" s="1">
        <v>44495</v>
      </c>
      <c r="B458">
        <v>-1.06</v>
      </c>
    </row>
    <row r="459" spans="1:2" x14ac:dyDescent="0.25">
      <c r="A459" s="1">
        <v>44496</v>
      </c>
      <c r="B459">
        <v>-1.1100000000000001</v>
      </c>
    </row>
    <row r="460" spans="1:2" x14ac:dyDescent="0.25">
      <c r="A460" s="1">
        <v>44497</v>
      </c>
      <c r="B460">
        <v>-1</v>
      </c>
    </row>
    <row r="461" spans="1:2" x14ac:dyDescent="0.25">
      <c r="A461" s="1">
        <v>44498</v>
      </c>
      <c r="B461">
        <v>-0.96</v>
      </c>
    </row>
    <row r="462" spans="1:2" x14ac:dyDescent="0.25">
      <c r="A462" s="1">
        <v>44501</v>
      </c>
      <c r="B462">
        <v>-0.92</v>
      </c>
    </row>
    <row r="463" spans="1:2" x14ac:dyDescent="0.25">
      <c r="A463" s="1">
        <v>44502</v>
      </c>
      <c r="B463">
        <v>-0.95</v>
      </c>
    </row>
    <row r="464" spans="1:2" x14ac:dyDescent="0.25">
      <c r="A464" s="1">
        <v>44503</v>
      </c>
      <c r="B464">
        <v>-0.93</v>
      </c>
    </row>
    <row r="465" spans="1:2" x14ac:dyDescent="0.25">
      <c r="A465" s="1">
        <v>44504</v>
      </c>
      <c r="B465">
        <v>-1.03</v>
      </c>
    </row>
    <row r="466" spans="1:2" x14ac:dyDescent="0.25">
      <c r="A466" s="1">
        <v>44505</v>
      </c>
      <c r="B466">
        <v>-1.0900000000000001</v>
      </c>
    </row>
    <row r="467" spans="1:2" x14ac:dyDescent="0.25">
      <c r="A467" s="1">
        <v>44508</v>
      </c>
      <c r="B467">
        <v>-1.1100000000000001</v>
      </c>
    </row>
    <row r="468" spans="1:2" x14ac:dyDescent="0.25">
      <c r="A468" s="1">
        <v>44509</v>
      </c>
      <c r="B468">
        <v>-1.17</v>
      </c>
    </row>
    <row r="469" spans="1:2" x14ac:dyDescent="0.25">
      <c r="A469" s="1">
        <v>44510</v>
      </c>
      <c r="B469">
        <v>-1.1399999999999999</v>
      </c>
    </row>
    <row r="470" spans="1:2" x14ac:dyDescent="0.25">
      <c r="A470" s="1">
        <v>44512</v>
      </c>
      <c r="B470">
        <v>-1.1499999999999999</v>
      </c>
    </row>
    <row r="471" spans="1:2" x14ac:dyDescent="0.25">
      <c r="A471" s="1">
        <v>44515</v>
      </c>
      <c r="B471">
        <v>-1.1299999999999999</v>
      </c>
    </row>
    <row r="472" spans="1:2" x14ac:dyDescent="0.25">
      <c r="A472" s="1">
        <v>44516</v>
      </c>
      <c r="B472">
        <v>-1.1000000000000001</v>
      </c>
    </row>
    <row r="473" spans="1:2" x14ac:dyDescent="0.25">
      <c r="A473" s="1">
        <v>44517</v>
      </c>
      <c r="B473">
        <v>-1.1000000000000001</v>
      </c>
    </row>
    <row r="474" spans="1:2" x14ac:dyDescent="0.25">
      <c r="A474" s="1">
        <v>44518</v>
      </c>
      <c r="B474">
        <v>-1.1399999999999999</v>
      </c>
    </row>
    <row r="475" spans="1:2" x14ac:dyDescent="0.25">
      <c r="A475" s="1">
        <v>44519</v>
      </c>
      <c r="B475">
        <v>-1.1100000000000001</v>
      </c>
    </row>
    <row r="476" spans="1:2" x14ac:dyDescent="0.25">
      <c r="A476" s="1">
        <v>44522</v>
      </c>
      <c r="B476">
        <v>-0.98</v>
      </c>
    </row>
    <row r="477" spans="1:2" x14ac:dyDescent="0.25">
      <c r="A477" s="1">
        <v>44523</v>
      </c>
      <c r="B477">
        <v>-0.95</v>
      </c>
    </row>
    <row r="478" spans="1:2" x14ac:dyDescent="0.25">
      <c r="A478" s="1">
        <v>44524</v>
      </c>
      <c r="B478">
        <v>-0.97</v>
      </c>
    </row>
    <row r="479" spans="1:2" x14ac:dyDescent="0.25">
      <c r="A479" s="1">
        <v>44526</v>
      </c>
      <c r="B479">
        <v>-1.07</v>
      </c>
    </row>
    <row r="480" spans="1:2" x14ac:dyDescent="0.25">
      <c r="A480" s="1">
        <v>44529</v>
      </c>
      <c r="B480">
        <v>-1.02</v>
      </c>
    </row>
    <row r="481" spans="1:2" x14ac:dyDescent="0.25">
      <c r="A481" s="1">
        <v>44530</v>
      </c>
      <c r="B481">
        <v>-1.07</v>
      </c>
    </row>
    <row r="482" spans="1:2" x14ac:dyDescent="0.25">
      <c r="A482" s="1">
        <v>44531</v>
      </c>
      <c r="B482">
        <v>-1.01</v>
      </c>
    </row>
    <row r="483" spans="1:2" x14ac:dyDescent="0.25">
      <c r="A483" s="1">
        <v>44532</v>
      </c>
      <c r="B483">
        <v>-1.03</v>
      </c>
    </row>
    <row r="484" spans="1:2" x14ac:dyDescent="0.25">
      <c r="A484" s="1">
        <v>44533</v>
      </c>
      <c r="B484">
        <v>-1.08</v>
      </c>
    </row>
    <row r="485" spans="1:2" x14ac:dyDescent="0.25">
      <c r="A485" s="1">
        <v>44536</v>
      </c>
      <c r="B485">
        <v>-1.01</v>
      </c>
    </row>
    <row r="486" spans="1:2" x14ac:dyDescent="0.25">
      <c r="A486" s="1">
        <v>44537</v>
      </c>
      <c r="B486">
        <v>-0.99</v>
      </c>
    </row>
    <row r="487" spans="1:2" x14ac:dyDescent="0.25">
      <c r="A487" s="1">
        <v>44538</v>
      </c>
      <c r="B487">
        <v>-1</v>
      </c>
    </row>
    <row r="488" spans="1:2" x14ac:dyDescent="0.25">
      <c r="A488" s="1">
        <v>44539</v>
      </c>
      <c r="B488">
        <v>-0.98</v>
      </c>
    </row>
    <row r="489" spans="1:2" x14ac:dyDescent="0.25">
      <c r="A489" s="1">
        <v>44540</v>
      </c>
      <c r="B489">
        <v>-0.96</v>
      </c>
    </row>
    <row r="490" spans="1:2" x14ac:dyDescent="0.25">
      <c r="A490" s="1">
        <v>44543</v>
      </c>
      <c r="B490">
        <v>-0.98</v>
      </c>
    </row>
    <row r="491" spans="1:2" x14ac:dyDescent="0.25">
      <c r="A491" s="1">
        <v>44544</v>
      </c>
      <c r="B491">
        <v>-0.93</v>
      </c>
    </row>
    <row r="492" spans="1:2" x14ac:dyDescent="0.25">
      <c r="A492" s="1">
        <v>44545</v>
      </c>
      <c r="B492">
        <v>-0.92</v>
      </c>
    </row>
    <row r="493" spans="1:2" x14ac:dyDescent="0.25">
      <c r="A493" s="1">
        <v>44546</v>
      </c>
      <c r="B493">
        <v>-0.98</v>
      </c>
    </row>
    <row r="494" spans="1:2" x14ac:dyDescent="0.25">
      <c r="A494" s="1">
        <v>44547</v>
      </c>
      <c r="B494">
        <v>-0.97</v>
      </c>
    </row>
    <row r="495" spans="1:2" x14ac:dyDescent="0.25">
      <c r="A495" s="1">
        <v>44550</v>
      </c>
      <c r="B495">
        <v>-0.96</v>
      </c>
    </row>
    <row r="496" spans="1:2" x14ac:dyDescent="0.25">
      <c r="A496" s="1">
        <v>44551</v>
      </c>
      <c r="B496">
        <v>-0.96</v>
      </c>
    </row>
    <row r="497" spans="1:2" x14ac:dyDescent="0.25">
      <c r="A497" s="1">
        <v>44552</v>
      </c>
      <c r="B497">
        <v>-1.01</v>
      </c>
    </row>
    <row r="498" spans="1:2" x14ac:dyDescent="0.25">
      <c r="A498" s="1">
        <v>44553</v>
      </c>
      <c r="B498">
        <v>-0.97</v>
      </c>
    </row>
    <row r="499" spans="1:2" x14ac:dyDescent="0.25">
      <c r="A499" s="1">
        <v>44557</v>
      </c>
      <c r="B499">
        <v>-1.02</v>
      </c>
    </row>
    <row r="500" spans="1:2" x14ac:dyDescent="0.25">
      <c r="A500" s="1">
        <v>44558</v>
      </c>
      <c r="B500">
        <v>-1.01</v>
      </c>
    </row>
    <row r="501" spans="1:2" x14ac:dyDescent="0.25">
      <c r="A501" s="1">
        <v>44559</v>
      </c>
      <c r="B501">
        <v>-0.98</v>
      </c>
    </row>
    <row r="502" spans="1:2" x14ac:dyDescent="0.25">
      <c r="A502" s="1">
        <v>44560</v>
      </c>
      <c r="B502">
        <v>-1.06</v>
      </c>
    </row>
    <row r="503" spans="1:2" x14ac:dyDescent="0.25">
      <c r="A503" s="1">
        <v>44561</v>
      </c>
      <c r="B503">
        <v>-1.04</v>
      </c>
    </row>
    <row r="504" spans="1:2" x14ac:dyDescent="0.25">
      <c r="A504" s="1">
        <v>44564</v>
      </c>
      <c r="B504">
        <v>-0.97</v>
      </c>
    </row>
    <row r="505" spans="1:2" x14ac:dyDescent="0.25">
      <c r="A505" s="1">
        <v>44565</v>
      </c>
      <c r="B505">
        <v>-0.91</v>
      </c>
    </row>
    <row r="506" spans="1:2" x14ac:dyDescent="0.25">
      <c r="A506" s="1">
        <v>44566</v>
      </c>
      <c r="B506">
        <v>-0.82</v>
      </c>
    </row>
    <row r="507" spans="1:2" x14ac:dyDescent="0.25">
      <c r="A507" s="1">
        <v>44567</v>
      </c>
      <c r="B507">
        <v>-0.73</v>
      </c>
    </row>
    <row r="508" spans="1:2" x14ac:dyDescent="0.25">
      <c r="A508" s="1">
        <v>44568</v>
      </c>
      <c r="B508">
        <v>-0.72</v>
      </c>
    </row>
    <row r="509" spans="1:2" x14ac:dyDescent="0.25">
      <c r="A509" s="1">
        <v>44571</v>
      </c>
      <c r="B509">
        <v>-0.7</v>
      </c>
    </row>
    <row r="510" spans="1:2" x14ac:dyDescent="0.25">
      <c r="A510" s="1">
        <v>44572</v>
      </c>
      <c r="B510">
        <v>-0.79</v>
      </c>
    </row>
    <row r="511" spans="1:2" x14ac:dyDescent="0.25">
      <c r="A511" s="1">
        <v>44573</v>
      </c>
      <c r="B511">
        <v>-0.74</v>
      </c>
    </row>
    <row r="512" spans="1:2" x14ac:dyDescent="0.25">
      <c r="A512" s="1">
        <v>44574</v>
      </c>
      <c r="B512">
        <v>-0.73</v>
      </c>
    </row>
    <row r="513" spans="1:2" x14ac:dyDescent="0.25">
      <c r="A513" s="1">
        <v>44575</v>
      </c>
      <c r="B513">
        <v>-0.66</v>
      </c>
    </row>
    <row r="514" spans="1:2" x14ac:dyDescent="0.25">
      <c r="A514" s="1">
        <v>44579</v>
      </c>
      <c r="B514">
        <v>-0.59</v>
      </c>
    </row>
    <row r="515" spans="1:2" x14ac:dyDescent="0.25">
      <c r="A515" s="1">
        <v>44580</v>
      </c>
      <c r="B515">
        <v>-0.56999999999999995</v>
      </c>
    </row>
    <row r="516" spans="1:2" x14ac:dyDescent="0.25">
      <c r="A516" s="1">
        <v>44581</v>
      </c>
      <c r="B516">
        <v>-0.5</v>
      </c>
    </row>
    <row r="517" spans="1:2" x14ac:dyDescent="0.25">
      <c r="A517" s="1">
        <v>44582</v>
      </c>
      <c r="B517">
        <v>-0.59</v>
      </c>
    </row>
    <row r="518" spans="1:2" x14ac:dyDescent="0.25">
      <c r="A518" s="1">
        <v>44585</v>
      </c>
      <c r="B518">
        <v>-0.63</v>
      </c>
    </row>
    <row r="519" spans="1:2" x14ac:dyDescent="0.25">
      <c r="A519" s="1">
        <v>44586</v>
      </c>
      <c r="B519">
        <v>-0.63</v>
      </c>
    </row>
    <row r="520" spans="1:2" x14ac:dyDescent="0.25">
      <c r="A520" s="1">
        <v>44587</v>
      </c>
      <c r="B520">
        <v>-0.53</v>
      </c>
    </row>
    <row r="521" spans="1:2" x14ac:dyDescent="0.25">
      <c r="A521" s="1">
        <v>44588</v>
      </c>
      <c r="B521">
        <v>-0.59</v>
      </c>
    </row>
    <row r="522" spans="1:2" x14ac:dyDescent="0.25">
      <c r="A522" s="1">
        <v>44589</v>
      </c>
      <c r="B522">
        <v>-0.66</v>
      </c>
    </row>
    <row r="523" spans="1:2" x14ac:dyDescent="0.25">
      <c r="A523" s="1">
        <v>44592</v>
      </c>
      <c r="B523">
        <v>-0.65</v>
      </c>
    </row>
    <row r="524" spans="1:2" x14ac:dyDescent="0.25">
      <c r="A524" s="1">
        <v>44593</v>
      </c>
      <c r="B524">
        <v>-0.62</v>
      </c>
    </row>
    <row r="525" spans="1:2" x14ac:dyDescent="0.25">
      <c r="A525" s="1">
        <v>44594</v>
      </c>
      <c r="B525">
        <v>-0.63</v>
      </c>
    </row>
    <row r="526" spans="1:2" x14ac:dyDescent="0.25">
      <c r="A526" s="1">
        <v>44595</v>
      </c>
      <c r="B526">
        <v>-0.56000000000000005</v>
      </c>
    </row>
    <row r="527" spans="1:2" x14ac:dyDescent="0.25">
      <c r="A527" s="1">
        <v>44596</v>
      </c>
      <c r="B527">
        <v>-0.48</v>
      </c>
    </row>
    <row r="528" spans="1:2" x14ac:dyDescent="0.25">
      <c r="A528" s="1">
        <v>44599</v>
      </c>
      <c r="B528">
        <v>-0.48</v>
      </c>
    </row>
    <row r="529" spans="1:2" x14ac:dyDescent="0.25">
      <c r="A529" s="1">
        <v>44600</v>
      </c>
      <c r="B529">
        <v>-0.46</v>
      </c>
    </row>
    <row r="530" spans="1:2" x14ac:dyDescent="0.25">
      <c r="A530" s="1">
        <v>44601</v>
      </c>
      <c r="B530">
        <v>-0.48</v>
      </c>
    </row>
    <row r="531" spans="1:2" x14ac:dyDescent="0.25">
      <c r="A531" s="1">
        <v>44602</v>
      </c>
      <c r="B531">
        <v>-0.42</v>
      </c>
    </row>
    <row r="532" spans="1:2" x14ac:dyDescent="0.25">
      <c r="A532" s="1">
        <v>44603</v>
      </c>
      <c r="B532">
        <v>-0.51</v>
      </c>
    </row>
    <row r="533" spans="1:2" x14ac:dyDescent="0.25">
      <c r="A533" s="1">
        <v>44606</v>
      </c>
      <c r="B533">
        <v>-0.5</v>
      </c>
    </row>
    <row r="534" spans="1:2" x14ac:dyDescent="0.25">
      <c r="A534" s="1">
        <v>44607</v>
      </c>
      <c r="B534">
        <v>-0.43</v>
      </c>
    </row>
    <row r="535" spans="1:2" x14ac:dyDescent="0.25">
      <c r="A535" s="1">
        <v>44608</v>
      </c>
      <c r="B535">
        <v>-0.43</v>
      </c>
    </row>
    <row r="536" spans="1:2" x14ac:dyDescent="0.25">
      <c r="A536" s="1">
        <v>44609</v>
      </c>
      <c r="B536">
        <v>-0.46</v>
      </c>
    </row>
    <row r="537" spans="1:2" x14ac:dyDescent="0.25">
      <c r="A537" s="1">
        <v>44610</v>
      </c>
      <c r="B537">
        <v>-0.49</v>
      </c>
    </row>
    <row r="538" spans="1:2" x14ac:dyDescent="0.25">
      <c r="A538" s="1">
        <v>44614</v>
      </c>
      <c r="B538">
        <v>-0.51</v>
      </c>
    </row>
    <row r="539" spans="1:2" x14ac:dyDescent="0.25">
      <c r="A539" s="1">
        <v>44615</v>
      </c>
      <c r="B539">
        <v>-0.54</v>
      </c>
    </row>
    <row r="540" spans="1:2" x14ac:dyDescent="0.25">
      <c r="A540" s="1">
        <v>44616</v>
      </c>
      <c r="B540">
        <v>-0.59</v>
      </c>
    </row>
    <row r="541" spans="1:2" x14ac:dyDescent="0.25">
      <c r="A541" s="1">
        <v>44617</v>
      </c>
      <c r="B541">
        <v>-0.56999999999999995</v>
      </c>
    </row>
    <row r="542" spans="1:2" x14ac:dyDescent="0.25">
      <c r="A542" s="1">
        <v>44620</v>
      </c>
      <c r="B542">
        <v>-0.79</v>
      </c>
    </row>
    <row r="543" spans="1:2" x14ac:dyDescent="0.25">
      <c r="A543" s="1">
        <v>44621</v>
      </c>
      <c r="B543">
        <v>-0.9</v>
      </c>
    </row>
    <row r="544" spans="1:2" x14ac:dyDescent="0.25">
      <c r="A544" s="1">
        <v>44622</v>
      </c>
      <c r="B544">
        <v>-0.85</v>
      </c>
    </row>
    <row r="545" spans="1:2" x14ac:dyDescent="0.25">
      <c r="A545" s="1">
        <v>44623</v>
      </c>
      <c r="B545">
        <v>-0.83</v>
      </c>
    </row>
    <row r="546" spans="1:2" x14ac:dyDescent="0.25">
      <c r="A546" s="1">
        <v>44624</v>
      </c>
      <c r="B546">
        <v>-0.93</v>
      </c>
    </row>
    <row r="547" spans="1:2" x14ac:dyDescent="0.25">
      <c r="A547" s="1">
        <v>44627</v>
      </c>
      <c r="B547">
        <v>-0.99</v>
      </c>
    </row>
    <row r="548" spans="1:2" x14ac:dyDescent="0.25">
      <c r="A548" s="1">
        <v>44628</v>
      </c>
      <c r="B548">
        <v>-1.04</v>
      </c>
    </row>
    <row r="549" spans="1:2" x14ac:dyDescent="0.25">
      <c r="A549" s="1">
        <v>44629</v>
      </c>
      <c r="B549">
        <v>-0.9</v>
      </c>
    </row>
    <row r="550" spans="1:2" x14ac:dyDescent="0.25">
      <c r="A550" s="1">
        <v>44630</v>
      </c>
      <c r="B550">
        <v>-0.88</v>
      </c>
    </row>
    <row r="551" spans="1:2" x14ac:dyDescent="0.25">
      <c r="A551" s="1">
        <v>44631</v>
      </c>
      <c r="B551">
        <v>-0.94</v>
      </c>
    </row>
    <row r="552" spans="1:2" x14ac:dyDescent="0.25">
      <c r="A552" s="1">
        <v>44634</v>
      </c>
      <c r="B552">
        <v>-0.79</v>
      </c>
    </row>
    <row r="553" spans="1:2" x14ac:dyDescent="0.25">
      <c r="A553" s="1">
        <v>44635</v>
      </c>
      <c r="B553">
        <v>-0.69</v>
      </c>
    </row>
    <row r="554" spans="1:2" x14ac:dyDescent="0.25">
      <c r="A554" s="1">
        <v>44636</v>
      </c>
      <c r="B554">
        <v>-0.61</v>
      </c>
    </row>
    <row r="555" spans="1:2" x14ac:dyDescent="0.25">
      <c r="A555" s="1">
        <v>44637</v>
      </c>
      <c r="B555">
        <v>-0.71</v>
      </c>
    </row>
    <row r="556" spans="1:2" x14ac:dyDescent="0.25">
      <c r="A556" s="1">
        <v>44638</v>
      </c>
      <c r="B556">
        <v>-0.72</v>
      </c>
    </row>
    <row r="557" spans="1:2" x14ac:dyDescent="0.25">
      <c r="A557" s="1">
        <v>44641</v>
      </c>
      <c r="B557">
        <v>-0.57999999999999996</v>
      </c>
    </row>
    <row r="558" spans="1:2" x14ac:dyDescent="0.25">
      <c r="A558" s="1">
        <v>44642</v>
      </c>
      <c r="B558">
        <v>-0.53</v>
      </c>
    </row>
    <row r="559" spans="1:2" x14ac:dyDescent="0.25">
      <c r="A559" s="1">
        <v>44643</v>
      </c>
      <c r="B559">
        <v>-0.62</v>
      </c>
    </row>
    <row r="560" spans="1:2" x14ac:dyDescent="0.25">
      <c r="A560" s="1">
        <v>44644</v>
      </c>
      <c r="B560">
        <v>-0.57999999999999996</v>
      </c>
    </row>
    <row r="561" spans="1:2" x14ac:dyDescent="0.25">
      <c r="A561" s="1">
        <v>44645</v>
      </c>
      <c r="B561">
        <v>-0.47</v>
      </c>
    </row>
    <row r="562" spans="1:2" x14ac:dyDescent="0.25">
      <c r="A562" s="1">
        <v>44648</v>
      </c>
      <c r="B562">
        <v>-0.49</v>
      </c>
    </row>
    <row r="563" spans="1:2" x14ac:dyDescent="0.25">
      <c r="A563" s="1">
        <v>44649</v>
      </c>
      <c r="B563">
        <v>-0.45</v>
      </c>
    </row>
    <row r="564" spans="1:2" x14ac:dyDescent="0.25">
      <c r="A564" s="1">
        <v>44650</v>
      </c>
      <c r="B564">
        <v>-0.51</v>
      </c>
    </row>
    <row r="565" spans="1:2" x14ac:dyDescent="0.25">
      <c r="A565" s="1">
        <v>44651</v>
      </c>
      <c r="B565">
        <v>-0.52</v>
      </c>
    </row>
    <row r="566" spans="1:2" x14ac:dyDescent="0.25">
      <c r="A566" s="1">
        <v>44652</v>
      </c>
      <c r="B566">
        <v>-0.41</v>
      </c>
    </row>
    <row r="567" spans="1:2" x14ac:dyDescent="0.25">
      <c r="A567" s="1">
        <v>44655</v>
      </c>
      <c r="B567">
        <v>-0.38</v>
      </c>
    </row>
    <row r="568" spans="1:2" x14ac:dyDescent="0.25">
      <c r="A568" s="1">
        <v>44656</v>
      </c>
      <c r="B568">
        <v>-0.3</v>
      </c>
    </row>
    <row r="569" spans="1:2" x14ac:dyDescent="0.25">
      <c r="A569" s="1">
        <v>44657</v>
      </c>
      <c r="B569">
        <v>-0.22</v>
      </c>
    </row>
    <row r="570" spans="1:2" x14ac:dyDescent="0.25">
      <c r="A570" s="1">
        <v>44658</v>
      </c>
      <c r="B570">
        <v>-0.16</v>
      </c>
    </row>
    <row r="571" spans="1:2" x14ac:dyDescent="0.25">
      <c r="A571" s="1">
        <v>44659</v>
      </c>
      <c r="B571">
        <v>-0.15</v>
      </c>
    </row>
    <row r="572" spans="1:2" x14ac:dyDescent="0.25">
      <c r="A572" s="1">
        <v>44662</v>
      </c>
      <c r="B572">
        <v>-0.12</v>
      </c>
    </row>
    <row r="573" spans="1:2" x14ac:dyDescent="0.25">
      <c r="A573" s="1">
        <v>44663</v>
      </c>
      <c r="B573">
        <v>-0.14000000000000001</v>
      </c>
    </row>
    <row r="574" spans="1:2" x14ac:dyDescent="0.25">
      <c r="A574" s="1">
        <v>44664</v>
      </c>
      <c r="B574">
        <v>-0.1</v>
      </c>
    </row>
    <row r="575" spans="1:2" x14ac:dyDescent="0.25">
      <c r="A575" s="1">
        <v>44665</v>
      </c>
      <c r="B575">
        <v>-0.06</v>
      </c>
    </row>
    <row r="576" spans="1:2" x14ac:dyDescent="0.25">
      <c r="A576" s="1">
        <v>44669</v>
      </c>
      <c r="B576">
        <v>-7.0000000000000007E-2</v>
      </c>
    </row>
    <row r="577" spans="1:2" x14ac:dyDescent="0.25">
      <c r="A577" s="1">
        <v>44670</v>
      </c>
      <c r="B577">
        <v>0</v>
      </c>
    </row>
    <row r="578" spans="1:2" x14ac:dyDescent="0.25">
      <c r="A578" s="1">
        <v>44671</v>
      </c>
      <c r="B578">
        <v>-7.0000000000000007E-2</v>
      </c>
    </row>
    <row r="579" spans="1:2" x14ac:dyDescent="0.25">
      <c r="A579" s="1">
        <v>44672</v>
      </c>
      <c r="B579">
        <v>-0.12</v>
      </c>
    </row>
    <row r="580" spans="1:2" x14ac:dyDescent="0.25">
      <c r="A580" s="1">
        <v>44673</v>
      </c>
      <c r="B580">
        <v>-0.08</v>
      </c>
    </row>
    <row r="581" spans="1:2" x14ac:dyDescent="0.25">
      <c r="A581" s="1">
        <v>44676</v>
      </c>
      <c r="B581">
        <v>-0.1</v>
      </c>
    </row>
    <row r="582" spans="1:2" x14ac:dyDescent="0.25">
      <c r="A582" s="1">
        <v>44677</v>
      </c>
      <c r="B582">
        <v>-0.08</v>
      </c>
    </row>
    <row r="583" spans="1:2" x14ac:dyDescent="0.25">
      <c r="A583" s="1">
        <v>44678</v>
      </c>
      <c r="B583">
        <v>-0.06</v>
      </c>
    </row>
    <row r="584" spans="1:2" x14ac:dyDescent="0.25">
      <c r="A584" s="1">
        <v>44679</v>
      </c>
      <c r="B584">
        <v>-0.12</v>
      </c>
    </row>
    <row r="585" spans="1:2" x14ac:dyDescent="0.25">
      <c r="A585" s="1">
        <v>44680</v>
      </c>
      <c r="B585">
        <v>0.01</v>
      </c>
    </row>
    <row r="586" spans="1:2" x14ac:dyDescent="0.25">
      <c r="A586" s="1">
        <v>44683</v>
      </c>
      <c r="B586">
        <v>0.18</v>
      </c>
    </row>
    <row r="587" spans="1:2" x14ac:dyDescent="0.25">
      <c r="A587" s="1">
        <v>44684</v>
      </c>
      <c r="B587">
        <v>0.14000000000000001</v>
      </c>
    </row>
    <row r="588" spans="1:2" x14ac:dyDescent="0.25">
      <c r="A588" s="1">
        <v>44685</v>
      </c>
      <c r="B588">
        <v>7.0000000000000007E-2</v>
      </c>
    </row>
    <row r="589" spans="1:2" x14ac:dyDescent="0.25">
      <c r="A589" s="1">
        <v>44686</v>
      </c>
      <c r="B589">
        <v>0.18</v>
      </c>
    </row>
    <row r="590" spans="1:2" x14ac:dyDescent="0.25">
      <c r="A590" s="1">
        <v>44687</v>
      </c>
      <c r="B590">
        <v>0.26</v>
      </c>
    </row>
    <row r="591" spans="1:2" x14ac:dyDescent="0.25">
      <c r="A591" s="1">
        <v>44690</v>
      </c>
      <c r="B591">
        <v>0.3</v>
      </c>
    </row>
    <row r="592" spans="1:2" x14ac:dyDescent="0.25">
      <c r="A592" s="1">
        <v>44691</v>
      </c>
      <c r="B592">
        <v>0.34</v>
      </c>
    </row>
    <row r="593" spans="1:2" x14ac:dyDescent="0.25">
      <c r="A593" s="1">
        <v>44692</v>
      </c>
      <c r="B593">
        <v>0.21</v>
      </c>
    </row>
    <row r="594" spans="1:2" x14ac:dyDescent="0.25">
      <c r="A594" s="1">
        <v>44693</v>
      </c>
      <c r="B594">
        <v>0.25</v>
      </c>
    </row>
    <row r="595" spans="1:2" x14ac:dyDescent="0.25">
      <c r="A595" s="1">
        <v>44694</v>
      </c>
      <c r="B595">
        <v>0.24</v>
      </c>
    </row>
    <row r="596" spans="1:2" x14ac:dyDescent="0.25">
      <c r="A596" s="1">
        <v>44697</v>
      </c>
      <c r="B596">
        <v>0.2</v>
      </c>
    </row>
    <row r="597" spans="1:2" x14ac:dyDescent="0.25">
      <c r="A597" s="1">
        <v>44698</v>
      </c>
      <c r="B597">
        <v>0.27</v>
      </c>
    </row>
    <row r="598" spans="1:2" x14ac:dyDescent="0.25">
      <c r="A598" s="1">
        <v>44699</v>
      </c>
      <c r="B598">
        <v>0.17</v>
      </c>
    </row>
    <row r="599" spans="1:2" x14ac:dyDescent="0.25">
      <c r="A599" s="1">
        <v>44700</v>
      </c>
      <c r="B599">
        <v>0.25</v>
      </c>
    </row>
    <row r="600" spans="1:2" x14ac:dyDescent="0.25">
      <c r="A600" s="1">
        <v>44701</v>
      </c>
      <c r="B600">
        <v>0.23</v>
      </c>
    </row>
    <row r="601" spans="1:2" x14ac:dyDescent="0.25">
      <c r="A601" s="1">
        <v>44704</v>
      </c>
      <c r="B601">
        <v>0.26</v>
      </c>
    </row>
    <row r="602" spans="1:2" x14ac:dyDescent="0.25">
      <c r="A602" s="1">
        <v>44705</v>
      </c>
      <c r="B602">
        <v>0.21</v>
      </c>
    </row>
    <row r="603" spans="1:2" x14ac:dyDescent="0.25">
      <c r="A603" s="1">
        <v>44706</v>
      </c>
      <c r="B603">
        <v>0.19</v>
      </c>
    </row>
    <row r="604" spans="1:2" x14ac:dyDescent="0.25">
      <c r="A604" s="1">
        <v>44707</v>
      </c>
      <c r="B604">
        <v>0.13</v>
      </c>
    </row>
    <row r="605" spans="1:2" x14ac:dyDescent="0.25">
      <c r="A605" s="1">
        <v>44708</v>
      </c>
      <c r="B605">
        <v>0.11</v>
      </c>
    </row>
    <row r="606" spans="1:2" x14ac:dyDescent="0.25">
      <c r="A606" s="1">
        <v>44712</v>
      </c>
      <c r="B606">
        <v>0.21</v>
      </c>
    </row>
    <row r="607" spans="1:2" x14ac:dyDescent="0.25">
      <c r="A607" s="1">
        <v>44713</v>
      </c>
      <c r="B607">
        <v>0.28999999999999998</v>
      </c>
    </row>
    <row r="608" spans="1:2" x14ac:dyDescent="0.25">
      <c r="A608" s="1">
        <v>44714</v>
      </c>
      <c r="B608">
        <v>0.26</v>
      </c>
    </row>
    <row r="609" spans="1:2" x14ac:dyDescent="0.25">
      <c r="A609" s="1">
        <v>44715</v>
      </c>
      <c r="B609">
        <v>0.22</v>
      </c>
    </row>
    <row r="610" spans="1:2" x14ac:dyDescent="0.25">
      <c r="A610" s="1">
        <v>44718</v>
      </c>
      <c r="B610">
        <v>0.28000000000000003</v>
      </c>
    </row>
    <row r="611" spans="1:2" x14ac:dyDescent="0.25">
      <c r="A611" s="1">
        <v>44719</v>
      </c>
      <c r="B611">
        <v>0.25</v>
      </c>
    </row>
    <row r="612" spans="1:2" x14ac:dyDescent="0.25">
      <c r="A612" s="1">
        <v>44720</v>
      </c>
      <c r="B612">
        <v>0.28000000000000003</v>
      </c>
    </row>
    <row r="613" spans="1:2" x14ac:dyDescent="0.25">
      <c r="A613" s="1">
        <v>44721</v>
      </c>
      <c r="B613">
        <v>0.28999999999999998</v>
      </c>
    </row>
    <row r="614" spans="1:2" x14ac:dyDescent="0.25">
      <c r="A614" s="1">
        <v>44722</v>
      </c>
      <c r="B614">
        <v>0.39</v>
      </c>
    </row>
    <row r="615" spans="1:2" x14ac:dyDescent="0.25">
      <c r="A615" s="1">
        <v>44725</v>
      </c>
      <c r="B615">
        <v>0.69</v>
      </c>
    </row>
    <row r="616" spans="1:2" x14ac:dyDescent="0.25">
      <c r="A616" s="1">
        <v>44726</v>
      </c>
      <c r="B616">
        <v>0.89</v>
      </c>
    </row>
    <row r="617" spans="1:2" x14ac:dyDescent="0.25">
      <c r="A617" s="1">
        <v>44727</v>
      </c>
      <c r="B617">
        <v>0.63</v>
      </c>
    </row>
    <row r="618" spans="1:2" x14ac:dyDescent="0.25">
      <c r="A618" s="1">
        <v>44728</v>
      </c>
      <c r="B618">
        <v>0.66</v>
      </c>
    </row>
    <row r="619" spans="1:2" x14ac:dyDescent="0.25">
      <c r="A619" s="1">
        <v>44729</v>
      </c>
      <c r="B619">
        <v>0.67</v>
      </c>
    </row>
    <row r="620" spans="1:2" x14ac:dyDescent="0.25">
      <c r="A620" s="1">
        <v>44733</v>
      </c>
      <c r="B620">
        <v>0.7</v>
      </c>
    </row>
    <row r="621" spans="1:2" x14ac:dyDescent="0.25">
      <c r="A621" s="1">
        <v>44734</v>
      </c>
      <c r="B621">
        <v>0.62</v>
      </c>
    </row>
    <row r="622" spans="1:2" x14ac:dyDescent="0.25">
      <c r="A622" s="1">
        <v>44735</v>
      </c>
      <c r="B622">
        <v>0.59</v>
      </c>
    </row>
    <row r="623" spans="1:2" x14ac:dyDescent="0.25">
      <c r="A623" s="1">
        <v>44736</v>
      </c>
      <c r="B623">
        <v>0.56999999999999995</v>
      </c>
    </row>
    <row r="624" spans="1:2" x14ac:dyDescent="0.25">
      <c r="A624" s="1">
        <v>44739</v>
      </c>
      <c r="B624">
        <v>0.65</v>
      </c>
    </row>
    <row r="625" spans="1:2" x14ac:dyDescent="0.25">
      <c r="A625" s="1">
        <v>44740</v>
      </c>
      <c r="B625">
        <v>0.72</v>
      </c>
    </row>
    <row r="626" spans="1:2" x14ac:dyDescent="0.25">
      <c r="A626" s="1">
        <v>44741</v>
      </c>
      <c r="B626">
        <v>0.74</v>
      </c>
    </row>
    <row r="627" spans="1:2" x14ac:dyDescent="0.25">
      <c r="A627" s="1">
        <v>44742</v>
      </c>
      <c r="B627">
        <v>0.65</v>
      </c>
    </row>
    <row r="628" spans="1:2" x14ac:dyDescent="0.25">
      <c r="A628" s="1">
        <v>44743</v>
      </c>
      <c r="B628">
        <v>0.54</v>
      </c>
    </row>
    <row r="629" spans="1:2" x14ac:dyDescent="0.25">
      <c r="A629" s="1">
        <v>44747</v>
      </c>
      <c r="B629">
        <v>0.52</v>
      </c>
    </row>
    <row r="630" spans="1:2" x14ac:dyDescent="0.25">
      <c r="A630" s="1">
        <v>44748</v>
      </c>
      <c r="B630">
        <v>0.64</v>
      </c>
    </row>
    <row r="631" spans="1:2" x14ac:dyDescent="0.25">
      <c r="A631" s="1">
        <v>44749</v>
      </c>
      <c r="B631">
        <v>0.68</v>
      </c>
    </row>
    <row r="632" spans="1:2" x14ac:dyDescent="0.25">
      <c r="A632" s="1">
        <v>44750</v>
      </c>
      <c r="B632">
        <v>0.72</v>
      </c>
    </row>
    <row r="633" spans="1:2" x14ac:dyDescent="0.25">
      <c r="A633" s="1">
        <v>44753</v>
      </c>
      <c r="B633">
        <v>0.67</v>
      </c>
    </row>
    <row r="634" spans="1:2" x14ac:dyDescent="0.25">
      <c r="A634" s="1">
        <v>44754</v>
      </c>
      <c r="B634">
        <v>0.64</v>
      </c>
    </row>
    <row r="635" spans="1:2" x14ac:dyDescent="0.25">
      <c r="A635" s="1">
        <v>44755</v>
      </c>
      <c r="B635">
        <v>0.6</v>
      </c>
    </row>
    <row r="636" spans="1:2" x14ac:dyDescent="0.25">
      <c r="A636" s="1">
        <v>44756</v>
      </c>
      <c r="B636">
        <v>0.62</v>
      </c>
    </row>
    <row r="637" spans="1:2" x14ac:dyDescent="0.25">
      <c r="A637" s="1">
        <v>44757</v>
      </c>
      <c r="B637">
        <v>0.56999999999999995</v>
      </c>
    </row>
    <row r="638" spans="1:2" x14ac:dyDescent="0.25">
      <c r="A638" s="1">
        <v>44760</v>
      </c>
      <c r="B638">
        <v>0.59</v>
      </c>
    </row>
    <row r="639" spans="1:2" x14ac:dyDescent="0.25">
      <c r="A639" s="1">
        <v>44761</v>
      </c>
      <c r="B639">
        <v>0.62</v>
      </c>
    </row>
    <row r="640" spans="1:2" x14ac:dyDescent="0.25">
      <c r="A640" s="1">
        <v>44762</v>
      </c>
      <c r="B640">
        <v>0.66</v>
      </c>
    </row>
    <row r="641" spans="1:2" x14ac:dyDescent="0.25">
      <c r="A641" s="1">
        <v>44763</v>
      </c>
      <c r="B641">
        <v>0.57999999999999996</v>
      </c>
    </row>
    <row r="642" spans="1:2" x14ac:dyDescent="0.25">
      <c r="A642" s="1">
        <v>44764</v>
      </c>
      <c r="B642">
        <v>0.43</v>
      </c>
    </row>
    <row r="643" spans="1:2" x14ac:dyDescent="0.25">
      <c r="A643" s="1">
        <v>44767</v>
      </c>
      <c r="B643">
        <v>0.45</v>
      </c>
    </row>
    <row r="644" spans="1:2" x14ac:dyDescent="0.25">
      <c r="A644" s="1">
        <v>44768</v>
      </c>
      <c r="B644">
        <v>0.45</v>
      </c>
    </row>
    <row r="645" spans="1:2" x14ac:dyDescent="0.25">
      <c r="A645" s="1">
        <v>44769</v>
      </c>
      <c r="B645">
        <v>0.36</v>
      </c>
    </row>
    <row r="646" spans="1:2" x14ac:dyDescent="0.25">
      <c r="A646" s="1">
        <v>44770</v>
      </c>
      <c r="B646">
        <v>0.2</v>
      </c>
    </row>
    <row r="647" spans="1:2" x14ac:dyDescent="0.25">
      <c r="A647" s="1">
        <v>44771</v>
      </c>
      <c r="B647">
        <v>0.14000000000000001</v>
      </c>
    </row>
    <row r="648" spans="1:2" x14ac:dyDescent="0.25">
      <c r="A648" s="1">
        <v>44774</v>
      </c>
      <c r="B648">
        <v>0.09</v>
      </c>
    </row>
    <row r="649" spans="1:2" x14ac:dyDescent="0.25">
      <c r="A649" s="1">
        <v>44775</v>
      </c>
      <c r="B649">
        <v>0.27</v>
      </c>
    </row>
    <row r="650" spans="1:2" x14ac:dyDescent="0.25">
      <c r="A650" s="1">
        <v>44776</v>
      </c>
      <c r="B650">
        <v>0.23</v>
      </c>
    </row>
    <row r="651" spans="1:2" x14ac:dyDescent="0.25">
      <c r="A651" s="1">
        <v>44777</v>
      </c>
      <c r="B651">
        <v>0.22</v>
      </c>
    </row>
    <row r="652" spans="1:2" x14ac:dyDescent="0.25">
      <c r="A652" s="1">
        <v>44778</v>
      </c>
      <c r="B652">
        <v>0.37</v>
      </c>
    </row>
    <row r="653" spans="1:2" x14ac:dyDescent="0.25">
      <c r="A653" s="1">
        <v>44781</v>
      </c>
      <c r="B653">
        <v>0.28999999999999998</v>
      </c>
    </row>
    <row r="654" spans="1:2" x14ac:dyDescent="0.25">
      <c r="A654" s="1">
        <v>44782</v>
      </c>
      <c r="B654">
        <v>0.33</v>
      </c>
    </row>
    <row r="655" spans="1:2" x14ac:dyDescent="0.25">
      <c r="A655" s="1">
        <v>44783</v>
      </c>
      <c r="B655">
        <v>0.35</v>
      </c>
    </row>
    <row r="656" spans="1:2" x14ac:dyDescent="0.25">
      <c r="A656" s="1">
        <v>44784</v>
      </c>
      <c r="B656">
        <v>0.4</v>
      </c>
    </row>
    <row r="657" spans="1:2" x14ac:dyDescent="0.25">
      <c r="A657" s="1">
        <v>44785</v>
      </c>
      <c r="B657">
        <v>0.37</v>
      </c>
    </row>
    <row r="658" spans="1:2" x14ac:dyDescent="0.25">
      <c r="A658" s="1">
        <v>44788</v>
      </c>
      <c r="B658">
        <v>0.35</v>
      </c>
    </row>
    <row r="659" spans="1:2" x14ac:dyDescent="0.25">
      <c r="A659" s="1">
        <v>44789</v>
      </c>
      <c r="B659">
        <v>0.38</v>
      </c>
    </row>
    <row r="660" spans="1:2" x14ac:dyDescent="0.25">
      <c r="A660" s="1">
        <v>44790</v>
      </c>
      <c r="B660">
        <v>0.43</v>
      </c>
    </row>
    <row r="661" spans="1:2" x14ac:dyDescent="0.25">
      <c r="A661" s="1">
        <v>44791</v>
      </c>
      <c r="B661">
        <v>0.36</v>
      </c>
    </row>
    <row r="662" spans="1:2" x14ac:dyDescent="0.25">
      <c r="A662" s="1">
        <v>44792</v>
      </c>
      <c r="B662">
        <v>0.43</v>
      </c>
    </row>
    <row r="663" spans="1:2" x14ac:dyDescent="0.25">
      <c r="A663" s="1">
        <v>44795</v>
      </c>
      <c r="B663">
        <v>0.46</v>
      </c>
    </row>
    <row r="664" spans="1:2" x14ac:dyDescent="0.25">
      <c r="A664" s="1">
        <v>44796</v>
      </c>
      <c r="B664">
        <v>0.47</v>
      </c>
    </row>
    <row r="665" spans="1:2" x14ac:dyDescent="0.25">
      <c r="A665" s="1">
        <v>44797</v>
      </c>
      <c r="B665">
        <v>0.49</v>
      </c>
    </row>
    <row r="666" spans="1:2" x14ac:dyDescent="0.25">
      <c r="A666" s="1">
        <v>44798</v>
      </c>
      <c r="B666">
        <v>0.43</v>
      </c>
    </row>
    <row r="667" spans="1:2" x14ac:dyDescent="0.25">
      <c r="A667" s="1">
        <v>44799</v>
      </c>
      <c r="B667">
        <v>0.47</v>
      </c>
    </row>
    <row r="668" spans="1:2" x14ac:dyDescent="0.25">
      <c r="A668" s="1">
        <v>44802</v>
      </c>
      <c r="B668">
        <v>0.54</v>
      </c>
    </row>
    <row r="669" spans="1:2" x14ac:dyDescent="0.25">
      <c r="A669" s="1">
        <v>44803</v>
      </c>
      <c r="B669">
        <v>0.56000000000000005</v>
      </c>
    </row>
    <row r="670" spans="1:2" x14ac:dyDescent="0.25">
      <c r="A670" s="1">
        <v>44804</v>
      </c>
      <c r="B670">
        <v>0.67</v>
      </c>
    </row>
    <row r="671" spans="1:2" x14ac:dyDescent="0.25">
      <c r="A671" s="1">
        <v>44805</v>
      </c>
      <c r="B671">
        <v>0.81</v>
      </c>
    </row>
    <row r="672" spans="1:2" x14ac:dyDescent="0.25">
      <c r="A672" s="1">
        <v>44806</v>
      </c>
      <c r="B672">
        <v>0.73</v>
      </c>
    </row>
    <row r="673" spans="1:2" x14ac:dyDescent="0.25">
      <c r="A673" s="1">
        <v>44810</v>
      </c>
      <c r="B673">
        <v>0.85</v>
      </c>
    </row>
    <row r="674" spans="1:2" x14ac:dyDescent="0.25">
      <c r="A674" s="1">
        <v>44811</v>
      </c>
      <c r="B674">
        <v>0.82</v>
      </c>
    </row>
    <row r="675" spans="1:2" x14ac:dyDescent="0.25">
      <c r="A675" s="1">
        <v>44812</v>
      </c>
      <c r="B675">
        <v>0.88</v>
      </c>
    </row>
    <row r="676" spans="1:2" x14ac:dyDescent="0.25">
      <c r="A676" s="1">
        <v>44813</v>
      </c>
      <c r="B676">
        <v>0.91</v>
      </c>
    </row>
    <row r="677" spans="1:2" x14ac:dyDescent="0.25">
      <c r="A677" s="1">
        <v>44816</v>
      </c>
      <c r="B677">
        <v>0.95</v>
      </c>
    </row>
    <row r="678" spans="1:2" x14ac:dyDescent="0.25">
      <c r="A678" s="1">
        <v>44817</v>
      </c>
      <c r="B678">
        <v>0.98</v>
      </c>
    </row>
    <row r="679" spans="1:2" x14ac:dyDescent="0.25">
      <c r="A679" s="1">
        <v>44818</v>
      </c>
      <c r="B679">
        <v>0.95</v>
      </c>
    </row>
    <row r="680" spans="1:2" x14ac:dyDescent="0.25">
      <c r="A680" s="1">
        <v>44819</v>
      </c>
      <c r="B680">
        <v>1.02</v>
      </c>
    </row>
    <row r="681" spans="1:2" x14ac:dyDescent="0.25">
      <c r="A681" s="1">
        <v>44820</v>
      </c>
      <c r="B681">
        <v>1.07</v>
      </c>
    </row>
    <row r="682" spans="1:2" x14ac:dyDescent="0.25">
      <c r="A682" s="1">
        <v>44823</v>
      </c>
      <c r="B682">
        <v>1.1499999999999999</v>
      </c>
    </row>
    <row r="683" spans="1:2" x14ac:dyDescent="0.25">
      <c r="A683" s="1">
        <v>44824</v>
      </c>
      <c r="B683">
        <v>1.17</v>
      </c>
    </row>
    <row r="684" spans="1:2" x14ac:dyDescent="0.25">
      <c r="A684" s="1">
        <v>44825</v>
      </c>
      <c r="B684">
        <v>1.1299999999999999</v>
      </c>
    </row>
    <row r="685" spans="1:2" x14ac:dyDescent="0.25">
      <c r="A685" s="1">
        <v>44826</v>
      </c>
      <c r="B685">
        <v>1.29</v>
      </c>
    </row>
    <row r="686" spans="1:2" x14ac:dyDescent="0.25">
      <c r="A686" s="1">
        <v>44827</v>
      </c>
      <c r="B686">
        <v>1.32</v>
      </c>
    </row>
    <row r="687" spans="1:2" x14ac:dyDescent="0.25">
      <c r="A687" s="1">
        <v>44830</v>
      </c>
      <c r="B687">
        <v>1.56</v>
      </c>
    </row>
    <row r="688" spans="1:2" x14ac:dyDescent="0.25">
      <c r="A688" s="1">
        <v>44831</v>
      </c>
      <c r="B688">
        <v>1.64</v>
      </c>
    </row>
    <row r="689" spans="1:2" x14ac:dyDescent="0.25">
      <c r="A689" s="1">
        <v>44832</v>
      </c>
      <c r="B689">
        <v>1.39</v>
      </c>
    </row>
    <row r="690" spans="1:2" x14ac:dyDescent="0.25">
      <c r="A690" s="1">
        <v>44833</v>
      </c>
      <c r="B690">
        <v>1.57</v>
      </c>
    </row>
    <row r="691" spans="1:2" x14ac:dyDescent="0.25">
      <c r="A691" s="1">
        <v>44834</v>
      </c>
      <c r="B691">
        <v>1.68</v>
      </c>
    </row>
    <row r="692" spans="1:2" x14ac:dyDescent="0.25">
      <c r="A692" s="1">
        <v>44837</v>
      </c>
      <c r="B692">
        <v>1.43</v>
      </c>
    </row>
    <row r="693" spans="1:2" x14ac:dyDescent="0.25">
      <c r="A693" s="1">
        <v>44838</v>
      </c>
      <c r="B693">
        <v>1.38</v>
      </c>
    </row>
    <row r="694" spans="1:2" x14ac:dyDescent="0.25">
      <c r="A694" s="1">
        <v>44839</v>
      </c>
      <c r="B694">
        <v>1.54</v>
      </c>
    </row>
    <row r="695" spans="1:2" x14ac:dyDescent="0.25">
      <c r="A695" s="1">
        <v>44840</v>
      </c>
      <c r="B695">
        <v>1.61</v>
      </c>
    </row>
    <row r="696" spans="1:2" x14ac:dyDescent="0.25">
      <c r="A696" s="1">
        <v>44841</v>
      </c>
      <c r="B696">
        <v>1.62</v>
      </c>
    </row>
    <row r="697" spans="1:2" x14ac:dyDescent="0.25">
      <c r="A697" s="1">
        <v>44845</v>
      </c>
      <c r="B697">
        <v>1.62</v>
      </c>
    </row>
    <row r="698" spans="1:2" x14ac:dyDescent="0.25">
      <c r="A698" s="1">
        <v>44846</v>
      </c>
      <c r="B698">
        <v>1.62</v>
      </c>
    </row>
    <row r="699" spans="1:2" x14ac:dyDescent="0.25">
      <c r="A699" s="1">
        <v>44847</v>
      </c>
      <c r="B699">
        <v>1.63</v>
      </c>
    </row>
    <row r="700" spans="1:2" x14ac:dyDescent="0.25">
      <c r="A700" s="1">
        <v>44848</v>
      </c>
      <c r="B700">
        <v>1.59</v>
      </c>
    </row>
    <row r="701" spans="1:2" x14ac:dyDescent="0.25">
      <c r="A701" s="1">
        <v>44851</v>
      </c>
      <c r="B701">
        <v>1.57</v>
      </c>
    </row>
    <row r="702" spans="1:2" x14ac:dyDescent="0.25">
      <c r="A702" s="1">
        <v>44852</v>
      </c>
      <c r="B702">
        <v>1.6</v>
      </c>
    </row>
    <row r="703" spans="1:2" x14ac:dyDescent="0.25">
      <c r="A703" s="1">
        <v>44853</v>
      </c>
      <c r="B703">
        <v>1.72</v>
      </c>
    </row>
    <row r="704" spans="1:2" x14ac:dyDescent="0.25">
      <c r="A704" s="1">
        <v>44854</v>
      </c>
      <c r="B704">
        <v>1.73</v>
      </c>
    </row>
    <row r="705" spans="1:2" x14ac:dyDescent="0.25">
      <c r="A705" s="1">
        <v>44855</v>
      </c>
      <c r="B705">
        <v>1.69</v>
      </c>
    </row>
    <row r="706" spans="1:2" x14ac:dyDescent="0.25">
      <c r="A706" s="1">
        <v>44858</v>
      </c>
      <c r="B706">
        <v>1.66</v>
      </c>
    </row>
    <row r="707" spans="1:2" x14ac:dyDescent="0.25">
      <c r="A707" s="1">
        <v>44859</v>
      </c>
      <c r="B707">
        <v>1.59</v>
      </c>
    </row>
    <row r="708" spans="1:2" x14ac:dyDescent="0.25">
      <c r="A708" s="1">
        <v>44860</v>
      </c>
      <c r="B708">
        <v>1.6</v>
      </c>
    </row>
    <row r="709" spans="1:2" x14ac:dyDescent="0.25">
      <c r="A709" s="1">
        <v>44861</v>
      </c>
      <c r="B709">
        <v>1.51</v>
      </c>
    </row>
    <row r="710" spans="1:2" x14ac:dyDescent="0.25">
      <c r="A710" s="1">
        <v>44862</v>
      </c>
      <c r="B710">
        <v>1.51</v>
      </c>
    </row>
    <row r="711" spans="1:2" x14ac:dyDescent="0.25">
      <c r="A711" s="1">
        <v>44865</v>
      </c>
      <c r="B711">
        <v>1.58</v>
      </c>
    </row>
    <row r="712" spans="1:2" x14ac:dyDescent="0.25">
      <c r="A712" s="1">
        <v>44866</v>
      </c>
      <c r="B712">
        <v>1.56</v>
      </c>
    </row>
    <row r="713" spans="1:2" x14ac:dyDescent="0.25">
      <c r="A713" s="1">
        <v>44867</v>
      </c>
      <c r="B713">
        <v>1.57</v>
      </c>
    </row>
    <row r="714" spans="1:2" x14ac:dyDescent="0.25">
      <c r="A714" s="1">
        <v>44868</v>
      </c>
      <c r="B714">
        <v>1.74</v>
      </c>
    </row>
    <row r="715" spans="1:2" x14ac:dyDescent="0.25">
      <c r="A715" s="1">
        <v>44869</v>
      </c>
      <c r="B715">
        <v>1.69</v>
      </c>
    </row>
    <row r="716" spans="1:2" x14ac:dyDescent="0.25">
      <c r="A716" s="1">
        <v>44872</v>
      </c>
      <c r="B716">
        <v>1.69</v>
      </c>
    </row>
    <row r="717" spans="1:2" x14ac:dyDescent="0.25">
      <c r="A717" s="1">
        <v>44873</v>
      </c>
      <c r="B717">
        <v>1.64</v>
      </c>
    </row>
    <row r="718" spans="1:2" x14ac:dyDescent="0.25">
      <c r="A718" s="1">
        <v>44874</v>
      </c>
      <c r="B718">
        <v>1.7</v>
      </c>
    </row>
    <row r="719" spans="1:2" x14ac:dyDescent="0.25">
      <c r="A719" s="1">
        <v>44875</v>
      </c>
      <c r="B719">
        <v>1.43</v>
      </c>
    </row>
    <row r="720" spans="1:2" x14ac:dyDescent="0.25">
      <c r="A720" s="1">
        <v>44879</v>
      </c>
      <c r="B720">
        <v>1.51</v>
      </c>
    </row>
    <row r="721" spans="1:2" x14ac:dyDescent="0.25">
      <c r="A721" s="1">
        <v>44880</v>
      </c>
      <c r="B721">
        <v>1.45</v>
      </c>
    </row>
    <row r="722" spans="1:2" x14ac:dyDescent="0.25">
      <c r="A722" s="1">
        <v>44881</v>
      </c>
      <c r="B722">
        <v>1.38</v>
      </c>
    </row>
    <row r="723" spans="1:2" x14ac:dyDescent="0.25">
      <c r="A723" s="1">
        <v>44882</v>
      </c>
      <c r="B723">
        <v>1.49</v>
      </c>
    </row>
    <row r="724" spans="1:2" x14ac:dyDescent="0.25">
      <c r="A724" s="1">
        <v>44883</v>
      </c>
      <c r="B724">
        <v>1.57</v>
      </c>
    </row>
    <row r="725" spans="1:2" x14ac:dyDescent="0.25">
      <c r="A725" s="1">
        <v>44886</v>
      </c>
      <c r="B725">
        <v>1.52</v>
      </c>
    </row>
    <row r="726" spans="1:2" x14ac:dyDescent="0.25">
      <c r="A726" s="1">
        <v>44887</v>
      </c>
      <c r="B726">
        <v>1.44</v>
      </c>
    </row>
    <row r="727" spans="1:2" x14ac:dyDescent="0.25">
      <c r="A727" s="1">
        <v>44888</v>
      </c>
      <c r="B727">
        <v>1.39</v>
      </c>
    </row>
    <row r="728" spans="1:2" x14ac:dyDescent="0.25">
      <c r="A728" s="1">
        <v>44890</v>
      </c>
      <c r="B728">
        <v>1.36</v>
      </c>
    </row>
    <row r="729" spans="1:2" x14ac:dyDescent="0.25">
      <c r="A729" s="1">
        <v>44893</v>
      </c>
      <c r="B729">
        <v>1.43</v>
      </c>
    </row>
    <row r="730" spans="1:2" x14ac:dyDescent="0.25">
      <c r="A730" s="1">
        <v>44894</v>
      </c>
      <c r="B730">
        <v>1.5</v>
      </c>
    </row>
    <row r="731" spans="1:2" x14ac:dyDescent="0.25">
      <c r="A731" s="1">
        <v>44895</v>
      </c>
      <c r="B731">
        <v>1.34</v>
      </c>
    </row>
    <row r="732" spans="1:2" x14ac:dyDescent="0.25">
      <c r="A732" s="1">
        <v>44896</v>
      </c>
      <c r="B732">
        <v>1.17</v>
      </c>
    </row>
    <row r="733" spans="1:2" x14ac:dyDescent="0.25">
      <c r="A733" s="1">
        <v>44897</v>
      </c>
      <c r="B733">
        <v>1.08</v>
      </c>
    </row>
    <row r="734" spans="1:2" x14ac:dyDescent="0.25">
      <c r="A734" s="1">
        <v>44900</v>
      </c>
      <c r="B734">
        <v>1.21</v>
      </c>
    </row>
    <row r="735" spans="1:2" x14ac:dyDescent="0.25">
      <c r="A735" s="1">
        <v>44901</v>
      </c>
      <c r="B735">
        <v>1.2</v>
      </c>
    </row>
    <row r="736" spans="1:2" x14ac:dyDescent="0.25">
      <c r="A736" s="1">
        <v>44902</v>
      </c>
      <c r="B736">
        <v>1.1599999999999999</v>
      </c>
    </row>
    <row r="737" spans="1:2" x14ac:dyDescent="0.25">
      <c r="A737" s="1">
        <v>44903</v>
      </c>
      <c r="B737">
        <v>1.2</v>
      </c>
    </row>
    <row r="738" spans="1:2" x14ac:dyDescent="0.25">
      <c r="A738" s="1">
        <v>44904</v>
      </c>
      <c r="B738">
        <v>1.31</v>
      </c>
    </row>
    <row r="739" spans="1:2" x14ac:dyDescent="0.25">
      <c r="A739" s="1">
        <v>44907</v>
      </c>
      <c r="B739">
        <v>1.33</v>
      </c>
    </row>
    <row r="740" spans="1:2" x14ac:dyDescent="0.25">
      <c r="A740" s="1">
        <v>44908</v>
      </c>
      <c r="B740">
        <v>1.27</v>
      </c>
    </row>
    <row r="741" spans="1:2" x14ac:dyDescent="0.25">
      <c r="A741" s="1">
        <v>44909</v>
      </c>
      <c r="B741">
        <v>1.3</v>
      </c>
    </row>
    <row r="742" spans="1:2" x14ac:dyDescent="0.25">
      <c r="A742" s="1">
        <v>44910</v>
      </c>
      <c r="B742">
        <v>1.28</v>
      </c>
    </row>
    <row r="743" spans="1:2" x14ac:dyDescent="0.25">
      <c r="A743" s="1">
        <v>44911</v>
      </c>
      <c r="B743">
        <v>1.35</v>
      </c>
    </row>
    <row r="744" spans="1:2" x14ac:dyDescent="0.25">
      <c r="A744" s="1">
        <v>44914</v>
      </c>
      <c r="B744">
        <v>1.42</v>
      </c>
    </row>
    <row r="745" spans="1:2" x14ac:dyDescent="0.25">
      <c r="A745" s="1">
        <v>44915</v>
      </c>
      <c r="B745">
        <v>1.45</v>
      </c>
    </row>
    <row r="746" spans="1:2" x14ac:dyDescent="0.25">
      <c r="A746" s="1">
        <v>44916</v>
      </c>
      <c r="B746">
        <v>1.41</v>
      </c>
    </row>
    <row r="747" spans="1:2" x14ac:dyDescent="0.25">
      <c r="A747" s="1">
        <v>44917</v>
      </c>
      <c r="B747">
        <v>1.48</v>
      </c>
    </row>
    <row r="748" spans="1:2" x14ac:dyDescent="0.25">
      <c r="A748" s="1">
        <v>44918</v>
      </c>
      <c r="B748">
        <v>1.55</v>
      </c>
    </row>
    <row r="749" spans="1:2" x14ac:dyDescent="0.25">
      <c r="A749" s="1">
        <v>44922</v>
      </c>
      <c r="B749">
        <v>1.58</v>
      </c>
    </row>
    <row r="750" spans="1:2" x14ac:dyDescent="0.25">
      <c r="A750" s="1">
        <v>44923</v>
      </c>
      <c r="B750">
        <v>1.6</v>
      </c>
    </row>
    <row r="751" spans="1:2" x14ac:dyDescent="0.25">
      <c r="A751" s="1">
        <v>44924</v>
      </c>
      <c r="B751">
        <v>1.56</v>
      </c>
    </row>
    <row r="752" spans="1:2" x14ac:dyDescent="0.25">
      <c r="A752" s="1">
        <v>44925</v>
      </c>
      <c r="B752">
        <v>1.58</v>
      </c>
    </row>
    <row r="753" spans="1:2" x14ac:dyDescent="0.25">
      <c r="A753" s="1">
        <v>44929</v>
      </c>
      <c r="B753">
        <v>1.53</v>
      </c>
    </row>
    <row r="754" spans="1:2" x14ac:dyDescent="0.25">
      <c r="A754" s="1">
        <v>44930</v>
      </c>
      <c r="B754">
        <v>1.47</v>
      </c>
    </row>
    <row r="755" spans="1:2" x14ac:dyDescent="0.25">
      <c r="A755" s="1">
        <v>44931</v>
      </c>
      <c r="B755">
        <v>1.49</v>
      </c>
    </row>
    <row r="756" spans="1:2" x14ac:dyDescent="0.25">
      <c r="A756" s="1">
        <v>44932</v>
      </c>
      <c r="B756">
        <v>1.34</v>
      </c>
    </row>
    <row r="757" spans="1:2" x14ac:dyDescent="0.25">
      <c r="A757" s="1">
        <v>44935</v>
      </c>
      <c r="B757">
        <v>1.31</v>
      </c>
    </row>
    <row r="758" spans="1:2" x14ac:dyDescent="0.25">
      <c r="A758" s="1">
        <v>44936</v>
      </c>
      <c r="B758">
        <v>1.37</v>
      </c>
    </row>
    <row r="759" spans="1:2" x14ac:dyDescent="0.25">
      <c r="A759" s="1">
        <v>44937</v>
      </c>
      <c r="B759">
        <v>1.31</v>
      </c>
    </row>
    <row r="760" spans="1:2" x14ac:dyDescent="0.25">
      <c r="A760" s="1">
        <v>44938</v>
      </c>
      <c r="B760">
        <v>1.22</v>
      </c>
    </row>
    <row r="761" spans="1:2" x14ac:dyDescent="0.25">
      <c r="A761" s="1">
        <v>44939</v>
      </c>
      <c r="B761">
        <v>1.31</v>
      </c>
    </row>
    <row r="762" spans="1:2" x14ac:dyDescent="0.25">
      <c r="A762" s="1">
        <v>44943</v>
      </c>
      <c r="B762">
        <v>1.36</v>
      </c>
    </row>
    <row r="763" spans="1:2" x14ac:dyDescent="0.25">
      <c r="A763" s="1">
        <v>44944</v>
      </c>
      <c r="B763">
        <v>1.25</v>
      </c>
    </row>
    <row r="764" spans="1:2" x14ac:dyDescent="0.25">
      <c r="A764" s="1">
        <v>44945</v>
      </c>
      <c r="B764">
        <v>1.19</v>
      </c>
    </row>
    <row r="765" spans="1:2" x14ac:dyDescent="0.25">
      <c r="A765" s="1">
        <v>44946</v>
      </c>
      <c r="B765">
        <v>1.25</v>
      </c>
    </row>
    <row r="766" spans="1:2" x14ac:dyDescent="0.25">
      <c r="A766" s="1">
        <v>44949</v>
      </c>
      <c r="B766">
        <v>1.24</v>
      </c>
    </row>
    <row r="767" spans="1:2" x14ac:dyDescent="0.25">
      <c r="A767" s="1">
        <v>44950</v>
      </c>
      <c r="B767">
        <v>1.19</v>
      </c>
    </row>
    <row r="768" spans="1:2" x14ac:dyDescent="0.25">
      <c r="A768" s="1">
        <v>44951</v>
      </c>
      <c r="B768">
        <v>1.17</v>
      </c>
    </row>
    <row r="769" spans="1:2" x14ac:dyDescent="0.25">
      <c r="A769" s="1">
        <v>44952</v>
      </c>
      <c r="B769">
        <v>1.1599999999999999</v>
      </c>
    </row>
    <row r="770" spans="1:2" x14ac:dyDescent="0.25">
      <c r="A770" s="1">
        <v>44953</v>
      </c>
      <c r="B770">
        <v>1.19</v>
      </c>
    </row>
    <row r="771" spans="1:2" x14ac:dyDescent="0.25">
      <c r="A771" s="1">
        <v>44956</v>
      </c>
      <c r="B771">
        <v>1.26</v>
      </c>
    </row>
    <row r="772" spans="1:2" x14ac:dyDescent="0.25">
      <c r="A772" s="1">
        <v>44957</v>
      </c>
      <c r="B772">
        <v>1.28</v>
      </c>
    </row>
    <row r="773" spans="1:2" x14ac:dyDescent="0.25">
      <c r="A773" s="1">
        <v>44958</v>
      </c>
      <c r="B773">
        <v>1.1399999999999999</v>
      </c>
    </row>
    <row r="774" spans="1:2" x14ac:dyDescent="0.25">
      <c r="A774" s="1">
        <v>44959</v>
      </c>
      <c r="B774">
        <v>1.18</v>
      </c>
    </row>
    <row r="775" spans="1:2" x14ac:dyDescent="0.25">
      <c r="A775" s="1">
        <v>44960</v>
      </c>
      <c r="B775">
        <v>1.31</v>
      </c>
    </row>
    <row r="776" spans="1:2" x14ac:dyDescent="0.25">
      <c r="A776" s="1">
        <v>44963</v>
      </c>
      <c r="B776">
        <v>1.38</v>
      </c>
    </row>
    <row r="777" spans="1:2" x14ac:dyDescent="0.25">
      <c r="A777" s="1">
        <v>44964</v>
      </c>
      <c r="B777">
        <v>1.36</v>
      </c>
    </row>
    <row r="778" spans="1:2" x14ac:dyDescent="0.25">
      <c r="A778" s="1">
        <v>44965</v>
      </c>
      <c r="B778">
        <v>1.29</v>
      </c>
    </row>
    <row r="779" spans="1:2" x14ac:dyDescent="0.25">
      <c r="A779" s="1">
        <v>44966</v>
      </c>
      <c r="B779">
        <v>1.34</v>
      </c>
    </row>
    <row r="780" spans="1:2" x14ac:dyDescent="0.25">
      <c r="A780" s="1">
        <v>44967</v>
      </c>
      <c r="B780">
        <v>1.41</v>
      </c>
    </row>
    <row r="781" spans="1:2" x14ac:dyDescent="0.25">
      <c r="A781" s="1">
        <v>44970</v>
      </c>
      <c r="B781">
        <v>1.41</v>
      </c>
    </row>
    <row r="782" spans="1:2" x14ac:dyDescent="0.25">
      <c r="A782" s="1">
        <v>44971</v>
      </c>
      <c r="B782">
        <v>1.46</v>
      </c>
    </row>
    <row r="783" spans="1:2" x14ac:dyDescent="0.25">
      <c r="A783" s="1">
        <v>44972</v>
      </c>
      <c r="B783">
        <v>1.46</v>
      </c>
    </row>
    <row r="784" spans="1:2" x14ac:dyDescent="0.25">
      <c r="A784" s="1">
        <v>44973</v>
      </c>
      <c r="B784">
        <v>1.49</v>
      </c>
    </row>
    <row r="785" spans="1:2" x14ac:dyDescent="0.25">
      <c r="A785" s="1">
        <v>44974</v>
      </c>
      <c r="B785">
        <v>1.46</v>
      </c>
    </row>
    <row r="786" spans="1:2" x14ac:dyDescent="0.25">
      <c r="A786" s="1">
        <v>44978</v>
      </c>
      <c r="B786">
        <v>1.53</v>
      </c>
    </row>
    <row r="787" spans="1:2" x14ac:dyDescent="0.25">
      <c r="A787" s="1">
        <v>44979</v>
      </c>
      <c r="B787">
        <v>1.52</v>
      </c>
    </row>
    <row r="788" spans="1:2" x14ac:dyDescent="0.25">
      <c r="A788" s="1">
        <v>44980</v>
      </c>
      <c r="B788">
        <v>1.49</v>
      </c>
    </row>
    <row r="789" spans="1:2" x14ac:dyDescent="0.25">
      <c r="A789" s="1">
        <v>44981</v>
      </c>
      <c r="B789">
        <v>1.57</v>
      </c>
    </row>
    <row r="790" spans="1:2" x14ac:dyDescent="0.25">
      <c r="A790" s="1">
        <v>44984</v>
      </c>
      <c r="B790">
        <v>1.56</v>
      </c>
    </row>
    <row r="791" spans="1:2" x14ac:dyDescent="0.25">
      <c r="A791" s="1">
        <v>44985</v>
      </c>
      <c r="B791">
        <v>1.49</v>
      </c>
    </row>
    <row r="792" spans="1:2" x14ac:dyDescent="0.25">
      <c r="A792" s="1">
        <v>44986</v>
      </c>
      <c r="B792">
        <v>1.57</v>
      </c>
    </row>
    <row r="793" spans="1:2" x14ac:dyDescent="0.25">
      <c r="A793" s="1">
        <v>44987</v>
      </c>
      <c r="B793">
        <v>1.6</v>
      </c>
    </row>
    <row r="794" spans="1:2" x14ac:dyDescent="0.25">
      <c r="A794" s="1">
        <v>44988</v>
      </c>
      <c r="B794">
        <v>1.45</v>
      </c>
    </row>
    <row r="795" spans="1:2" x14ac:dyDescent="0.25">
      <c r="A795" s="1">
        <v>44991</v>
      </c>
      <c r="B795">
        <v>1.49</v>
      </c>
    </row>
    <row r="796" spans="1:2" x14ac:dyDescent="0.25">
      <c r="A796" s="1">
        <v>44992</v>
      </c>
      <c r="B796">
        <v>1.59</v>
      </c>
    </row>
    <row r="797" spans="1:2" x14ac:dyDescent="0.25">
      <c r="A797" s="1">
        <v>44993</v>
      </c>
      <c r="B797">
        <v>1.66</v>
      </c>
    </row>
    <row r="798" spans="1:2" x14ac:dyDescent="0.25">
      <c r="A798" s="1">
        <v>44994</v>
      </c>
      <c r="B798">
        <v>1.63</v>
      </c>
    </row>
    <row r="799" spans="1:2" x14ac:dyDescent="0.25">
      <c r="A799" s="1">
        <v>44995</v>
      </c>
      <c r="B799">
        <v>1.44</v>
      </c>
    </row>
    <row r="800" spans="1:2" x14ac:dyDescent="0.25">
      <c r="A800" s="1">
        <v>44998</v>
      </c>
      <c r="B800">
        <v>1.31</v>
      </c>
    </row>
    <row r="801" spans="1:2" x14ac:dyDescent="0.25">
      <c r="A801" s="1">
        <v>44999</v>
      </c>
      <c r="B801">
        <v>1.33</v>
      </c>
    </row>
    <row r="802" spans="1:2" x14ac:dyDescent="0.25">
      <c r="A802" s="1">
        <v>45000</v>
      </c>
      <c r="B802">
        <v>1.22</v>
      </c>
    </row>
    <row r="803" spans="1:2" x14ac:dyDescent="0.25">
      <c r="A803" s="1">
        <v>45001</v>
      </c>
      <c r="B803">
        <v>1.34</v>
      </c>
    </row>
    <row r="804" spans="1:2" x14ac:dyDescent="0.25">
      <c r="A804" s="1">
        <v>45002</v>
      </c>
      <c r="B804">
        <v>1.29</v>
      </c>
    </row>
    <row r="805" spans="1:2" x14ac:dyDescent="0.25">
      <c r="A805" s="1">
        <v>45005</v>
      </c>
      <c r="B805">
        <v>1.33</v>
      </c>
    </row>
    <row r="806" spans="1:2" x14ac:dyDescent="0.25">
      <c r="A806" s="1">
        <v>45006</v>
      </c>
      <c r="B806">
        <v>1.36</v>
      </c>
    </row>
    <row r="807" spans="1:2" x14ac:dyDescent="0.25">
      <c r="A807" s="1">
        <v>45007</v>
      </c>
      <c r="B807">
        <v>1.2</v>
      </c>
    </row>
    <row r="808" spans="1:2" x14ac:dyDescent="0.25">
      <c r="A808" s="1">
        <v>45008</v>
      </c>
      <c r="B808">
        <v>1.19</v>
      </c>
    </row>
    <row r="809" spans="1:2" x14ac:dyDescent="0.25">
      <c r="A809" s="1">
        <v>45009</v>
      </c>
      <c r="B809">
        <v>1.1599999999999999</v>
      </c>
    </row>
    <row r="810" spans="1:2" x14ac:dyDescent="0.25">
      <c r="A810" s="1">
        <v>45012</v>
      </c>
      <c r="B810">
        <v>1.29</v>
      </c>
    </row>
    <row r="811" spans="1:2" x14ac:dyDescent="0.25">
      <c r="A811" s="1">
        <v>45013</v>
      </c>
      <c r="B811">
        <v>1.24</v>
      </c>
    </row>
    <row r="812" spans="1:2" x14ac:dyDescent="0.25">
      <c r="A812" s="1">
        <v>45014</v>
      </c>
      <c r="B812">
        <v>1.24</v>
      </c>
    </row>
    <row r="813" spans="1:2" x14ac:dyDescent="0.25">
      <c r="A813" s="1">
        <v>45015</v>
      </c>
      <c r="B813">
        <v>1.21</v>
      </c>
    </row>
    <row r="814" spans="1:2" x14ac:dyDescent="0.25">
      <c r="A814" s="1">
        <v>45016</v>
      </c>
      <c r="B814">
        <v>1.1599999999999999</v>
      </c>
    </row>
    <row r="815" spans="1:2" x14ac:dyDescent="0.25">
      <c r="A815" s="1">
        <v>45019</v>
      </c>
      <c r="B815">
        <v>1.1399999999999999</v>
      </c>
    </row>
    <row r="816" spans="1:2" x14ac:dyDescent="0.25">
      <c r="A816" s="1">
        <v>45020</v>
      </c>
      <c r="B816">
        <v>1.1000000000000001</v>
      </c>
    </row>
    <row r="817" spans="1:2" x14ac:dyDescent="0.25">
      <c r="A817" s="1">
        <v>45021</v>
      </c>
      <c r="B817">
        <v>1.07</v>
      </c>
    </row>
    <row r="818" spans="1:2" x14ac:dyDescent="0.25">
      <c r="A818" s="1">
        <v>45022</v>
      </c>
      <c r="B818">
        <v>1.06</v>
      </c>
    </row>
    <row r="819" spans="1:2" x14ac:dyDescent="0.25">
      <c r="A819" s="1">
        <v>45023</v>
      </c>
      <c r="B819">
        <v>1.1399999999999999</v>
      </c>
    </row>
    <row r="820" spans="1:2" x14ac:dyDescent="0.25">
      <c r="A820" s="1">
        <v>45026</v>
      </c>
      <c r="B820">
        <v>1.1399999999999999</v>
      </c>
    </row>
    <row r="821" spans="1:2" x14ac:dyDescent="0.25">
      <c r="A821" s="1">
        <v>45027</v>
      </c>
      <c r="B821">
        <v>1.1399999999999999</v>
      </c>
    </row>
    <row r="822" spans="1:2" x14ac:dyDescent="0.25">
      <c r="A822" s="1">
        <v>45028</v>
      </c>
      <c r="B822">
        <v>1.1399999999999999</v>
      </c>
    </row>
    <row r="823" spans="1:2" x14ac:dyDescent="0.25">
      <c r="A823" s="1">
        <v>45029</v>
      </c>
      <c r="B823">
        <v>1.1599999999999999</v>
      </c>
    </row>
    <row r="824" spans="1:2" x14ac:dyDescent="0.25">
      <c r="A824" s="1">
        <v>45030</v>
      </c>
      <c r="B824">
        <v>1.22</v>
      </c>
    </row>
    <row r="825" spans="1:2" x14ac:dyDescent="0.25">
      <c r="A825" s="1">
        <v>45033</v>
      </c>
      <c r="B825">
        <v>1.28</v>
      </c>
    </row>
    <row r="826" spans="1:2" x14ac:dyDescent="0.25">
      <c r="A826" s="1">
        <v>45034</v>
      </c>
      <c r="B826">
        <v>1.3</v>
      </c>
    </row>
    <row r="827" spans="1:2" x14ac:dyDescent="0.25">
      <c r="A827" s="1">
        <v>45035</v>
      </c>
      <c r="B827">
        <v>1.32</v>
      </c>
    </row>
    <row r="828" spans="1:2" x14ac:dyDescent="0.25">
      <c r="A828" s="1">
        <v>45036</v>
      </c>
      <c r="B828">
        <v>1.28</v>
      </c>
    </row>
    <row r="829" spans="1:2" x14ac:dyDescent="0.25">
      <c r="A829" s="1">
        <v>45037</v>
      </c>
      <c r="B829">
        <v>1.29</v>
      </c>
    </row>
    <row r="830" spans="1:2" x14ac:dyDescent="0.25">
      <c r="A830" s="1">
        <v>45040</v>
      </c>
      <c r="B830">
        <v>1.24</v>
      </c>
    </row>
    <row r="831" spans="1:2" x14ac:dyDescent="0.25">
      <c r="A831" s="1">
        <v>45041</v>
      </c>
      <c r="B831">
        <v>1.1499999999999999</v>
      </c>
    </row>
    <row r="832" spans="1:2" x14ac:dyDescent="0.25">
      <c r="A832" s="1">
        <v>45042</v>
      </c>
      <c r="B832">
        <v>1.18</v>
      </c>
    </row>
    <row r="833" spans="1:2" x14ac:dyDescent="0.25">
      <c r="A833" s="1">
        <v>45043</v>
      </c>
      <c r="B833">
        <v>1.26</v>
      </c>
    </row>
    <row r="834" spans="1:2" x14ac:dyDescent="0.25">
      <c r="A834" s="1">
        <v>45044</v>
      </c>
      <c r="B834">
        <v>1.26</v>
      </c>
    </row>
    <row r="835" spans="1:2" x14ac:dyDescent="0.25">
      <c r="A835" s="1">
        <v>45047</v>
      </c>
      <c r="B835">
        <v>1.36</v>
      </c>
    </row>
    <row r="836" spans="1:2" x14ac:dyDescent="0.25">
      <c r="A836" s="1">
        <v>45048</v>
      </c>
      <c r="B836">
        <v>1.24</v>
      </c>
    </row>
    <row r="837" spans="1:2" x14ac:dyDescent="0.25">
      <c r="A837" s="1">
        <v>45049</v>
      </c>
      <c r="B837">
        <v>1.18</v>
      </c>
    </row>
    <row r="838" spans="1:2" x14ac:dyDescent="0.25">
      <c r="A838" s="1">
        <v>45050</v>
      </c>
      <c r="B838">
        <v>1.18</v>
      </c>
    </row>
    <row r="839" spans="1:2" x14ac:dyDescent="0.25">
      <c r="A839" s="1">
        <v>45051</v>
      </c>
      <c r="B839">
        <v>1.23</v>
      </c>
    </row>
    <row r="840" spans="1:2" x14ac:dyDescent="0.25">
      <c r="A840" s="1">
        <v>45054</v>
      </c>
      <c r="B840">
        <v>1.29</v>
      </c>
    </row>
    <row r="841" spans="1:2" x14ac:dyDescent="0.25">
      <c r="A841" s="1">
        <v>45055</v>
      </c>
      <c r="B841">
        <v>1.3</v>
      </c>
    </row>
    <row r="842" spans="1:2" x14ac:dyDescent="0.25">
      <c r="A842" s="1">
        <v>45056</v>
      </c>
      <c r="B842">
        <v>1.26</v>
      </c>
    </row>
    <row r="843" spans="1:2" x14ac:dyDescent="0.25">
      <c r="A843" s="1">
        <v>45057</v>
      </c>
      <c r="B843">
        <v>1.23</v>
      </c>
    </row>
    <row r="844" spans="1:2" x14ac:dyDescent="0.25">
      <c r="A844" s="1">
        <v>45058</v>
      </c>
      <c r="B844">
        <v>1.28</v>
      </c>
    </row>
    <row r="845" spans="1:2" x14ac:dyDescent="0.25">
      <c r="A845" s="1">
        <v>45061</v>
      </c>
      <c r="B845">
        <v>1.31</v>
      </c>
    </row>
    <row r="846" spans="1:2" x14ac:dyDescent="0.25">
      <c r="A846" s="1">
        <v>45062</v>
      </c>
      <c r="B846">
        <v>1.35</v>
      </c>
    </row>
    <row r="847" spans="1:2" x14ac:dyDescent="0.25">
      <c r="A847" s="1">
        <v>45063</v>
      </c>
      <c r="B847">
        <v>1.35</v>
      </c>
    </row>
    <row r="848" spans="1:2" x14ac:dyDescent="0.25">
      <c r="A848" s="1">
        <v>45064</v>
      </c>
      <c r="B848">
        <v>1.42</v>
      </c>
    </row>
    <row r="849" spans="1:2" x14ac:dyDescent="0.25">
      <c r="A849" s="1">
        <v>45065</v>
      </c>
      <c r="B849">
        <v>1.46</v>
      </c>
    </row>
    <row r="850" spans="1:2" x14ac:dyDescent="0.25">
      <c r="A850" s="1">
        <v>45068</v>
      </c>
      <c r="B850">
        <v>1.48</v>
      </c>
    </row>
    <row r="851" spans="1:2" x14ac:dyDescent="0.25">
      <c r="A851" s="1">
        <v>45069</v>
      </c>
      <c r="B851">
        <v>1.44</v>
      </c>
    </row>
    <row r="852" spans="1:2" x14ac:dyDescent="0.25">
      <c r="A852" s="1">
        <v>45070</v>
      </c>
      <c r="B852">
        <v>1.48</v>
      </c>
    </row>
    <row r="853" spans="1:2" x14ac:dyDescent="0.25">
      <c r="A853" s="1">
        <v>45071</v>
      </c>
      <c r="B853">
        <v>1.58</v>
      </c>
    </row>
    <row r="854" spans="1:2" x14ac:dyDescent="0.25">
      <c r="A854" s="1">
        <v>45072</v>
      </c>
      <c r="B854">
        <v>1.57</v>
      </c>
    </row>
    <row r="855" spans="1:2" x14ac:dyDescent="0.25">
      <c r="A855" s="1">
        <v>45076</v>
      </c>
      <c r="B855">
        <v>1.47</v>
      </c>
    </row>
    <row r="856" spans="1:2" x14ac:dyDescent="0.25">
      <c r="A856" s="1">
        <v>45077</v>
      </c>
      <c r="B856">
        <v>1.46</v>
      </c>
    </row>
    <row r="857" spans="1:2" x14ac:dyDescent="0.25">
      <c r="A857" s="1">
        <v>45078</v>
      </c>
      <c r="B857">
        <v>1.45</v>
      </c>
    </row>
    <row r="858" spans="1:2" x14ac:dyDescent="0.25">
      <c r="A858" s="1">
        <v>45079</v>
      </c>
      <c r="B858">
        <v>1.51</v>
      </c>
    </row>
    <row r="859" spans="1:2" x14ac:dyDescent="0.25">
      <c r="A859" s="1">
        <v>45082</v>
      </c>
      <c r="B859">
        <v>1.5</v>
      </c>
    </row>
    <row r="860" spans="1:2" x14ac:dyDescent="0.25">
      <c r="A860" s="1">
        <v>45083</v>
      </c>
      <c r="B860">
        <v>1.5</v>
      </c>
    </row>
    <row r="861" spans="1:2" x14ac:dyDescent="0.25">
      <c r="A861" s="1">
        <v>45084</v>
      </c>
      <c r="B861">
        <v>1.58</v>
      </c>
    </row>
    <row r="862" spans="1:2" x14ac:dyDescent="0.25">
      <c r="A862" s="1">
        <v>45085</v>
      </c>
      <c r="B862">
        <v>1.53</v>
      </c>
    </row>
    <row r="863" spans="1:2" x14ac:dyDescent="0.25">
      <c r="A863" s="1">
        <v>45086</v>
      </c>
      <c r="B863">
        <v>1.55</v>
      </c>
    </row>
    <row r="864" spans="1:2" x14ac:dyDescent="0.25">
      <c r="A864" s="1">
        <v>45089</v>
      </c>
      <c r="B864">
        <v>1.56</v>
      </c>
    </row>
    <row r="865" spans="1:2" x14ac:dyDescent="0.25">
      <c r="A865" s="1">
        <v>45090</v>
      </c>
      <c r="B865">
        <v>1.64</v>
      </c>
    </row>
    <row r="866" spans="1:2" x14ac:dyDescent="0.25">
      <c r="A866" s="1">
        <v>45091</v>
      </c>
      <c r="B866">
        <v>1.62</v>
      </c>
    </row>
    <row r="867" spans="1:2" x14ac:dyDescent="0.25">
      <c r="A867" s="1">
        <v>45092</v>
      </c>
      <c r="B867">
        <v>1.51</v>
      </c>
    </row>
    <row r="868" spans="1:2" x14ac:dyDescent="0.25">
      <c r="A868" s="1">
        <v>45093</v>
      </c>
      <c r="B868">
        <v>1.55</v>
      </c>
    </row>
    <row r="869" spans="1:2" x14ac:dyDescent="0.25">
      <c r="A869" s="1">
        <v>45097</v>
      </c>
      <c r="B869">
        <v>1.52</v>
      </c>
    </row>
    <row r="870" spans="1:2" x14ac:dyDescent="0.25">
      <c r="A870" s="1">
        <v>45098</v>
      </c>
      <c r="B870">
        <v>1.51</v>
      </c>
    </row>
    <row r="871" spans="1:2" x14ac:dyDescent="0.25">
      <c r="A871" s="1">
        <v>45099</v>
      </c>
      <c r="B871">
        <v>1.56</v>
      </c>
    </row>
    <row r="872" spans="1:2" x14ac:dyDescent="0.25">
      <c r="A872" s="1">
        <v>45100</v>
      </c>
      <c r="B872">
        <v>1.53</v>
      </c>
    </row>
    <row r="873" spans="1:2" x14ac:dyDescent="0.25">
      <c r="A873" s="1">
        <v>45103</v>
      </c>
      <c r="B873">
        <v>1.54</v>
      </c>
    </row>
    <row r="874" spans="1:2" x14ac:dyDescent="0.25">
      <c r="A874" s="1">
        <v>45104</v>
      </c>
      <c r="B874">
        <v>1.57</v>
      </c>
    </row>
    <row r="875" spans="1:2" x14ac:dyDescent="0.25">
      <c r="A875" s="1">
        <v>45105</v>
      </c>
      <c r="B875">
        <v>1.53</v>
      </c>
    </row>
    <row r="876" spans="1:2" x14ac:dyDescent="0.25">
      <c r="A876" s="1">
        <v>45106</v>
      </c>
      <c r="B876">
        <v>1.65</v>
      </c>
    </row>
    <row r="877" spans="1:2" x14ac:dyDescent="0.25">
      <c r="A877" s="1">
        <v>45107</v>
      </c>
      <c r="B877">
        <v>1.59</v>
      </c>
    </row>
    <row r="878" spans="1:2" x14ac:dyDescent="0.25">
      <c r="A878" s="1">
        <v>45110</v>
      </c>
      <c r="B878">
        <v>1.61</v>
      </c>
    </row>
    <row r="879" spans="1:2" x14ac:dyDescent="0.25">
      <c r="A879" s="1">
        <v>45112</v>
      </c>
      <c r="B879">
        <v>1.69</v>
      </c>
    </row>
    <row r="880" spans="1:2" x14ac:dyDescent="0.25">
      <c r="A880" s="1">
        <v>45113</v>
      </c>
      <c r="B880">
        <v>1.78</v>
      </c>
    </row>
    <row r="881" spans="1:2" x14ac:dyDescent="0.25">
      <c r="A881" s="1">
        <v>45114</v>
      </c>
      <c r="B881">
        <v>1.79</v>
      </c>
    </row>
    <row r="882" spans="1:2" x14ac:dyDescent="0.25">
      <c r="A882" s="1">
        <v>45117</v>
      </c>
      <c r="B882">
        <v>1.76</v>
      </c>
    </row>
    <row r="883" spans="1:2" x14ac:dyDescent="0.25">
      <c r="A883" s="1">
        <v>45118</v>
      </c>
      <c r="B883">
        <v>1.75</v>
      </c>
    </row>
    <row r="884" spans="1:2" x14ac:dyDescent="0.25">
      <c r="A884" s="1">
        <v>45119</v>
      </c>
      <c r="B884">
        <v>1.6</v>
      </c>
    </row>
    <row r="885" spans="1:2" x14ac:dyDescent="0.25">
      <c r="A885" s="1">
        <v>45120</v>
      </c>
      <c r="B885">
        <v>1.52</v>
      </c>
    </row>
    <row r="886" spans="1:2" x14ac:dyDescent="0.25">
      <c r="A886" s="1">
        <v>45121</v>
      </c>
      <c r="B886">
        <v>1.59</v>
      </c>
    </row>
    <row r="887" spans="1:2" x14ac:dyDescent="0.25">
      <c r="A887" s="1">
        <v>45124</v>
      </c>
      <c r="B887">
        <v>1.56</v>
      </c>
    </row>
    <row r="888" spans="1:2" x14ac:dyDescent="0.25">
      <c r="A888" s="1">
        <v>45125</v>
      </c>
      <c r="B888">
        <v>1.57</v>
      </c>
    </row>
    <row r="889" spans="1:2" x14ac:dyDescent="0.25">
      <c r="A889" s="1">
        <v>45126</v>
      </c>
      <c r="B889">
        <v>1.53</v>
      </c>
    </row>
    <row r="890" spans="1:2" x14ac:dyDescent="0.25">
      <c r="A890" s="1">
        <v>45127</v>
      </c>
      <c r="B890">
        <v>1.5</v>
      </c>
    </row>
    <row r="891" spans="1:2" x14ac:dyDescent="0.25">
      <c r="A891" s="1">
        <v>45128</v>
      </c>
      <c r="B891">
        <v>1.49</v>
      </c>
    </row>
    <row r="892" spans="1:2" x14ac:dyDescent="0.25">
      <c r="A892" s="1">
        <v>45131</v>
      </c>
      <c r="B892">
        <v>1.48</v>
      </c>
    </row>
    <row r="893" spans="1:2" x14ac:dyDescent="0.25">
      <c r="A893" s="1">
        <v>45132</v>
      </c>
      <c r="B893">
        <v>1.52</v>
      </c>
    </row>
    <row r="894" spans="1:2" x14ac:dyDescent="0.25">
      <c r="A894" s="1">
        <v>45133</v>
      </c>
      <c r="B894">
        <v>1.5</v>
      </c>
    </row>
    <row r="895" spans="1:2" x14ac:dyDescent="0.25">
      <c r="A895" s="1">
        <v>45134</v>
      </c>
      <c r="B895">
        <v>1.64</v>
      </c>
    </row>
    <row r="896" spans="1:2" x14ac:dyDescent="0.25">
      <c r="A896" s="1">
        <v>45135</v>
      </c>
      <c r="B896">
        <v>1.58</v>
      </c>
    </row>
    <row r="897" spans="1:2" x14ac:dyDescent="0.25">
      <c r="A897" s="1">
        <v>45138</v>
      </c>
      <c r="B897">
        <v>1.6</v>
      </c>
    </row>
    <row r="898" spans="1:2" x14ac:dyDescent="0.25">
      <c r="A898" s="1">
        <v>45139</v>
      </c>
      <c r="B898">
        <v>1.68</v>
      </c>
    </row>
    <row r="899" spans="1:2" x14ac:dyDescent="0.25">
      <c r="A899" s="1">
        <v>45140</v>
      </c>
      <c r="B899">
        <v>1.72</v>
      </c>
    </row>
    <row r="900" spans="1:2" x14ac:dyDescent="0.25">
      <c r="A900" s="1">
        <v>45141</v>
      </c>
      <c r="B900">
        <v>1.83</v>
      </c>
    </row>
    <row r="901" spans="1:2" x14ac:dyDescent="0.25">
      <c r="A901" s="1">
        <v>45142</v>
      </c>
      <c r="B901">
        <v>1.67</v>
      </c>
    </row>
    <row r="902" spans="1:2" x14ac:dyDescent="0.25">
      <c r="A902" s="1">
        <v>45145</v>
      </c>
      <c r="B902">
        <v>1.68</v>
      </c>
    </row>
    <row r="903" spans="1:2" x14ac:dyDescent="0.25">
      <c r="A903" s="1">
        <v>45146</v>
      </c>
      <c r="B903">
        <v>1.66</v>
      </c>
    </row>
    <row r="904" spans="1:2" x14ac:dyDescent="0.25">
      <c r="A904" s="1">
        <v>45147</v>
      </c>
      <c r="B904">
        <v>1.66</v>
      </c>
    </row>
    <row r="905" spans="1:2" x14ac:dyDescent="0.25">
      <c r="A905" s="1">
        <v>45148</v>
      </c>
      <c r="B905">
        <v>1.76</v>
      </c>
    </row>
    <row r="906" spans="1:2" x14ac:dyDescent="0.25">
      <c r="A906" s="1">
        <v>45149</v>
      </c>
      <c r="B906">
        <v>1.8</v>
      </c>
    </row>
    <row r="907" spans="1:2" x14ac:dyDescent="0.25">
      <c r="A907" s="1">
        <v>45152</v>
      </c>
      <c r="B907">
        <v>1.83</v>
      </c>
    </row>
    <row r="908" spans="1:2" x14ac:dyDescent="0.25">
      <c r="A908" s="1">
        <v>45153</v>
      </c>
      <c r="B908">
        <v>1.89</v>
      </c>
    </row>
    <row r="909" spans="1:2" x14ac:dyDescent="0.25">
      <c r="A909" s="1">
        <v>45154</v>
      </c>
      <c r="B909">
        <v>1.96</v>
      </c>
    </row>
    <row r="910" spans="1:2" x14ac:dyDescent="0.25">
      <c r="A910" s="1">
        <v>45155</v>
      </c>
      <c r="B910">
        <v>1.97</v>
      </c>
    </row>
    <row r="911" spans="1:2" x14ac:dyDescent="0.25">
      <c r="A911" s="1">
        <v>45156</v>
      </c>
      <c r="B911">
        <v>1.94</v>
      </c>
    </row>
    <row r="912" spans="1:2" x14ac:dyDescent="0.25">
      <c r="A912" s="1">
        <v>45159</v>
      </c>
      <c r="B912">
        <v>2</v>
      </c>
    </row>
    <row r="913" spans="1:2" x14ac:dyDescent="0.25">
      <c r="A913" s="1">
        <v>45160</v>
      </c>
      <c r="B913">
        <v>1.99</v>
      </c>
    </row>
    <row r="914" spans="1:2" x14ac:dyDescent="0.25">
      <c r="A914" s="1">
        <v>45161</v>
      </c>
      <c r="B914">
        <v>1.84</v>
      </c>
    </row>
    <row r="915" spans="1:2" x14ac:dyDescent="0.25">
      <c r="A915" s="1">
        <v>45162</v>
      </c>
      <c r="B915">
        <v>1.91</v>
      </c>
    </row>
    <row r="916" spans="1:2" x14ac:dyDescent="0.25">
      <c r="A916" s="1">
        <v>45163</v>
      </c>
      <c r="B916">
        <v>1.92</v>
      </c>
    </row>
    <row r="917" spans="1:2" x14ac:dyDescent="0.25">
      <c r="A917" s="1">
        <v>45166</v>
      </c>
      <c r="B917">
        <v>1.9</v>
      </c>
    </row>
    <row r="918" spans="1:2" x14ac:dyDescent="0.25">
      <c r="A918" s="1">
        <v>45167</v>
      </c>
      <c r="B918">
        <v>1.83</v>
      </c>
    </row>
    <row r="919" spans="1:2" x14ac:dyDescent="0.25">
      <c r="A919" s="1">
        <v>45168</v>
      </c>
      <c r="B919">
        <v>1.86</v>
      </c>
    </row>
    <row r="920" spans="1:2" x14ac:dyDescent="0.25">
      <c r="A920" s="1">
        <v>45169</v>
      </c>
      <c r="B920">
        <v>1.85</v>
      </c>
    </row>
    <row r="921" spans="1:2" x14ac:dyDescent="0.25">
      <c r="A921" s="1">
        <v>45170</v>
      </c>
      <c r="B921">
        <v>1.92</v>
      </c>
    </row>
    <row r="922" spans="1:2" x14ac:dyDescent="0.25">
      <c r="A922" s="1">
        <v>45174</v>
      </c>
      <c r="B922">
        <v>1.98</v>
      </c>
    </row>
    <row r="923" spans="1:2" x14ac:dyDescent="0.25">
      <c r="A923" s="1">
        <v>45175</v>
      </c>
      <c r="B923">
        <v>2</v>
      </c>
    </row>
    <row r="924" spans="1:2" x14ac:dyDescent="0.25">
      <c r="A924" s="1">
        <v>45176</v>
      </c>
      <c r="B924">
        <v>1.95</v>
      </c>
    </row>
    <row r="925" spans="1:2" x14ac:dyDescent="0.25">
      <c r="A925" s="1">
        <v>45177</v>
      </c>
      <c r="B925">
        <v>1.93</v>
      </c>
    </row>
    <row r="926" spans="1:2" x14ac:dyDescent="0.25">
      <c r="A926" s="1">
        <v>45180</v>
      </c>
      <c r="B926">
        <v>1.94</v>
      </c>
    </row>
    <row r="927" spans="1:2" x14ac:dyDescent="0.25">
      <c r="A927" s="1">
        <v>45181</v>
      </c>
      <c r="B927">
        <v>1.93</v>
      </c>
    </row>
    <row r="928" spans="1:2" x14ac:dyDescent="0.25">
      <c r="A928" s="1">
        <v>45182</v>
      </c>
      <c r="B928">
        <v>1.9</v>
      </c>
    </row>
    <row r="929" spans="1:2" x14ac:dyDescent="0.25">
      <c r="A929" s="1">
        <v>45183</v>
      </c>
      <c r="B929">
        <v>1.95</v>
      </c>
    </row>
    <row r="930" spans="1:2" x14ac:dyDescent="0.25">
      <c r="A930" s="1">
        <v>45184</v>
      </c>
      <c r="B930">
        <v>1.98</v>
      </c>
    </row>
    <row r="931" spans="1:2" x14ac:dyDescent="0.25">
      <c r="A931" s="1">
        <v>45187</v>
      </c>
      <c r="B931">
        <v>1.96</v>
      </c>
    </row>
    <row r="932" spans="1:2" x14ac:dyDescent="0.25">
      <c r="A932" s="1">
        <v>45188</v>
      </c>
      <c r="B932">
        <v>2</v>
      </c>
    </row>
    <row r="933" spans="1:2" x14ac:dyDescent="0.25">
      <c r="A933" s="1">
        <v>45189</v>
      </c>
      <c r="B933">
        <v>2</v>
      </c>
    </row>
    <row r="934" spans="1:2" x14ac:dyDescent="0.25">
      <c r="A934" s="1">
        <v>45190</v>
      </c>
      <c r="B934">
        <v>2.11</v>
      </c>
    </row>
    <row r="935" spans="1:2" x14ac:dyDescent="0.25">
      <c r="A935" s="1">
        <v>45191</v>
      </c>
      <c r="B935">
        <v>2.0699999999999998</v>
      </c>
    </row>
    <row r="936" spans="1:2" x14ac:dyDescent="0.25">
      <c r="A936" s="1">
        <v>45194</v>
      </c>
      <c r="B936">
        <v>2.1800000000000002</v>
      </c>
    </row>
    <row r="937" spans="1:2" x14ac:dyDescent="0.25">
      <c r="A937" s="1">
        <v>45195</v>
      </c>
      <c r="B937">
        <v>2.23</v>
      </c>
    </row>
    <row r="938" spans="1:2" x14ac:dyDescent="0.25">
      <c r="A938" s="1">
        <v>45196</v>
      </c>
      <c r="B938">
        <v>2.27</v>
      </c>
    </row>
    <row r="939" spans="1:2" x14ac:dyDescent="0.25">
      <c r="A939" s="1">
        <v>45197</v>
      </c>
      <c r="B939">
        <v>2.2000000000000002</v>
      </c>
    </row>
    <row r="940" spans="1:2" x14ac:dyDescent="0.25">
      <c r="A940" s="1">
        <v>45198</v>
      </c>
      <c r="B940">
        <v>2.2400000000000002</v>
      </c>
    </row>
    <row r="941" spans="1:2" x14ac:dyDescent="0.25">
      <c r="A941" s="1">
        <v>45201</v>
      </c>
      <c r="B941">
        <v>2.34</v>
      </c>
    </row>
    <row r="942" spans="1:2" x14ac:dyDescent="0.25">
      <c r="A942" s="1">
        <v>45202</v>
      </c>
      <c r="B942">
        <v>2.4500000000000002</v>
      </c>
    </row>
    <row r="943" spans="1:2" x14ac:dyDescent="0.25">
      <c r="A943" s="1">
        <v>45203</v>
      </c>
      <c r="B943">
        <v>2.4</v>
      </c>
    </row>
    <row r="944" spans="1:2" x14ac:dyDescent="0.25">
      <c r="A944" s="1">
        <v>45204</v>
      </c>
      <c r="B944">
        <v>2.41</v>
      </c>
    </row>
    <row r="945" spans="1:2" x14ac:dyDescent="0.25">
      <c r="A945" s="1">
        <v>45205</v>
      </c>
      <c r="B945">
        <v>2.4700000000000002</v>
      </c>
    </row>
    <row r="946" spans="1:2" x14ac:dyDescent="0.25">
      <c r="A946" s="1">
        <v>45209</v>
      </c>
      <c r="B946">
        <v>2.34</v>
      </c>
    </row>
    <row r="947" spans="1:2" x14ac:dyDescent="0.25">
      <c r="A947" s="1">
        <v>45210</v>
      </c>
      <c r="B947">
        <v>2.2599999999999998</v>
      </c>
    </row>
    <row r="948" spans="1:2" x14ac:dyDescent="0.25">
      <c r="A948" s="1">
        <v>45211</v>
      </c>
      <c r="B948">
        <v>2.36</v>
      </c>
    </row>
    <row r="949" spans="1:2" x14ac:dyDescent="0.25">
      <c r="A949" s="1">
        <v>45212</v>
      </c>
      <c r="B949">
        <v>2.29</v>
      </c>
    </row>
    <row r="950" spans="1:2" x14ac:dyDescent="0.25">
      <c r="A950" s="1">
        <v>45215</v>
      </c>
      <c r="B950">
        <v>2.33</v>
      </c>
    </row>
    <row r="951" spans="1:2" x14ac:dyDescent="0.25">
      <c r="A951" s="1">
        <v>45216</v>
      </c>
      <c r="B951">
        <v>2.42</v>
      </c>
    </row>
    <row r="952" spans="1:2" x14ac:dyDescent="0.25">
      <c r="A952" s="1">
        <v>45217</v>
      </c>
      <c r="B952">
        <v>2.4700000000000002</v>
      </c>
    </row>
    <row r="953" spans="1:2" x14ac:dyDescent="0.25">
      <c r="A953" s="1">
        <v>45218</v>
      </c>
      <c r="B953">
        <v>2.4900000000000002</v>
      </c>
    </row>
    <row r="954" spans="1:2" x14ac:dyDescent="0.25">
      <c r="A954" s="1">
        <v>45219</v>
      </c>
      <c r="B954">
        <v>2.46</v>
      </c>
    </row>
    <row r="955" spans="1:2" x14ac:dyDescent="0.25">
      <c r="A955" s="1">
        <v>45222</v>
      </c>
      <c r="B955">
        <v>2.4500000000000002</v>
      </c>
    </row>
    <row r="956" spans="1:2" x14ac:dyDescent="0.25">
      <c r="A956" s="1">
        <v>45223</v>
      </c>
      <c r="B956">
        <v>2.4300000000000002</v>
      </c>
    </row>
    <row r="957" spans="1:2" x14ac:dyDescent="0.25">
      <c r="A957" s="1">
        <v>45224</v>
      </c>
      <c r="B957">
        <v>2.52</v>
      </c>
    </row>
    <row r="958" spans="1:2" x14ac:dyDescent="0.25">
      <c r="A958" s="1">
        <v>45225</v>
      </c>
      <c r="B958">
        <v>2.44</v>
      </c>
    </row>
    <row r="959" spans="1:2" x14ac:dyDescent="0.25">
      <c r="A959" s="1">
        <v>45226</v>
      </c>
      <c r="B959">
        <v>2.42</v>
      </c>
    </row>
    <row r="960" spans="1:2" x14ac:dyDescent="0.25">
      <c r="A960" s="1">
        <v>45229</v>
      </c>
      <c r="B960">
        <v>2.44</v>
      </c>
    </row>
    <row r="961" spans="1:2" x14ac:dyDescent="0.25">
      <c r="A961" s="1">
        <v>45230</v>
      </c>
      <c r="B961">
        <v>2.46</v>
      </c>
    </row>
    <row r="962" spans="1:2" x14ac:dyDescent="0.25">
      <c r="A962" s="1">
        <v>45231</v>
      </c>
      <c r="B962">
        <v>2.36</v>
      </c>
    </row>
    <row r="963" spans="1:2" x14ac:dyDescent="0.25">
      <c r="A963" s="1">
        <v>45232</v>
      </c>
      <c r="B963">
        <v>2.27</v>
      </c>
    </row>
    <row r="964" spans="1:2" x14ac:dyDescent="0.25">
      <c r="A964" s="1">
        <v>45233</v>
      </c>
      <c r="B964">
        <v>2.1800000000000002</v>
      </c>
    </row>
    <row r="965" spans="1:2" x14ac:dyDescent="0.25">
      <c r="A965" s="1">
        <v>45236</v>
      </c>
      <c r="B965">
        <v>2.25</v>
      </c>
    </row>
    <row r="966" spans="1:2" x14ac:dyDescent="0.25">
      <c r="A966" s="1">
        <v>45237</v>
      </c>
      <c r="B966">
        <v>2.19</v>
      </c>
    </row>
    <row r="967" spans="1:2" x14ac:dyDescent="0.25">
      <c r="A967" s="1">
        <v>45238</v>
      </c>
      <c r="B967">
        <v>2.15</v>
      </c>
    </row>
    <row r="968" spans="1:2" x14ac:dyDescent="0.25">
      <c r="A968" s="1">
        <v>45239</v>
      </c>
      <c r="B968">
        <v>2.29</v>
      </c>
    </row>
    <row r="969" spans="1:2" x14ac:dyDescent="0.25">
      <c r="A969" s="1">
        <v>45240</v>
      </c>
      <c r="B969">
        <v>2.29</v>
      </c>
    </row>
    <row r="970" spans="1:2" x14ac:dyDescent="0.25">
      <c r="A970" s="1">
        <v>45243</v>
      </c>
      <c r="B970">
        <v>2.3199999999999998</v>
      </c>
    </row>
    <row r="971" spans="1:2" x14ac:dyDescent="0.25">
      <c r="A971" s="1">
        <v>45244</v>
      </c>
      <c r="B971">
        <v>2.16</v>
      </c>
    </row>
    <row r="972" spans="1:2" x14ac:dyDescent="0.25">
      <c r="A972" s="1">
        <v>45245</v>
      </c>
      <c r="B972">
        <v>2.2200000000000002</v>
      </c>
    </row>
    <row r="973" spans="1:2" x14ac:dyDescent="0.25">
      <c r="A973" s="1">
        <v>45246</v>
      </c>
      <c r="B973">
        <v>2.1800000000000002</v>
      </c>
    </row>
    <row r="974" spans="1:2" x14ac:dyDescent="0.25">
      <c r="A974" s="1">
        <v>45247</v>
      </c>
      <c r="B974">
        <v>2.16</v>
      </c>
    </row>
    <row r="975" spans="1:2" x14ac:dyDescent="0.25">
      <c r="A975" s="1">
        <v>45250</v>
      </c>
      <c r="B975">
        <v>2.12</v>
      </c>
    </row>
    <row r="976" spans="1:2" x14ac:dyDescent="0.25">
      <c r="A976" s="1">
        <v>45251</v>
      </c>
      <c r="B976">
        <v>2.16</v>
      </c>
    </row>
    <row r="977" spans="1:2" x14ac:dyDescent="0.25">
      <c r="A977" s="1">
        <v>45252</v>
      </c>
      <c r="B977">
        <v>2.16</v>
      </c>
    </row>
    <row r="978" spans="1:2" x14ac:dyDescent="0.25">
      <c r="A978" s="1">
        <v>45254</v>
      </c>
      <c r="B978">
        <v>2.21</v>
      </c>
    </row>
    <row r="979" spans="1:2" x14ac:dyDescent="0.25">
      <c r="A979" s="1">
        <v>45257</v>
      </c>
      <c r="B979">
        <v>2.1800000000000002</v>
      </c>
    </row>
    <row r="980" spans="1:2" x14ac:dyDescent="0.25">
      <c r="A980" s="1">
        <v>45258</v>
      </c>
      <c r="B980">
        <v>2.12</v>
      </c>
    </row>
    <row r="981" spans="1:2" x14ac:dyDescent="0.25">
      <c r="A981" s="1">
        <v>45259</v>
      </c>
      <c r="B981">
        <v>2.06</v>
      </c>
    </row>
    <row r="982" spans="1:2" x14ac:dyDescent="0.25">
      <c r="A982" s="1">
        <v>45260</v>
      </c>
      <c r="B982">
        <v>2.14</v>
      </c>
    </row>
    <row r="983" spans="1:2" x14ac:dyDescent="0.25">
      <c r="A983" s="1">
        <v>45261</v>
      </c>
      <c r="B983">
        <v>2</v>
      </c>
    </row>
    <row r="984" spans="1:2" x14ac:dyDescent="0.25">
      <c r="A984" s="1">
        <v>45264</v>
      </c>
      <c r="B984">
        <v>2.0699999999999998</v>
      </c>
    </row>
    <row r="985" spans="1:2" x14ac:dyDescent="0.25">
      <c r="A985" s="1">
        <v>45265</v>
      </c>
      <c r="B985">
        <v>2.0099999999999998</v>
      </c>
    </row>
    <row r="986" spans="1:2" x14ac:dyDescent="0.25">
      <c r="A986" s="1">
        <v>45266</v>
      </c>
      <c r="B986">
        <v>1.98</v>
      </c>
    </row>
    <row r="987" spans="1:2" x14ac:dyDescent="0.25">
      <c r="A987" s="1">
        <v>45267</v>
      </c>
      <c r="B987">
        <v>1.97</v>
      </c>
    </row>
    <row r="988" spans="1:2" x14ac:dyDescent="0.25">
      <c r="A988" s="1">
        <v>45268</v>
      </c>
      <c r="B988">
        <v>2.02</v>
      </c>
    </row>
    <row r="989" spans="1:2" x14ac:dyDescent="0.25">
      <c r="A989" s="1">
        <v>45271</v>
      </c>
      <c r="B989">
        <v>2.04</v>
      </c>
    </row>
    <row r="990" spans="1:2" x14ac:dyDescent="0.25">
      <c r="A990" s="1">
        <v>45272</v>
      </c>
      <c r="B990">
        <v>2.04</v>
      </c>
    </row>
    <row r="991" spans="1:2" x14ac:dyDescent="0.25">
      <c r="A991" s="1">
        <v>45273</v>
      </c>
      <c r="B991">
        <v>1.88</v>
      </c>
    </row>
    <row r="992" spans="1:2" x14ac:dyDescent="0.25">
      <c r="A992" s="1">
        <v>45274</v>
      </c>
      <c r="B992">
        <v>1.7</v>
      </c>
    </row>
    <row r="993" spans="1:2" x14ac:dyDescent="0.25">
      <c r="A993" s="1">
        <v>45275</v>
      </c>
      <c r="B993">
        <v>1.69</v>
      </c>
    </row>
    <row r="994" spans="1:2" x14ac:dyDescent="0.25">
      <c r="A994" s="1">
        <v>45278</v>
      </c>
      <c r="B994">
        <v>1.74</v>
      </c>
    </row>
    <row r="995" spans="1:2" x14ac:dyDescent="0.25">
      <c r="A995" s="1">
        <v>45279</v>
      </c>
      <c r="B995">
        <v>1.74</v>
      </c>
    </row>
    <row r="996" spans="1:2" x14ac:dyDescent="0.25">
      <c r="A996" s="1">
        <v>45280</v>
      </c>
      <c r="B996">
        <v>1.67</v>
      </c>
    </row>
    <row r="997" spans="1:2" x14ac:dyDescent="0.25">
      <c r="A997" s="1">
        <v>45281</v>
      </c>
      <c r="B997">
        <v>1.7</v>
      </c>
    </row>
    <row r="998" spans="1:2" x14ac:dyDescent="0.25">
      <c r="A998" s="1">
        <v>45282</v>
      </c>
      <c r="B998">
        <v>1.71</v>
      </c>
    </row>
    <row r="999" spans="1:2" x14ac:dyDescent="0.25">
      <c r="A999" s="1">
        <v>45286</v>
      </c>
      <c r="B999">
        <v>1.71</v>
      </c>
    </row>
    <row r="1000" spans="1:2" x14ac:dyDescent="0.25">
      <c r="A1000" s="1">
        <v>45287</v>
      </c>
      <c r="B1000">
        <v>1.64</v>
      </c>
    </row>
    <row r="1001" spans="1:2" x14ac:dyDescent="0.25">
      <c r="A1001" s="1">
        <v>45288</v>
      </c>
      <c r="B1001">
        <v>1.68</v>
      </c>
    </row>
    <row r="1002" spans="1:2" x14ac:dyDescent="0.25">
      <c r="A1002" s="1">
        <v>45289</v>
      </c>
      <c r="B1002">
        <v>1.72</v>
      </c>
    </row>
    <row r="1003" spans="1:2" x14ac:dyDescent="0.25">
      <c r="A1003" s="1">
        <v>45293</v>
      </c>
      <c r="B1003">
        <v>1.74</v>
      </c>
    </row>
    <row r="1004" spans="1:2" x14ac:dyDescent="0.25">
      <c r="A1004" s="1">
        <v>45294</v>
      </c>
      <c r="B1004">
        <v>1.71</v>
      </c>
    </row>
    <row r="1005" spans="1:2" x14ac:dyDescent="0.25">
      <c r="A1005" s="1">
        <v>45295</v>
      </c>
      <c r="B1005">
        <v>1.77</v>
      </c>
    </row>
    <row r="1006" spans="1:2" x14ac:dyDescent="0.25">
      <c r="A1006" s="1">
        <v>45296</v>
      </c>
      <c r="B1006">
        <v>1.83</v>
      </c>
    </row>
    <row r="1007" spans="1:2" x14ac:dyDescent="0.25">
      <c r="A1007" s="1">
        <v>45299</v>
      </c>
      <c r="B1007">
        <v>1.79</v>
      </c>
    </row>
    <row r="1008" spans="1:2" x14ac:dyDescent="0.25">
      <c r="A1008" s="1">
        <v>45300</v>
      </c>
      <c r="B1008">
        <v>1.8</v>
      </c>
    </row>
    <row r="1009" spans="1:2" x14ac:dyDescent="0.25">
      <c r="A1009" s="1">
        <v>45301</v>
      </c>
      <c r="B1009">
        <v>1.82</v>
      </c>
    </row>
    <row r="1010" spans="1:2" x14ac:dyDescent="0.25">
      <c r="A1010" s="1">
        <v>45302</v>
      </c>
      <c r="B1010">
        <v>1.76</v>
      </c>
    </row>
    <row r="1011" spans="1:2" x14ac:dyDescent="0.25">
      <c r="A1011" s="1">
        <v>45303</v>
      </c>
      <c r="B1011">
        <v>1.69</v>
      </c>
    </row>
    <row r="1012" spans="1:2" x14ac:dyDescent="0.25">
      <c r="A1012" s="1">
        <v>45307</v>
      </c>
      <c r="B1012">
        <v>1.77</v>
      </c>
    </row>
    <row r="1013" spans="1:2" x14ac:dyDescent="0.25">
      <c r="A1013" s="1">
        <v>45308</v>
      </c>
      <c r="B1013">
        <v>1.8</v>
      </c>
    </row>
    <row r="1014" spans="1:2" x14ac:dyDescent="0.25">
      <c r="A1014" s="1">
        <v>45309</v>
      </c>
      <c r="B1014">
        <v>1.8</v>
      </c>
    </row>
    <row r="1015" spans="1:2" x14ac:dyDescent="0.25">
      <c r="A1015" s="1">
        <v>45310</v>
      </c>
      <c r="B1015">
        <v>1.81</v>
      </c>
    </row>
    <row r="1016" spans="1:2" x14ac:dyDescent="0.25">
      <c r="A1016" s="1">
        <v>45313</v>
      </c>
      <c r="B1016">
        <v>1.8</v>
      </c>
    </row>
    <row r="1017" spans="1:2" x14ac:dyDescent="0.25">
      <c r="A1017" s="1">
        <v>45314</v>
      </c>
      <c r="B1017">
        <v>1.85</v>
      </c>
    </row>
    <row r="1018" spans="1:2" x14ac:dyDescent="0.25">
      <c r="A1018" s="1">
        <v>45315</v>
      </c>
      <c r="B1018">
        <v>1.88</v>
      </c>
    </row>
    <row r="1019" spans="1:2" x14ac:dyDescent="0.25">
      <c r="A1019" s="1">
        <v>45316</v>
      </c>
      <c r="B1019">
        <v>1.85</v>
      </c>
    </row>
    <row r="1020" spans="1:2" x14ac:dyDescent="0.25">
      <c r="A1020" s="1">
        <v>45317</v>
      </c>
      <c r="B1020">
        <v>1.85</v>
      </c>
    </row>
    <row r="1021" spans="1:2" x14ac:dyDescent="0.25">
      <c r="A1021" s="1">
        <v>45320</v>
      </c>
      <c r="B1021">
        <v>1.78</v>
      </c>
    </row>
    <row r="1022" spans="1:2" x14ac:dyDescent="0.25">
      <c r="A1022" s="1">
        <v>45321</v>
      </c>
      <c r="B1022">
        <v>1.8</v>
      </c>
    </row>
    <row r="1023" spans="1:2" x14ac:dyDescent="0.25">
      <c r="A1023" s="1">
        <v>45322</v>
      </c>
      <c r="B1023">
        <v>1.73</v>
      </c>
    </row>
    <row r="1024" spans="1:2" x14ac:dyDescent="0.25">
      <c r="A1024" s="1">
        <v>45323</v>
      </c>
      <c r="B1024">
        <v>1.68</v>
      </c>
    </row>
    <row r="1025" spans="1:2" x14ac:dyDescent="0.25">
      <c r="A1025" s="1">
        <v>45324</v>
      </c>
      <c r="B1025">
        <v>1.82</v>
      </c>
    </row>
    <row r="1026" spans="1:2" x14ac:dyDescent="0.25">
      <c r="A1026" s="1">
        <v>45327</v>
      </c>
      <c r="B1026">
        <v>1.9</v>
      </c>
    </row>
    <row r="1027" spans="1:2" x14ac:dyDescent="0.25">
      <c r="A1027" s="1">
        <v>45328</v>
      </c>
      <c r="B1027">
        <v>1.85</v>
      </c>
    </row>
    <row r="1028" spans="1:2" x14ac:dyDescent="0.25">
      <c r="A1028" s="1">
        <v>45329</v>
      </c>
      <c r="B1028">
        <v>1.86</v>
      </c>
    </row>
    <row r="1029" spans="1:2" x14ac:dyDescent="0.25">
      <c r="A1029" s="1">
        <v>45330</v>
      </c>
      <c r="B1029">
        <v>1.91</v>
      </c>
    </row>
    <row r="1030" spans="1:2" x14ac:dyDescent="0.25">
      <c r="A1030" s="1">
        <v>45331</v>
      </c>
      <c r="B1030">
        <v>1.92</v>
      </c>
    </row>
    <row r="1031" spans="1:2" x14ac:dyDescent="0.25">
      <c r="A1031" s="1">
        <v>45334</v>
      </c>
      <c r="B1031">
        <v>1.93</v>
      </c>
    </row>
    <row r="1032" spans="1:2" x14ac:dyDescent="0.25">
      <c r="A1032" s="1">
        <v>45335</v>
      </c>
      <c r="B1032">
        <v>2.02</v>
      </c>
    </row>
    <row r="1033" spans="1:2" x14ac:dyDescent="0.25">
      <c r="A1033" s="1">
        <v>45336</v>
      </c>
      <c r="B1033">
        <v>1.97</v>
      </c>
    </row>
    <row r="1034" spans="1:2" x14ac:dyDescent="0.25">
      <c r="A1034" s="1">
        <v>45337</v>
      </c>
      <c r="B1034">
        <v>1.94</v>
      </c>
    </row>
    <row r="1035" spans="1:2" x14ac:dyDescent="0.25">
      <c r="A1035" s="1">
        <v>45338</v>
      </c>
      <c r="B1035">
        <v>1.97</v>
      </c>
    </row>
    <row r="1036" spans="1:2" x14ac:dyDescent="0.25">
      <c r="A1036" s="1">
        <v>45342</v>
      </c>
      <c r="B1036">
        <v>1.95</v>
      </c>
    </row>
    <row r="1037" spans="1:2" x14ac:dyDescent="0.25">
      <c r="A1037" s="1">
        <v>45343</v>
      </c>
      <c r="B1037">
        <v>1.98</v>
      </c>
    </row>
    <row r="1038" spans="1:2" x14ac:dyDescent="0.25">
      <c r="A1038" s="1">
        <v>45344</v>
      </c>
      <c r="B1038">
        <v>2.02</v>
      </c>
    </row>
    <row r="1039" spans="1:2" x14ac:dyDescent="0.25">
      <c r="A1039" s="1">
        <v>45345</v>
      </c>
      <c r="B1039">
        <v>1.96</v>
      </c>
    </row>
    <row r="1040" spans="1:2" x14ac:dyDescent="0.25">
      <c r="A1040" s="1">
        <v>45348</v>
      </c>
      <c r="B1040">
        <v>1.97</v>
      </c>
    </row>
    <row r="1041" spans="1:2" x14ac:dyDescent="0.25">
      <c r="A1041" s="1">
        <v>45349</v>
      </c>
      <c r="B1041">
        <v>1.99</v>
      </c>
    </row>
    <row r="1042" spans="1:2" x14ac:dyDescent="0.25">
      <c r="A1042" s="1">
        <v>45350</v>
      </c>
      <c r="B1042">
        <v>1.94</v>
      </c>
    </row>
    <row r="1043" spans="1:2" x14ac:dyDescent="0.25">
      <c r="A1043" s="1">
        <v>45351</v>
      </c>
      <c r="B1043">
        <v>1.92</v>
      </c>
    </row>
    <row r="1044" spans="1:2" x14ac:dyDescent="0.25">
      <c r="A1044" s="1">
        <v>45352</v>
      </c>
      <c r="B1044">
        <v>1.87</v>
      </c>
    </row>
    <row r="1045" spans="1:2" x14ac:dyDescent="0.25">
      <c r="A1045" s="1">
        <v>45355</v>
      </c>
      <c r="B1045">
        <v>1.88</v>
      </c>
    </row>
    <row r="1046" spans="1:2" x14ac:dyDescent="0.25">
      <c r="A1046" s="1">
        <v>45356</v>
      </c>
      <c r="B1046">
        <v>1.81</v>
      </c>
    </row>
    <row r="1047" spans="1:2" x14ac:dyDescent="0.25">
      <c r="A1047" s="1">
        <v>45357</v>
      </c>
      <c r="B1047">
        <v>1.81</v>
      </c>
    </row>
    <row r="1048" spans="1:2" x14ac:dyDescent="0.25">
      <c r="A1048" s="1">
        <v>45358</v>
      </c>
      <c r="B1048">
        <v>1.81</v>
      </c>
    </row>
    <row r="1049" spans="1:2" x14ac:dyDescent="0.25">
      <c r="A1049" s="1">
        <v>45359</v>
      </c>
      <c r="B1049">
        <v>1.81</v>
      </c>
    </row>
    <row r="1050" spans="1:2" x14ac:dyDescent="0.25">
      <c r="A1050" s="1">
        <v>45362</v>
      </c>
      <c r="B1050">
        <v>1.83</v>
      </c>
    </row>
    <row r="1051" spans="1:2" x14ac:dyDescent="0.25">
      <c r="A1051" s="1">
        <v>45363</v>
      </c>
      <c r="B1051">
        <v>1.86</v>
      </c>
    </row>
    <row r="1052" spans="1:2" x14ac:dyDescent="0.25">
      <c r="A1052" s="1">
        <v>45364</v>
      </c>
      <c r="B1052">
        <v>1.89</v>
      </c>
    </row>
    <row r="1053" spans="1:2" x14ac:dyDescent="0.25">
      <c r="A1053" s="1">
        <v>45365</v>
      </c>
      <c r="B1053">
        <v>1.99</v>
      </c>
    </row>
    <row r="1054" spans="1:2" x14ac:dyDescent="0.25">
      <c r="A1054" s="1">
        <v>45366</v>
      </c>
      <c r="B1054">
        <v>1.99</v>
      </c>
    </row>
    <row r="1055" spans="1:2" x14ac:dyDescent="0.25">
      <c r="A1055" s="1">
        <v>45369</v>
      </c>
      <c r="B1055">
        <v>2.0299999999999998</v>
      </c>
    </row>
    <row r="1056" spans="1:2" x14ac:dyDescent="0.25">
      <c r="A1056" s="1">
        <v>45370</v>
      </c>
      <c r="B1056">
        <v>2</v>
      </c>
    </row>
    <row r="1057" spans="1:2" x14ac:dyDescent="0.25">
      <c r="A1057" s="1">
        <v>45371</v>
      </c>
      <c r="B1057">
        <v>1.96</v>
      </c>
    </row>
    <row r="1058" spans="1:2" x14ac:dyDescent="0.25">
      <c r="A1058" s="1">
        <v>45372</v>
      </c>
      <c r="B1058">
        <v>1.93</v>
      </c>
    </row>
    <row r="1059" spans="1:2" x14ac:dyDescent="0.25">
      <c r="A1059" s="1">
        <v>45373</v>
      </c>
      <c r="B1059">
        <v>1.87</v>
      </c>
    </row>
    <row r="1060" spans="1:2" x14ac:dyDescent="0.25">
      <c r="A1060" s="1">
        <v>45376</v>
      </c>
      <c r="B1060">
        <v>1.92</v>
      </c>
    </row>
    <row r="1061" spans="1:2" x14ac:dyDescent="0.25">
      <c r="A1061" s="1">
        <v>45377</v>
      </c>
      <c r="B1061">
        <v>1.92</v>
      </c>
    </row>
    <row r="1062" spans="1:2" x14ac:dyDescent="0.25">
      <c r="A1062" s="1">
        <v>45378</v>
      </c>
      <c r="B1062">
        <v>1.88</v>
      </c>
    </row>
    <row r="1063" spans="1:2" x14ac:dyDescent="0.25">
      <c r="A1063" s="1">
        <v>45379</v>
      </c>
      <c r="B1063">
        <v>1.88</v>
      </c>
    </row>
    <row r="1064" spans="1:2" x14ac:dyDescent="0.25">
      <c r="A1064" s="1">
        <v>45383</v>
      </c>
      <c r="B1064">
        <v>1.98</v>
      </c>
    </row>
    <row r="1065" spans="1:2" x14ac:dyDescent="0.25">
      <c r="A1065" s="1">
        <v>45384</v>
      </c>
      <c r="B1065">
        <v>2</v>
      </c>
    </row>
    <row r="1066" spans="1:2" x14ac:dyDescent="0.25">
      <c r="A1066" s="1">
        <v>45385</v>
      </c>
      <c r="B1066">
        <v>2</v>
      </c>
    </row>
    <row r="1067" spans="1:2" x14ac:dyDescent="0.25">
      <c r="A1067" s="1">
        <v>45386</v>
      </c>
      <c r="B1067">
        <v>1.97</v>
      </c>
    </row>
    <row r="1068" spans="1:2" x14ac:dyDescent="0.25">
      <c r="A1068" s="1">
        <v>45387</v>
      </c>
      <c r="B1068">
        <v>2.02</v>
      </c>
    </row>
    <row r="1069" spans="1:2" x14ac:dyDescent="0.25">
      <c r="A1069" s="1">
        <v>45390</v>
      </c>
      <c r="B1069">
        <v>2.04</v>
      </c>
    </row>
    <row r="1070" spans="1:2" x14ac:dyDescent="0.25">
      <c r="A1070" s="1">
        <v>45391</v>
      </c>
      <c r="B1070">
        <v>2</v>
      </c>
    </row>
    <row r="1071" spans="1:2" x14ac:dyDescent="0.25">
      <c r="A1071" s="1">
        <v>45392</v>
      </c>
      <c r="B1071">
        <v>2.15</v>
      </c>
    </row>
    <row r="1072" spans="1:2" x14ac:dyDescent="0.25">
      <c r="A1072" s="1">
        <v>45393</v>
      </c>
      <c r="B1072">
        <v>2.16</v>
      </c>
    </row>
    <row r="1073" spans="1:2" x14ac:dyDescent="0.25">
      <c r="A1073" s="1">
        <v>45394</v>
      </c>
      <c r="B1073">
        <v>2.11</v>
      </c>
    </row>
    <row r="1074" spans="1:2" x14ac:dyDescent="0.25">
      <c r="A1074" s="1">
        <v>45397</v>
      </c>
      <c r="B1074">
        <v>2.2000000000000002</v>
      </c>
    </row>
    <row r="1075" spans="1:2" x14ac:dyDescent="0.25">
      <c r="A1075" s="1">
        <v>45398</v>
      </c>
      <c r="B1075">
        <v>2.2400000000000002</v>
      </c>
    </row>
    <row r="1076" spans="1:2" x14ac:dyDescent="0.25">
      <c r="A1076" s="1">
        <v>45399</v>
      </c>
      <c r="B1076">
        <v>2.2000000000000002</v>
      </c>
    </row>
    <row r="1077" spans="1:2" x14ac:dyDescent="0.25">
      <c r="A1077" s="1">
        <v>45400</v>
      </c>
      <c r="B1077">
        <v>2.2400000000000002</v>
      </c>
    </row>
    <row r="1078" spans="1:2" x14ac:dyDescent="0.25">
      <c r="A1078" s="1">
        <v>45401</v>
      </c>
      <c r="B1078">
        <v>2.21</v>
      </c>
    </row>
    <row r="1079" spans="1:2" x14ac:dyDescent="0.25">
      <c r="A1079" s="1">
        <v>45404</v>
      </c>
      <c r="B1079">
        <v>2.21</v>
      </c>
    </row>
    <row r="1080" spans="1:2" x14ac:dyDescent="0.25">
      <c r="A1080" s="1">
        <v>45405</v>
      </c>
      <c r="B1080">
        <v>2.2000000000000002</v>
      </c>
    </row>
    <row r="1081" spans="1:2" x14ac:dyDescent="0.25">
      <c r="A1081" s="1">
        <v>45406</v>
      </c>
      <c r="B1081">
        <v>2.2400000000000002</v>
      </c>
    </row>
    <row r="1082" spans="1:2" x14ac:dyDescent="0.25">
      <c r="A1082" s="1">
        <v>45407</v>
      </c>
      <c r="B1082">
        <v>2.2799999999999998</v>
      </c>
    </row>
    <row r="1083" spans="1:2" x14ac:dyDescent="0.25">
      <c r="A1083" s="1">
        <v>45408</v>
      </c>
      <c r="B1083">
        <v>2.2400000000000002</v>
      </c>
    </row>
    <row r="1084" spans="1:2" x14ac:dyDescent="0.25">
      <c r="A1084" s="1">
        <v>45411</v>
      </c>
      <c r="B1084">
        <v>2.2200000000000002</v>
      </c>
    </row>
    <row r="1085" spans="1:2" x14ac:dyDescent="0.25">
      <c r="A1085" s="1">
        <v>45412</v>
      </c>
      <c r="B1085">
        <v>2.2799999999999998</v>
      </c>
    </row>
    <row r="1086" spans="1:2" x14ac:dyDescent="0.25">
      <c r="A1086" s="1">
        <v>45413</v>
      </c>
      <c r="B1086">
        <v>2.25</v>
      </c>
    </row>
    <row r="1087" spans="1:2" x14ac:dyDescent="0.25">
      <c r="A1087" s="1">
        <v>45414</v>
      </c>
      <c r="B1087">
        <v>2.21</v>
      </c>
    </row>
    <row r="1088" spans="1:2" x14ac:dyDescent="0.25">
      <c r="A1088" s="1">
        <v>45415</v>
      </c>
      <c r="B1088">
        <v>2.15</v>
      </c>
    </row>
    <row r="1089" spans="1:2" x14ac:dyDescent="0.25">
      <c r="A1089" s="1">
        <v>45418</v>
      </c>
      <c r="B1089">
        <v>2.14</v>
      </c>
    </row>
    <row r="1090" spans="1:2" x14ac:dyDescent="0.25">
      <c r="A1090" s="1">
        <v>45419</v>
      </c>
      <c r="B1090">
        <v>2.15</v>
      </c>
    </row>
    <row r="1091" spans="1:2" x14ac:dyDescent="0.25">
      <c r="A1091" s="1">
        <v>45420</v>
      </c>
      <c r="B1091">
        <v>2.17</v>
      </c>
    </row>
    <row r="1092" spans="1:2" x14ac:dyDescent="0.25">
      <c r="A1092" s="1">
        <v>45421</v>
      </c>
      <c r="B1092">
        <v>2.13</v>
      </c>
    </row>
    <row r="1093" spans="1:2" x14ac:dyDescent="0.25">
      <c r="A1093" s="1">
        <v>45422</v>
      </c>
      <c r="B1093">
        <v>2.16</v>
      </c>
    </row>
    <row r="1094" spans="1:2" x14ac:dyDescent="0.25">
      <c r="A1094" s="1">
        <v>45425</v>
      </c>
      <c r="B1094">
        <v>2.15</v>
      </c>
    </row>
    <row r="1095" spans="1:2" x14ac:dyDescent="0.25">
      <c r="A1095" s="1">
        <v>45426</v>
      </c>
      <c r="B1095">
        <v>2.12</v>
      </c>
    </row>
    <row r="1096" spans="1:2" x14ac:dyDescent="0.25">
      <c r="A1096" s="1">
        <v>45427</v>
      </c>
      <c r="B1096">
        <v>2.0499999999999998</v>
      </c>
    </row>
    <row r="1097" spans="1:2" x14ac:dyDescent="0.25">
      <c r="A1097" s="1">
        <v>45428</v>
      </c>
      <c r="B1097">
        <v>2.0699999999999998</v>
      </c>
    </row>
    <row r="1098" spans="1:2" x14ac:dyDescent="0.25">
      <c r="A1098" s="1">
        <v>45429</v>
      </c>
      <c r="B1098">
        <v>2.1</v>
      </c>
    </row>
    <row r="1099" spans="1:2" x14ac:dyDescent="0.25">
      <c r="A1099" s="1">
        <v>45432</v>
      </c>
      <c r="B1099">
        <v>2.11</v>
      </c>
    </row>
    <row r="1100" spans="1:2" x14ac:dyDescent="0.25">
      <c r="A1100" s="1">
        <v>45433</v>
      </c>
      <c r="B1100">
        <v>2.09</v>
      </c>
    </row>
    <row r="1101" spans="1:2" x14ac:dyDescent="0.25">
      <c r="A1101" s="1">
        <v>45434</v>
      </c>
      <c r="B1101">
        <v>2.1</v>
      </c>
    </row>
    <row r="1102" spans="1:2" x14ac:dyDescent="0.25">
      <c r="A1102" s="1">
        <v>45435</v>
      </c>
      <c r="B1102">
        <v>2.17</v>
      </c>
    </row>
    <row r="1103" spans="1:2" x14ac:dyDescent="0.25">
      <c r="A1103" s="1">
        <v>45436</v>
      </c>
      <c r="B1103">
        <v>2.14</v>
      </c>
    </row>
    <row r="1104" spans="1:2" x14ac:dyDescent="0.25">
      <c r="A1104" s="1">
        <v>45440</v>
      </c>
      <c r="B1104">
        <v>2.2000000000000002</v>
      </c>
    </row>
    <row r="1105" spans="1:2" x14ac:dyDescent="0.25">
      <c r="A1105" s="1">
        <v>45441</v>
      </c>
      <c r="B1105">
        <v>2.25</v>
      </c>
    </row>
    <row r="1106" spans="1:2" x14ac:dyDescent="0.25">
      <c r="A1106" s="1">
        <v>45442</v>
      </c>
      <c r="B1106">
        <v>2.19</v>
      </c>
    </row>
    <row r="1107" spans="1:2" x14ac:dyDescent="0.25">
      <c r="A1107" s="1">
        <v>45443</v>
      </c>
      <c r="B1107">
        <v>2.16</v>
      </c>
    </row>
    <row r="1108" spans="1:2" x14ac:dyDescent="0.25">
      <c r="A1108" s="1">
        <v>45446</v>
      </c>
      <c r="B1108">
        <v>2.08</v>
      </c>
    </row>
    <row r="1109" spans="1:2" x14ac:dyDescent="0.25">
      <c r="A1109" s="1">
        <v>45447</v>
      </c>
      <c r="B1109">
        <v>2.02</v>
      </c>
    </row>
    <row r="1110" spans="1:2" x14ac:dyDescent="0.25">
      <c r="A1110" s="1">
        <v>45448</v>
      </c>
      <c r="B1110">
        <v>1.99</v>
      </c>
    </row>
    <row r="1111" spans="1:2" x14ac:dyDescent="0.25">
      <c r="A1111" s="1">
        <v>45449</v>
      </c>
      <c r="B1111">
        <v>2</v>
      </c>
    </row>
    <row r="1112" spans="1:2" x14ac:dyDescent="0.25">
      <c r="A1112" s="1">
        <v>45450</v>
      </c>
      <c r="B1112">
        <v>2.13</v>
      </c>
    </row>
    <row r="1113" spans="1:2" x14ac:dyDescent="0.25">
      <c r="A1113" s="1">
        <v>45453</v>
      </c>
      <c r="B1113">
        <v>2.16</v>
      </c>
    </row>
    <row r="1114" spans="1:2" x14ac:dyDescent="0.25">
      <c r="A1114" s="1">
        <v>45454</v>
      </c>
      <c r="B1114">
        <v>2.12</v>
      </c>
    </row>
    <row r="1115" spans="1:2" x14ac:dyDescent="0.25">
      <c r="A1115" s="1">
        <v>45455</v>
      </c>
      <c r="B1115">
        <v>2.09</v>
      </c>
    </row>
    <row r="1116" spans="1:2" x14ac:dyDescent="0.25">
      <c r="A1116" s="1">
        <v>45456</v>
      </c>
      <c r="B1116">
        <v>2.0299999999999998</v>
      </c>
    </row>
    <row r="1117" spans="1:2" x14ac:dyDescent="0.25">
      <c r="A1117" s="1">
        <v>45457</v>
      </c>
      <c r="B1117">
        <v>2.0299999999999998</v>
      </c>
    </row>
    <row r="1118" spans="1:2" x14ac:dyDescent="0.25">
      <c r="A1118" s="1">
        <v>45460</v>
      </c>
      <c r="B1118">
        <v>2.06</v>
      </c>
    </row>
    <row r="1119" spans="1:2" x14ac:dyDescent="0.25">
      <c r="A1119" s="1">
        <v>45461</v>
      </c>
      <c r="B1119">
        <v>2.0099999999999998</v>
      </c>
    </row>
    <row r="1120" spans="1:2" x14ac:dyDescent="0.25">
      <c r="A1120" s="1">
        <v>45463</v>
      </c>
      <c r="B1120">
        <v>2</v>
      </c>
    </row>
    <row r="1121" spans="1:2" x14ac:dyDescent="0.25">
      <c r="A1121" s="1">
        <v>45464</v>
      </c>
      <c r="B1121">
        <v>2.02</v>
      </c>
    </row>
    <row r="1122" spans="1:2" x14ac:dyDescent="0.25">
      <c r="A1122" s="1">
        <v>45467</v>
      </c>
      <c r="B1122">
        <v>2.0299999999999998</v>
      </c>
    </row>
    <row r="1123" spans="1:2" x14ac:dyDescent="0.25">
      <c r="A1123" s="1">
        <v>45468</v>
      </c>
      <c r="B1123">
        <v>2.0099999999999998</v>
      </c>
    </row>
    <row r="1124" spans="1:2" x14ac:dyDescent="0.25">
      <c r="A1124" s="1">
        <v>45469</v>
      </c>
      <c r="B1124">
        <v>2.06</v>
      </c>
    </row>
    <row r="1125" spans="1:2" x14ac:dyDescent="0.25">
      <c r="A1125" s="1">
        <v>45470</v>
      </c>
      <c r="B1125">
        <v>2.0299999999999998</v>
      </c>
    </row>
    <row r="1126" spans="1:2" x14ac:dyDescent="0.25">
      <c r="A1126" s="1">
        <v>45471</v>
      </c>
      <c r="B1126">
        <v>2.08</v>
      </c>
    </row>
    <row r="1127" spans="1:2" x14ac:dyDescent="0.25">
      <c r="A1127" s="1">
        <v>45474</v>
      </c>
      <c r="B1127">
        <v>2.16</v>
      </c>
    </row>
    <row r="1128" spans="1:2" x14ac:dyDescent="0.25">
      <c r="A1128" s="1">
        <v>45475</v>
      </c>
      <c r="B1128">
        <v>2.13</v>
      </c>
    </row>
    <row r="1129" spans="1:2" x14ac:dyDescent="0.25">
      <c r="A1129" s="1">
        <v>45476</v>
      </c>
      <c r="B1129">
        <v>2.09</v>
      </c>
    </row>
    <row r="1130" spans="1:2" x14ac:dyDescent="0.25">
      <c r="A1130" s="1">
        <v>45478</v>
      </c>
      <c r="B1130">
        <v>2</v>
      </c>
    </row>
    <row r="1131" spans="1:2" x14ac:dyDescent="0.25">
      <c r="A1131" s="1">
        <v>45481</v>
      </c>
      <c r="B1131">
        <v>2.0099999999999998</v>
      </c>
    </row>
    <row r="1132" spans="1:2" x14ac:dyDescent="0.25">
      <c r="A1132" s="1">
        <v>45482</v>
      </c>
      <c r="B1132">
        <v>2.04</v>
      </c>
    </row>
    <row r="1133" spans="1:2" x14ac:dyDescent="0.25">
      <c r="A1133" s="1">
        <v>45483</v>
      </c>
      <c r="B1133">
        <v>2.0099999999999998</v>
      </c>
    </row>
    <row r="1134" spans="1:2" x14ac:dyDescent="0.25">
      <c r="A1134" s="1">
        <v>45484</v>
      </c>
      <c r="B1134">
        <v>1.95</v>
      </c>
    </row>
    <row r="1135" spans="1:2" x14ac:dyDescent="0.25">
      <c r="A1135" s="1">
        <v>45485</v>
      </c>
      <c r="B1135">
        <v>1.94</v>
      </c>
    </row>
    <row r="1136" spans="1:2" x14ac:dyDescent="0.25">
      <c r="A1136" s="1">
        <v>45488</v>
      </c>
      <c r="B1136">
        <v>1.96</v>
      </c>
    </row>
    <row r="1137" spans="1:2" x14ac:dyDescent="0.25">
      <c r="A1137" s="1">
        <v>45489</v>
      </c>
      <c r="B1137">
        <v>1.91</v>
      </c>
    </row>
    <row r="1138" spans="1:2" x14ac:dyDescent="0.25">
      <c r="A1138" s="1">
        <v>45490</v>
      </c>
      <c r="B1138">
        <v>1.9</v>
      </c>
    </row>
    <row r="1139" spans="1:2" x14ac:dyDescent="0.25">
      <c r="A1139" s="1">
        <v>45491</v>
      </c>
      <c r="B1139">
        <v>1.89</v>
      </c>
    </row>
    <row r="1140" spans="1:2" x14ac:dyDescent="0.25">
      <c r="A1140" s="1">
        <v>45492</v>
      </c>
      <c r="B1140">
        <v>1.93</v>
      </c>
    </row>
    <row r="1141" spans="1:2" x14ac:dyDescent="0.25">
      <c r="A1141" s="1">
        <v>45495</v>
      </c>
      <c r="B1141">
        <v>1.96</v>
      </c>
    </row>
    <row r="1142" spans="1:2" x14ac:dyDescent="0.25">
      <c r="A1142" s="1">
        <v>45496</v>
      </c>
      <c r="B1142">
        <v>1.96</v>
      </c>
    </row>
    <row r="1143" spans="1:2" x14ac:dyDescent="0.25">
      <c r="A1143" s="1">
        <v>45497</v>
      </c>
      <c r="B1143">
        <v>2</v>
      </c>
    </row>
    <row r="1144" spans="1:2" x14ac:dyDescent="0.25">
      <c r="A1144" s="1">
        <v>45498</v>
      </c>
      <c r="B1144">
        <v>1.99</v>
      </c>
    </row>
    <row r="1145" spans="1:2" x14ac:dyDescent="0.25">
      <c r="A1145" s="1">
        <v>45499</v>
      </c>
      <c r="B1145">
        <v>1.93</v>
      </c>
    </row>
    <row r="1146" spans="1:2" x14ac:dyDescent="0.25">
      <c r="A1146" s="1">
        <v>45502</v>
      </c>
      <c r="B1146">
        <v>1.92</v>
      </c>
    </row>
    <row r="1147" spans="1:2" x14ac:dyDescent="0.25">
      <c r="A1147" s="1">
        <v>45503</v>
      </c>
      <c r="B1147">
        <v>1.9</v>
      </c>
    </row>
    <row r="1148" spans="1:2" x14ac:dyDescent="0.25">
      <c r="A1148" s="1">
        <v>45504</v>
      </c>
      <c r="B1148">
        <v>1.85</v>
      </c>
    </row>
    <row r="1149" spans="1:2" x14ac:dyDescent="0.25">
      <c r="A1149" s="1">
        <v>45505</v>
      </c>
      <c r="B1149">
        <v>1.79</v>
      </c>
    </row>
    <row r="1150" spans="1:2" x14ac:dyDescent="0.25">
      <c r="A1150" s="1">
        <v>45506</v>
      </c>
      <c r="B1150">
        <v>1.76</v>
      </c>
    </row>
    <row r="1151" spans="1:2" x14ac:dyDescent="0.25">
      <c r="A1151" s="1">
        <v>45509</v>
      </c>
      <c r="B1151">
        <v>1.71</v>
      </c>
    </row>
    <row r="1152" spans="1:2" x14ac:dyDescent="0.25">
      <c r="A1152" s="1">
        <v>45510</v>
      </c>
      <c r="B1152">
        <v>1.78</v>
      </c>
    </row>
    <row r="1153" spans="1:2" x14ac:dyDescent="0.25">
      <c r="A1153" s="1">
        <v>45511</v>
      </c>
      <c r="B1153">
        <v>1.85</v>
      </c>
    </row>
    <row r="1154" spans="1:2" x14ac:dyDescent="0.25">
      <c r="A1154" s="1">
        <v>45512</v>
      </c>
      <c r="B1154">
        <v>1.87</v>
      </c>
    </row>
    <row r="1155" spans="1:2" x14ac:dyDescent="0.25">
      <c r="A1155" s="1">
        <v>45513</v>
      </c>
      <c r="B1155">
        <v>1.84</v>
      </c>
    </row>
    <row r="1156" spans="1:2" x14ac:dyDescent="0.25">
      <c r="A1156" s="1">
        <v>45516</v>
      </c>
      <c r="B1156">
        <v>1.79</v>
      </c>
    </row>
    <row r="1157" spans="1:2" x14ac:dyDescent="0.25">
      <c r="A1157" s="1">
        <v>45517</v>
      </c>
      <c r="B1157">
        <v>1.76</v>
      </c>
    </row>
    <row r="1158" spans="1:2" x14ac:dyDescent="0.25">
      <c r="A1158" s="1">
        <v>45518</v>
      </c>
      <c r="B1158">
        <v>1.77</v>
      </c>
    </row>
    <row r="1159" spans="1:2" x14ac:dyDescent="0.25">
      <c r="A1159" s="1">
        <v>45519</v>
      </c>
      <c r="B1159">
        <v>1.8</v>
      </c>
    </row>
    <row r="1160" spans="1:2" x14ac:dyDescent="0.25">
      <c r="A1160" s="1">
        <v>45520</v>
      </c>
      <c r="B1160">
        <v>1.81</v>
      </c>
    </row>
    <row r="1161" spans="1:2" x14ac:dyDescent="0.25">
      <c r="A1161" s="1">
        <v>45523</v>
      </c>
      <c r="B1161">
        <v>1.79</v>
      </c>
    </row>
    <row r="1162" spans="1:2" x14ac:dyDescent="0.25">
      <c r="A1162" s="1">
        <v>45524</v>
      </c>
      <c r="B1162">
        <v>1.75</v>
      </c>
    </row>
    <row r="1163" spans="1:2" x14ac:dyDescent="0.25">
      <c r="A1163" s="1">
        <v>45525</v>
      </c>
      <c r="B1163">
        <v>1.72</v>
      </c>
    </row>
    <row r="1164" spans="1:2" x14ac:dyDescent="0.25">
      <c r="A1164" s="1">
        <v>45526</v>
      </c>
      <c r="B1164">
        <v>1.76</v>
      </c>
    </row>
    <row r="1165" spans="1:2" x14ac:dyDescent="0.25">
      <c r="A1165" s="1">
        <v>45527</v>
      </c>
      <c r="B1165">
        <v>1.68</v>
      </c>
    </row>
    <row r="1166" spans="1:2" x14ac:dyDescent="0.25">
      <c r="A1166" s="1">
        <v>45530</v>
      </c>
      <c r="B1166">
        <v>1.67</v>
      </c>
    </row>
    <row r="1167" spans="1:2" x14ac:dyDescent="0.25">
      <c r="A1167" s="1">
        <v>45531</v>
      </c>
      <c r="B1167">
        <v>1.68</v>
      </c>
    </row>
    <row r="1168" spans="1:2" x14ac:dyDescent="0.25">
      <c r="A1168" s="1">
        <v>45532</v>
      </c>
      <c r="B1168">
        <v>1.69</v>
      </c>
    </row>
    <row r="1169" spans="1:2" x14ac:dyDescent="0.25">
      <c r="A1169" s="1">
        <v>45533</v>
      </c>
      <c r="B1169">
        <v>1.71</v>
      </c>
    </row>
    <row r="1170" spans="1:2" x14ac:dyDescent="0.25">
      <c r="A1170" s="1">
        <v>45534</v>
      </c>
      <c r="B1170">
        <v>1.76</v>
      </c>
    </row>
    <row r="1171" spans="1:2" x14ac:dyDescent="0.25">
      <c r="A1171" s="1">
        <v>45538</v>
      </c>
      <c r="B1171">
        <v>1.73</v>
      </c>
    </row>
    <row r="1172" spans="1:2" x14ac:dyDescent="0.25">
      <c r="A1172" s="1">
        <v>45539</v>
      </c>
      <c r="B1172">
        <v>1.7</v>
      </c>
    </row>
    <row r="1173" spans="1:2" x14ac:dyDescent="0.25">
      <c r="A1173" s="1">
        <v>45540</v>
      </c>
      <c r="B1173">
        <v>1.7</v>
      </c>
    </row>
    <row r="1174" spans="1:2" x14ac:dyDescent="0.25">
      <c r="A1174" s="1">
        <v>45541</v>
      </c>
      <c r="B1174">
        <v>1.69</v>
      </c>
    </row>
    <row r="1175" spans="1:2" x14ac:dyDescent="0.25">
      <c r="A1175" s="1">
        <v>45544</v>
      </c>
      <c r="B1175">
        <v>1.66</v>
      </c>
    </row>
    <row r="1176" spans="1:2" x14ac:dyDescent="0.25">
      <c r="A1176" s="1">
        <v>45545</v>
      </c>
      <c r="B1176">
        <v>1.63</v>
      </c>
    </row>
    <row r="1177" spans="1:2" x14ac:dyDescent="0.25">
      <c r="A1177" s="1">
        <v>45546</v>
      </c>
      <c r="B1177">
        <v>1.61</v>
      </c>
    </row>
    <row r="1178" spans="1:2" x14ac:dyDescent="0.25">
      <c r="A1178" s="1">
        <v>45547</v>
      </c>
      <c r="B1178">
        <v>1.63</v>
      </c>
    </row>
    <row r="1179" spans="1:2" x14ac:dyDescent="0.25">
      <c r="A1179" s="1">
        <v>45548</v>
      </c>
      <c r="B1179">
        <v>1.58</v>
      </c>
    </row>
    <row r="1180" spans="1:2" x14ac:dyDescent="0.25">
      <c r="A1180" s="1">
        <v>45551</v>
      </c>
      <c r="B1180">
        <v>1.54</v>
      </c>
    </row>
    <row r="1181" spans="1:2" x14ac:dyDescent="0.25">
      <c r="A1181" s="1">
        <v>45552</v>
      </c>
      <c r="B1181">
        <v>1.53</v>
      </c>
    </row>
    <row r="1182" spans="1:2" x14ac:dyDescent="0.25">
      <c r="A1182" s="1">
        <v>45553</v>
      </c>
      <c r="B1182">
        <v>1.58</v>
      </c>
    </row>
    <row r="1183" spans="1:2" x14ac:dyDescent="0.25">
      <c r="A1183" s="1">
        <v>45554</v>
      </c>
      <c r="B1183">
        <v>1.56</v>
      </c>
    </row>
    <row r="1184" spans="1:2" x14ac:dyDescent="0.25">
      <c r="A1184" s="1">
        <v>45555</v>
      </c>
      <c r="B1184">
        <v>1.58</v>
      </c>
    </row>
    <row r="1185" spans="1:2" x14ac:dyDescent="0.25">
      <c r="A1185" s="1">
        <v>45558</v>
      </c>
      <c r="B1185">
        <v>1.58</v>
      </c>
    </row>
    <row r="1186" spans="1:2" x14ac:dyDescent="0.25">
      <c r="A1186" s="1">
        <v>45559</v>
      </c>
      <c r="B1186">
        <v>1.55</v>
      </c>
    </row>
    <row r="1187" spans="1:2" x14ac:dyDescent="0.25">
      <c r="A1187" s="1">
        <v>45560</v>
      </c>
      <c r="B1187">
        <v>1.61</v>
      </c>
    </row>
    <row r="1188" spans="1:2" x14ac:dyDescent="0.25">
      <c r="A1188" s="1">
        <v>45561</v>
      </c>
      <c r="B1188">
        <v>1.63</v>
      </c>
    </row>
    <row r="1189" spans="1:2" x14ac:dyDescent="0.25">
      <c r="A1189" s="1">
        <v>45562</v>
      </c>
      <c r="B1189">
        <v>1.6</v>
      </c>
    </row>
    <row r="1190" spans="1:2" x14ac:dyDescent="0.25">
      <c r="A1190" s="1">
        <v>45565</v>
      </c>
      <c r="B1190">
        <v>1.63</v>
      </c>
    </row>
    <row r="1191" spans="1:2" x14ac:dyDescent="0.25">
      <c r="A1191" s="1">
        <v>45566</v>
      </c>
      <c r="B1191">
        <v>1.55</v>
      </c>
    </row>
    <row r="1192" spans="1:2" x14ac:dyDescent="0.25">
      <c r="A1192" s="1">
        <v>45567</v>
      </c>
      <c r="B1192">
        <v>1.58</v>
      </c>
    </row>
    <row r="1193" spans="1:2" x14ac:dyDescent="0.25">
      <c r="A1193" s="1">
        <v>45568</v>
      </c>
      <c r="B1193">
        <v>1.64</v>
      </c>
    </row>
    <row r="1194" spans="1:2" x14ac:dyDescent="0.25">
      <c r="A1194" s="1">
        <v>45569</v>
      </c>
      <c r="B1194">
        <v>1.75</v>
      </c>
    </row>
    <row r="1195" spans="1:2" x14ac:dyDescent="0.25">
      <c r="A1195" s="1">
        <v>45572</v>
      </c>
      <c r="B1195">
        <v>1.76</v>
      </c>
    </row>
    <row r="1196" spans="1:2" x14ac:dyDescent="0.25">
      <c r="A1196" s="1">
        <v>45573</v>
      </c>
      <c r="B1196">
        <v>1.77</v>
      </c>
    </row>
    <row r="1197" spans="1:2" x14ac:dyDescent="0.25">
      <c r="A1197" s="1">
        <v>45574</v>
      </c>
      <c r="B1197">
        <v>1.77</v>
      </c>
    </row>
    <row r="1198" spans="1:2" x14ac:dyDescent="0.25">
      <c r="A1198" s="1">
        <v>45575</v>
      </c>
      <c r="B1198">
        <v>1.76</v>
      </c>
    </row>
    <row r="1199" spans="1:2" x14ac:dyDescent="0.25">
      <c r="A1199" s="1">
        <v>45576</v>
      </c>
      <c r="B1199">
        <v>1.75</v>
      </c>
    </row>
    <row r="1200" spans="1:2" x14ac:dyDescent="0.25">
      <c r="A1200" s="1">
        <v>45580</v>
      </c>
      <c r="B1200">
        <v>1.75</v>
      </c>
    </row>
    <row r="1201" spans="1:2" x14ac:dyDescent="0.25">
      <c r="A1201" s="1">
        <v>45581</v>
      </c>
      <c r="B1201">
        <v>1.75</v>
      </c>
    </row>
    <row r="1202" spans="1:2" x14ac:dyDescent="0.25">
      <c r="A1202" s="1">
        <v>45582</v>
      </c>
      <c r="B1202">
        <v>1.79</v>
      </c>
    </row>
    <row r="1203" spans="1:2" x14ac:dyDescent="0.25">
      <c r="A1203" s="1">
        <v>45583</v>
      </c>
      <c r="B1203">
        <v>1.77</v>
      </c>
    </row>
    <row r="1204" spans="1:2" x14ac:dyDescent="0.25">
      <c r="A1204" s="1">
        <v>45586</v>
      </c>
      <c r="B1204">
        <v>1.88</v>
      </c>
    </row>
    <row r="1205" spans="1:2" x14ac:dyDescent="0.25">
      <c r="A1205" s="1">
        <v>45587</v>
      </c>
      <c r="B1205">
        <v>1.87</v>
      </c>
    </row>
    <row r="1206" spans="1:2" x14ac:dyDescent="0.25">
      <c r="A1206" s="1">
        <v>45588</v>
      </c>
      <c r="B1206">
        <v>1.93</v>
      </c>
    </row>
    <row r="1207" spans="1:2" x14ac:dyDescent="0.25">
      <c r="A1207" s="1">
        <v>45589</v>
      </c>
      <c r="B1207">
        <v>1.91</v>
      </c>
    </row>
    <row r="1208" spans="1:2" x14ac:dyDescent="0.25">
      <c r="A1208" s="1">
        <v>45590</v>
      </c>
      <c r="B1208">
        <v>1.96</v>
      </c>
    </row>
    <row r="1209" spans="1:2" x14ac:dyDescent="0.25">
      <c r="A1209" s="1">
        <v>45593</v>
      </c>
      <c r="B1209">
        <v>1.99</v>
      </c>
    </row>
    <row r="1210" spans="1:2" x14ac:dyDescent="0.25">
      <c r="A1210" s="1">
        <v>45594</v>
      </c>
      <c r="B1210">
        <v>1.98</v>
      </c>
    </row>
    <row r="1211" spans="1:2" x14ac:dyDescent="0.25">
      <c r="A1211" s="1">
        <v>45595</v>
      </c>
      <c r="B1211">
        <v>1.95</v>
      </c>
    </row>
    <row r="1212" spans="1:2" x14ac:dyDescent="0.25">
      <c r="A1212" s="1">
        <v>45596</v>
      </c>
      <c r="B1212">
        <v>1.95</v>
      </c>
    </row>
    <row r="1213" spans="1:2" x14ac:dyDescent="0.25">
      <c r="A1213" s="1">
        <v>45597</v>
      </c>
      <c r="B1213">
        <v>2.04</v>
      </c>
    </row>
    <row r="1214" spans="1:2" x14ac:dyDescent="0.25">
      <c r="A1214" s="1">
        <v>45600</v>
      </c>
      <c r="B1214">
        <v>2.0299999999999998</v>
      </c>
    </row>
    <row r="1215" spans="1:2" x14ac:dyDescent="0.25">
      <c r="A1215" s="1">
        <v>45601</v>
      </c>
      <c r="B1215">
        <v>1.99</v>
      </c>
    </row>
    <row r="1216" spans="1:2" x14ac:dyDescent="0.25">
      <c r="A1216" s="1">
        <v>45602</v>
      </c>
      <c r="B1216">
        <v>2.04</v>
      </c>
    </row>
    <row r="1217" spans="1:2" x14ac:dyDescent="0.25">
      <c r="A1217" s="1">
        <v>45603</v>
      </c>
      <c r="B1217">
        <v>1.98</v>
      </c>
    </row>
    <row r="1218" spans="1:2" x14ac:dyDescent="0.25">
      <c r="A1218" s="1">
        <v>45604</v>
      </c>
      <c r="B1218">
        <v>1.95</v>
      </c>
    </row>
    <row r="1219" spans="1:2" x14ac:dyDescent="0.25">
      <c r="A1219" s="1">
        <v>45608</v>
      </c>
      <c r="B1219">
        <v>2.08</v>
      </c>
    </row>
    <row r="1220" spans="1:2" x14ac:dyDescent="0.25">
      <c r="A1220" s="1">
        <v>45609</v>
      </c>
      <c r="B1220">
        <v>2.09</v>
      </c>
    </row>
    <row r="1221" spans="1:2" x14ac:dyDescent="0.25">
      <c r="A1221" s="1">
        <v>45610</v>
      </c>
      <c r="B1221">
        <v>2.1</v>
      </c>
    </row>
    <row r="1222" spans="1:2" x14ac:dyDescent="0.25">
      <c r="A1222" s="1">
        <v>45611</v>
      </c>
      <c r="B1222">
        <v>2.1</v>
      </c>
    </row>
    <row r="1223" spans="1:2" x14ac:dyDescent="0.25">
      <c r="A1223" s="1">
        <v>45614</v>
      </c>
      <c r="B1223">
        <v>2.08</v>
      </c>
    </row>
    <row r="1224" spans="1:2" x14ac:dyDescent="0.25">
      <c r="A1224" s="1">
        <v>45615</v>
      </c>
      <c r="B1224">
        <v>2.0499999999999998</v>
      </c>
    </row>
    <row r="1225" spans="1:2" x14ac:dyDescent="0.25">
      <c r="A1225" s="1">
        <v>45616</v>
      </c>
      <c r="B1225">
        <v>2.06</v>
      </c>
    </row>
    <row r="1226" spans="1:2" x14ac:dyDescent="0.25">
      <c r="A1226" s="1">
        <v>45617</v>
      </c>
      <c r="B1226">
        <v>2.09</v>
      </c>
    </row>
    <row r="1227" spans="1:2" x14ac:dyDescent="0.25">
      <c r="A1227" s="1">
        <v>45618</v>
      </c>
      <c r="B1227">
        <v>2.0699999999999998</v>
      </c>
    </row>
    <row r="1228" spans="1:2" x14ac:dyDescent="0.25">
      <c r="A1228" s="1">
        <v>45621</v>
      </c>
      <c r="B1228">
        <v>1.98</v>
      </c>
    </row>
    <row r="1229" spans="1:2" x14ac:dyDescent="0.25">
      <c r="A1229" s="1">
        <v>45622</v>
      </c>
      <c r="B1229">
        <v>2.02</v>
      </c>
    </row>
    <row r="1230" spans="1:2" x14ac:dyDescent="0.25">
      <c r="A1230" s="1">
        <v>45623</v>
      </c>
      <c r="B1230">
        <v>1.99</v>
      </c>
    </row>
    <row r="1231" spans="1:2" x14ac:dyDescent="0.25">
      <c r="A1231" s="1">
        <v>45625</v>
      </c>
      <c r="B1231">
        <v>1.92</v>
      </c>
    </row>
    <row r="1232" spans="1:2" x14ac:dyDescent="0.25">
      <c r="A1232" s="1">
        <v>45628</v>
      </c>
      <c r="B1232">
        <v>1.93</v>
      </c>
    </row>
    <row r="1233" spans="1:2" x14ac:dyDescent="0.25">
      <c r="A1233" s="1">
        <v>45629</v>
      </c>
      <c r="B1233">
        <v>1.95</v>
      </c>
    </row>
    <row r="1234" spans="1:2" x14ac:dyDescent="0.25">
      <c r="A1234" s="1">
        <v>45630</v>
      </c>
      <c r="B1234">
        <v>1.9</v>
      </c>
    </row>
    <row r="1235" spans="1:2" x14ac:dyDescent="0.25">
      <c r="A1235" s="1">
        <v>45631</v>
      </c>
      <c r="B1235">
        <v>1.92</v>
      </c>
    </row>
    <row r="1236" spans="1:2" x14ac:dyDescent="0.25">
      <c r="A1236" s="1">
        <v>45632</v>
      </c>
      <c r="B1236">
        <v>1.91</v>
      </c>
    </row>
    <row r="1237" spans="1:2" x14ac:dyDescent="0.25">
      <c r="A1237" s="1">
        <v>45635</v>
      </c>
      <c r="B1237">
        <v>1.93</v>
      </c>
    </row>
    <row r="1238" spans="1:2" x14ac:dyDescent="0.25">
      <c r="A1238" s="1">
        <v>45636</v>
      </c>
      <c r="B1238">
        <v>1.93</v>
      </c>
    </row>
    <row r="1239" spans="1:2" x14ac:dyDescent="0.25">
      <c r="A1239" s="1">
        <v>45637</v>
      </c>
      <c r="B1239">
        <v>1.96</v>
      </c>
    </row>
    <row r="1240" spans="1:2" x14ac:dyDescent="0.25">
      <c r="A1240" s="1">
        <v>45638</v>
      </c>
      <c r="B1240">
        <v>2</v>
      </c>
    </row>
    <row r="1241" spans="1:2" x14ac:dyDescent="0.25">
      <c r="A1241" s="1">
        <v>45639</v>
      </c>
      <c r="B1241">
        <v>2.0699999999999998</v>
      </c>
    </row>
    <row r="1242" spans="1:2" x14ac:dyDescent="0.25">
      <c r="A1242" s="1">
        <v>45642</v>
      </c>
      <c r="B1242">
        <v>2.0699999999999998</v>
      </c>
    </row>
    <row r="1243" spans="1:2" x14ac:dyDescent="0.25">
      <c r="A1243" s="1">
        <v>45643</v>
      </c>
      <c r="B1243">
        <v>2.09</v>
      </c>
    </row>
    <row r="1244" spans="1:2" x14ac:dyDescent="0.25">
      <c r="A1244" s="1">
        <v>45644</v>
      </c>
      <c r="B1244">
        <v>2.1800000000000002</v>
      </c>
    </row>
    <row r="1245" spans="1:2" x14ac:dyDescent="0.25">
      <c r="A1245" s="1">
        <v>45645</v>
      </c>
      <c r="B1245">
        <v>2.2799999999999998</v>
      </c>
    </row>
    <row r="1246" spans="1:2" x14ac:dyDescent="0.25">
      <c r="A1246" s="1">
        <v>45646</v>
      </c>
      <c r="B1246">
        <v>2.23</v>
      </c>
    </row>
    <row r="1247" spans="1:2" x14ac:dyDescent="0.25">
      <c r="A1247" s="1">
        <v>45649</v>
      </c>
      <c r="B1247">
        <v>2.27</v>
      </c>
    </row>
    <row r="1248" spans="1:2" x14ac:dyDescent="0.25">
      <c r="A1248" s="1">
        <v>45650</v>
      </c>
      <c r="B1248">
        <v>2.2400000000000002</v>
      </c>
    </row>
    <row r="1249" spans="1:2" x14ac:dyDescent="0.25">
      <c r="A1249" s="1">
        <v>45652</v>
      </c>
      <c r="B1249">
        <v>2.23</v>
      </c>
    </row>
    <row r="1250" spans="1:2" x14ac:dyDescent="0.25">
      <c r="A1250" s="1">
        <v>45653</v>
      </c>
      <c r="B1250">
        <v>2.2799999999999998</v>
      </c>
    </row>
    <row r="1251" spans="1:2" x14ac:dyDescent="0.25">
      <c r="A1251" s="1">
        <v>45656</v>
      </c>
      <c r="B1251">
        <v>2.2400000000000002</v>
      </c>
    </row>
    <row r="1252" spans="1:2" x14ac:dyDescent="0.25">
      <c r="A1252" s="1">
        <v>45657</v>
      </c>
      <c r="B1252">
        <v>2.2400000000000002</v>
      </c>
    </row>
    <row r="1253" spans="1:2" x14ac:dyDescent="0.25">
      <c r="A1253" s="1">
        <v>45659</v>
      </c>
      <c r="B1253">
        <v>2.23</v>
      </c>
    </row>
    <row r="1254" spans="1:2" x14ac:dyDescent="0.25">
      <c r="A1254" s="1">
        <v>45660</v>
      </c>
      <c r="B1254">
        <v>2.2599999999999998</v>
      </c>
    </row>
    <row r="1255" spans="1:2" x14ac:dyDescent="0.25">
      <c r="A1255" s="1">
        <v>45663</v>
      </c>
      <c r="B1255">
        <v>2.2799999999999998</v>
      </c>
    </row>
    <row r="1256" spans="1:2" x14ac:dyDescent="0.25">
      <c r="A1256" s="1">
        <v>45664</v>
      </c>
      <c r="B1256">
        <v>2.29</v>
      </c>
    </row>
    <row r="1257" spans="1:2" x14ac:dyDescent="0.25">
      <c r="A1257" s="1">
        <v>45665</v>
      </c>
      <c r="B1257">
        <v>2.27</v>
      </c>
    </row>
    <row r="1258" spans="1:2" x14ac:dyDescent="0.25">
      <c r="A1258" s="1">
        <v>45666</v>
      </c>
      <c r="B1258">
        <v>2.29</v>
      </c>
    </row>
    <row r="1259" spans="1:2" x14ac:dyDescent="0.25">
      <c r="A1259" s="1">
        <v>45667</v>
      </c>
      <c r="B1259">
        <v>2.34</v>
      </c>
    </row>
    <row r="1260" spans="1:2" x14ac:dyDescent="0.25">
      <c r="A1260" s="1">
        <v>45670</v>
      </c>
      <c r="B1260">
        <v>2.34</v>
      </c>
    </row>
    <row r="1261" spans="1:2" x14ac:dyDescent="0.25">
      <c r="A1261" s="1">
        <v>45671</v>
      </c>
      <c r="B1261">
        <v>2.34</v>
      </c>
    </row>
    <row r="1262" spans="1:2" x14ac:dyDescent="0.25">
      <c r="A1262" s="1">
        <v>45672</v>
      </c>
      <c r="B1262">
        <v>2.2400000000000002</v>
      </c>
    </row>
    <row r="1263" spans="1:2" x14ac:dyDescent="0.25">
      <c r="A1263" s="1">
        <v>45673</v>
      </c>
      <c r="B1263">
        <v>2.19</v>
      </c>
    </row>
    <row r="1264" spans="1:2" x14ac:dyDescent="0.25">
      <c r="A1264" s="1">
        <v>45674</v>
      </c>
      <c r="B1264">
        <v>2.2000000000000002</v>
      </c>
    </row>
    <row r="1265" spans="1:2" x14ac:dyDescent="0.25">
      <c r="A1265" s="1">
        <v>45678</v>
      </c>
      <c r="B1265">
        <v>2.19</v>
      </c>
    </row>
    <row r="1266" spans="1:2" x14ac:dyDescent="0.25">
      <c r="A1266" s="1">
        <v>45679</v>
      </c>
      <c r="B1266">
        <v>2.2000000000000002</v>
      </c>
    </row>
    <row r="1267" spans="1:2" x14ac:dyDescent="0.25">
      <c r="A1267" s="1">
        <v>45680</v>
      </c>
      <c r="B1267">
        <v>2.23</v>
      </c>
    </row>
    <row r="1268" spans="1:2" x14ac:dyDescent="0.25">
      <c r="A1268" s="1">
        <v>45681</v>
      </c>
      <c r="B1268">
        <v>2.2000000000000002</v>
      </c>
    </row>
    <row r="1269" spans="1:2" x14ac:dyDescent="0.25">
      <c r="A1269" s="1">
        <v>45684</v>
      </c>
      <c r="B1269">
        <v>2.13</v>
      </c>
    </row>
    <row r="1270" spans="1:2" x14ac:dyDescent="0.25">
      <c r="A1270" s="1">
        <v>45685</v>
      </c>
      <c r="B1270">
        <v>2.13</v>
      </c>
    </row>
    <row r="1271" spans="1:2" x14ac:dyDescent="0.25">
      <c r="A1271" s="1">
        <v>45686</v>
      </c>
      <c r="B1271">
        <v>2.15</v>
      </c>
    </row>
    <row r="1272" spans="1:2" x14ac:dyDescent="0.25">
      <c r="A1272" s="1">
        <v>45687</v>
      </c>
      <c r="B1272">
        <v>2.14</v>
      </c>
    </row>
    <row r="1273" spans="1:2" x14ac:dyDescent="0.25">
      <c r="A1273" s="1">
        <v>45688</v>
      </c>
      <c r="B1273">
        <v>2.16</v>
      </c>
    </row>
    <row r="1274" spans="1:2" x14ac:dyDescent="0.25">
      <c r="A1274" s="1">
        <v>45691</v>
      </c>
      <c r="B1274">
        <v>2.09</v>
      </c>
    </row>
    <row r="1275" spans="1:2" x14ac:dyDescent="0.25">
      <c r="A1275" s="1">
        <v>45692</v>
      </c>
      <c r="B1275">
        <v>2.08</v>
      </c>
    </row>
    <row r="1276" spans="1:2" x14ac:dyDescent="0.25">
      <c r="A1276" s="1">
        <v>45693</v>
      </c>
      <c r="B1276">
        <v>2.0099999999999998</v>
      </c>
    </row>
    <row r="1277" spans="1:2" x14ac:dyDescent="0.25">
      <c r="A1277" s="1">
        <v>45694</v>
      </c>
      <c r="B1277">
        <v>2.0299999999999998</v>
      </c>
    </row>
    <row r="1278" spans="1:2" x14ac:dyDescent="0.25">
      <c r="A1278" s="1">
        <v>45695</v>
      </c>
      <c r="B1278">
        <v>2.0699999999999998</v>
      </c>
    </row>
    <row r="1279" spans="1:2" x14ac:dyDescent="0.25">
      <c r="A1279" s="1">
        <v>45698</v>
      </c>
      <c r="B1279">
        <v>2.0699999999999998</v>
      </c>
    </row>
    <row r="1280" spans="1:2" x14ac:dyDescent="0.25">
      <c r="A1280" s="1">
        <v>45699</v>
      </c>
      <c r="B1280">
        <v>2.08</v>
      </c>
    </row>
    <row r="1281" spans="1:2" x14ac:dyDescent="0.25">
      <c r="A1281" s="1">
        <v>45700</v>
      </c>
      <c r="B1281">
        <v>2.16</v>
      </c>
    </row>
    <row r="1282" spans="1:2" x14ac:dyDescent="0.25">
      <c r="A1282" s="1">
        <v>45701</v>
      </c>
      <c r="B1282">
        <v>2.08</v>
      </c>
    </row>
    <row r="1283" spans="1:2" x14ac:dyDescent="0.25">
      <c r="A1283" s="1">
        <v>45702</v>
      </c>
      <c r="B1283">
        <v>2.04</v>
      </c>
    </row>
    <row r="1284" spans="1:2" x14ac:dyDescent="0.25">
      <c r="A1284" s="1">
        <v>45706</v>
      </c>
      <c r="B1284">
        <v>2.1</v>
      </c>
    </row>
    <row r="1285" spans="1:2" x14ac:dyDescent="0.25">
      <c r="A1285" s="1">
        <v>45707</v>
      </c>
      <c r="B1285">
        <v>2.08</v>
      </c>
    </row>
    <row r="1286" spans="1:2" x14ac:dyDescent="0.25">
      <c r="A1286" s="1">
        <v>45708</v>
      </c>
      <c r="B1286">
        <v>2.0499999999999998</v>
      </c>
    </row>
    <row r="1287" spans="1:2" x14ac:dyDescent="0.25">
      <c r="A1287" s="1">
        <v>45709</v>
      </c>
      <c r="B1287">
        <v>2</v>
      </c>
    </row>
    <row r="1288" spans="1:2" x14ac:dyDescent="0.25">
      <c r="A1288" s="1">
        <v>45712</v>
      </c>
      <c r="B1288">
        <v>1.98</v>
      </c>
    </row>
    <row r="1289" spans="1:2" x14ac:dyDescent="0.25">
      <c r="A1289" s="1">
        <v>45713</v>
      </c>
      <c r="B1289">
        <v>1.92</v>
      </c>
    </row>
    <row r="1290" spans="1:2" x14ac:dyDescent="0.25">
      <c r="A1290" s="1">
        <v>45714</v>
      </c>
      <c r="B1290">
        <v>1.89</v>
      </c>
    </row>
    <row r="1291" spans="1:2" x14ac:dyDescent="0.25">
      <c r="A1291" s="1">
        <v>45715</v>
      </c>
      <c r="B1291">
        <v>1.92</v>
      </c>
    </row>
    <row r="1292" spans="1:2" x14ac:dyDescent="0.25">
      <c r="A1292" s="1">
        <v>45716</v>
      </c>
      <c r="B1292">
        <v>1.86</v>
      </c>
    </row>
    <row r="1293" spans="1:2" x14ac:dyDescent="0.25">
      <c r="A1293" s="1">
        <v>45719</v>
      </c>
      <c r="B1293">
        <v>1.8</v>
      </c>
    </row>
    <row r="1294" spans="1:2" x14ac:dyDescent="0.25">
      <c r="A1294" s="1">
        <v>45720</v>
      </c>
      <c r="B1294">
        <v>1.87</v>
      </c>
    </row>
    <row r="1295" spans="1:2" x14ac:dyDescent="0.25">
      <c r="A1295" s="1">
        <v>45721</v>
      </c>
      <c r="B1295">
        <v>1.94</v>
      </c>
    </row>
    <row r="1296" spans="1:2" x14ac:dyDescent="0.25">
      <c r="A1296" s="1">
        <v>45722</v>
      </c>
      <c r="B1296">
        <v>1.95</v>
      </c>
    </row>
    <row r="1297" spans="1:2" x14ac:dyDescent="0.25">
      <c r="A1297" s="1">
        <v>45723</v>
      </c>
      <c r="B1297">
        <v>1.99</v>
      </c>
    </row>
    <row r="1298" spans="1:2" x14ac:dyDescent="0.25">
      <c r="A1298" s="1">
        <v>45726</v>
      </c>
      <c r="B1298">
        <v>1.91</v>
      </c>
    </row>
    <row r="1299" spans="1:2" x14ac:dyDescent="0.25">
      <c r="A1299" s="1">
        <v>45727</v>
      </c>
      <c r="B1299">
        <v>1.97</v>
      </c>
    </row>
    <row r="1300" spans="1:2" x14ac:dyDescent="0.25">
      <c r="A1300" s="1">
        <v>45728</v>
      </c>
      <c r="B1300">
        <v>1.99</v>
      </c>
    </row>
    <row r="1301" spans="1:2" x14ac:dyDescent="0.25">
      <c r="A1301" s="1">
        <v>45729</v>
      </c>
      <c r="B1301">
        <v>1.98</v>
      </c>
    </row>
    <row r="1302" spans="1:2" x14ac:dyDescent="0.25">
      <c r="A1302" s="1">
        <v>45730</v>
      </c>
      <c r="B1302">
        <v>2.0099999999999998</v>
      </c>
    </row>
    <row r="1303" spans="1:2" x14ac:dyDescent="0.25">
      <c r="A1303" s="1">
        <v>45733</v>
      </c>
      <c r="B1303">
        <v>2.02</v>
      </c>
    </row>
    <row r="1304" spans="1:2" x14ac:dyDescent="0.25">
      <c r="A1304" s="1">
        <v>45734</v>
      </c>
      <c r="B1304">
        <v>1.99</v>
      </c>
    </row>
    <row r="1305" spans="1:2" x14ac:dyDescent="0.25">
      <c r="A1305" s="1">
        <v>45735</v>
      </c>
      <c r="B1305">
        <v>1.94</v>
      </c>
    </row>
    <row r="1306" spans="1:2" x14ac:dyDescent="0.25">
      <c r="A1306" s="1">
        <v>45736</v>
      </c>
      <c r="B1306">
        <v>1.93</v>
      </c>
    </row>
    <row r="1307" spans="1:2" x14ac:dyDescent="0.25">
      <c r="A1307" s="1">
        <v>45737</v>
      </c>
      <c r="B1307">
        <v>1.92</v>
      </c>
    </row>
    <row r="1308" spans="1:2" x14ac:dyDescent="0.25">
      <c r="A1308" s="1">
        <v>45740</v>
      </c>
      <c r="B1308">
        <v>1.98</v>
      </c>
    </row>
    <row r="1309" spans="1:2" x14ac:dyDescent="0.25">
      <c r="A1309" s="1">
        <v>45741</v>
      </c>
      <c r="B1309">
        <v>1.96</v>
      </c>
    </row>
    <row r="1310" spans="1:2" x14ac:dyDescent="0.25">
      <c r="A1310" s="1">
        <v>45742</v>
      </c>
      <c r="B1310">
        <v>1.98</v>
      </c>
    </row>
    <row r="1311" spans="1:2" x14ac:dyDescent="0.25">
      <c r="A1311" s="1">
        <v>45743</v>
      </c>
      <c r="B1311">
        <v>1.99</v>
      </c>
    </row>
    <row r="1312" spans="1:2" x14ac:dyDescent="0.25">
      <c r="A1312" s="1">
        <v>45744</v>
      </c>
      <c r="B1312">
        <v>1.9</v>
      </c>
    </row>
    <row r="1313" spans="1:2" x14ac:dyDescent="0.25">
      <c r="A1313" s="1">
        <v>45747</v>
      </c>
      <c r="B1313">
        <v>1.85</v>
      </c>
    </row>
    <row r="1314" spans="1:2" x14ac:dyDescent="0.25">
      <c r="A1314" s="1">
        <v>45748</v>
      </c>
      <c r="B1314">
        <v>1.84</v>
      </c>
    </row>
    <row r="1315" spans="1:2" x14ac:dyDescent="0.25">
      <c r="A1315" s="1">
        <v>45749</v>
      </c>
      <c r="B1315">
        <v>1.88</v>
      </c>
    </row>
    <row r="1316" spans="1:2" x14ac:dyDescent="0.25">
      <c r="A1316" s="1">
        <v>45750</v>
      </c>
      <c r="B1316">
        <v>1.78</v>
      </c>
    </row>
    <row r="1317" spans="1:2" x14ac:dyDescent="0.25">
      <c r="A1317" s="1">
        <v>45751</v>
      </c>
      <c r="B1317">
        <v>1.83</v>
      </c>
    </row>
    <row r="1318" spans="1:2" x14ac:dyDescent="0.25">
      <c r="A1318" s="1">
        <v>45754</v>
      </c>
      <c r="B1318">
        <v>1.96</v>
      </c>
    </row>
    <row r="1319" spans="1:2" x14ac:dyDescent="0.25">
      <c r="A1319" s="1">
        <v>45755</v>
      </c>
      <c r="B1319">
        <v>2.04</v>
      </c>
    </row>
    <row r="1320" spans="1:2" x14ac:dyDescent="0.25">
      <c r="A1320" s="1">
        <v>45756</v>
      </c>
      <c r="B1320">
        <v>2.0699999999999998</v>
      </c>
    </row>
    <row r="1321" spans="1:2" x14ac:dyDescent="0.25">
      <c r="A1321" s="1">
        <v>45757</v>
      </c>
      <c r="B1321">
        <v>2.21</v>
      </c>
    </row>
    <row r="1322" spans="1:2" x14ac:dyDescent="0.25">
      <c r="A1322" s="1">
        <v>45758</v>
      </c>
      <c r="B1322">
        <v>2.2799999999999998</v>
      </c>
    </row>
    <row r="1323" spans="1:2" x14ac:dyDescent="0.25">
      <c r="A1323" s="1">
        <v>45761</v>
      </c>
      <c r="B1323">
        <v>2.15</v>
      </c>
    </row>
    <row r="1324" spans="1:2" x14ac:dyDescent="0.25">
      <c r="A1324" s="1">
        <v>45762</v>
      </c>
      <c r="B1324">
        <v>2.16</v>
      </c>
    </row>
    <row r="1325" spans="1:2" x14ac:dyDescent="0.25">
      <c r="A1325" s="1">
        <v>45763</v>
      </c>
      <c r="B1325">
        <v>2.12</v>
      </c>
    </row>
    <row r="1326" spans="1:2" x14ac:dyDescent="0.25">
      <c r="A1326" s="1">
        <v>45764</v>
      </c>
      <c r="B1326">
        <v>2.11</v>
      </c>
    </row>
    <row r="1327" spans="1:2" x14ac:dyDescent="0.25">
      <c r="A1327" s="1">
        <v>45768</v>
      </c>
      <c r="B1327">
        <v>2.2000000000000002</v>
      </c>
    </row>
    <row r="1328" spans="1:2" x14ac:dyDescent="0.25">
      <c r="A1328" s="1">
        <v>45769</v>
      </c>
      <c r="B1328">
        <v>2.14</v>
      </c>
    </row>
    <row r="1329" spans="1:2" x14ac:dyDescent="0.25">
      <c r="A1329" s="1">
        <v>45770</v>
      </c>
      <c r="B1329">
        <v>2.11</v>
      </c>
    </row>
    <row r="1330" spans="1:2" x14ac:dyDescent="0.25">
      <c r="A1330" s="1">
        <v>45771</v>
      </c>
      <c r="B1330">
        <v>2.02</v>
      </c>
    </row>
    <row r="1331" spans="1:2" x14ac:dyDescent="0.25">
      <c r="A1331" s="1">
        <v>45772</v>
      </c>
      <c r="B1331">
        <v>2.02</v>
      </c>
    </row>
    <row r="1332" spans="1:2" x14ac:dyDescent="0.25">
      <c r="A1332" s="1">
        <v>45775</v>
      </c>
      <c r="B1332">
        <v>1.98</v>
      </c>
    </row>
    <row r="1333" spans="1:2" x14ac:dyDescent="0.25">
      <c r="A1333" s="1">
        <v>45776</v>
      </c>
      <c r="B1333">
        <v>1.96</v>
      </c>
    </row>
    <row r="1334" spans="1:2" x14ac:dyDescent="0.25">
      <c r="A1334" s="1">
        <v>45777</v>
      </c>
      <c r="B1334">
        <v>1.94</v>
      </c>
    </row>
    <row r="1335" spans="1:2" x14ac:dyDescent="0.25">
      <c r="A1335" s="1">
        <v>45778</v>
      </c>
      <c r="B1335">
        <v>2</v>
      </c>
    </row>
    <row r="1336" spans="1:2" x14ac:dyDescent="0.25">
      <c r="A1336" s="1">
        <v>45779</v>
      </c>
      <c r="B1336">
        <v>2.06</v>
      </c>
    </row>
    <row r="1337" spans="1:2" x14ac:dyDescent="0.25">
      <c r="A1337" s="1">
        <v>45782</v>
      </c>
      <c r="B1337">
        <v>2.08</v>
      </c>
    </row>
    <row r="1338" spans="1:2" x14ac:dyDescent="0.25">
      <c r="A1338" s="1">
        <v>45783</v>
      </c>
      <c r="B1338">
        <v>2.04</v>
      </c>
    </row>
    <row r="1339" spans="1:2" x14ac:dyDescent="0.25">
      <c r="A1339" s="1">
        <v>45784</v>
      </c>
      <c r="B1339">
        <v>2.0099999999999998</v>
      </c>
    </row>
    <row r="1340" spans="1:2" x14ac:dyDescent="0.25">
      <c r="A1340" s="1">
        <v>45785</v>
      </c>
      <c r="B1340">
        <v>2.08</v>
      </c>
    </row>
    <row r="1341" spans="1:2" x14ac:dyDescent="0.25">
      <c r="A1341" s="1">
        <v>45786</v>
      </c>
      <c r="B1341">
        <v>2.08</v>
      </c>
    </row>
    <row r="1342" spans="1:2" x14ac:dyDescent="0.25">
      <c r="A1342" s="1">
        <v>45789</v>
      </c>
      <c r="B1342">
        <v>2.16</v>
      </c>
    </row>
    <row r="1343" spans="1:2" x14ac:dyDescent="0.25">
      <c r="A1343" s="1">
        <v>45790</v>
      </c>
      <c r="B1343">
        <v>2.17</v>
      </c>
    </row>
    <row r="1344" spans="1:2" x14ac:dyDescent="0.25">
      <c r="A1344" s="1">
        <v>45791</v>
      </c>
      <c r="B1344">
        <v>2.16</v>
      </c>
    </row>
    <row r="1345" spans="1:2" x14ac:dyDescent="0.25">
      <c r="A1345" s="1">
        <v>45792</v>
      </c>
      <c r="B1345">
        <v>2.11</v>
      </c>
    </row>
    <row r="1346" spans="1:2" x14ac:dyDescent="0.25">
      <c r="A1346" s="1">
        <v>45793</v>
      </c>
      <c r="B1346">
        <v>2.09</v>
      </c>
    </row>
    <row r="1347" spans="1:2" x14ac:dyDescent="0.25">
      <c r="A1347" s="1">
        <v>45796</v>
      </c>
      <c r="B1347">
        <v>2.1</v>
      </c>
    </row>
    <row r="1348" spans="1:2" x14ac:dyDescent="0.25">
      <c r="A1348" s="1">
        <v>45797</v>
      </c>
      <c r="B1348">
        <v>2.13</v>
      </c>
    </row>
    <row r="1349" spans="1:2" x14ac:dyDescent="0.25">
      <c r="A1349" s="1">
        <v>45798</v>
      </c>
      <c r="B1349">
        <v>2.23</v>
      </c>
    </row>
    <row r="1350" spans="1:2" x14ac:dyDescent="0.25">
      <c r="A1350" s="1">
        <v>45799</v>
      </c>
      <c r="B1350">
        <v>2.2000000000000002</v>
      </c>
    </row>
    <row r="1351" spans="1:2" x14ac:dyDescent="0.25">
      <c r="A1351" s="1">
        <v>45800</v>
      </c>
      <c r="B1351">
        <v>2.1800000000000002</v>
      </c>
    </row>
    <row r="1352" spans="1:2" x14ac:dyDescent="0.25">
      <c r="A1352" s="1">
        <v>45804</v>
      </c>
      <c r="B1352">
        <v>2.11</v>
      </c>
    </row>
    <row r="1353" spans="1:2" x14ac:dyDescent="0.25">
      <c r="A1353" s="1">
        <v>45805</v>
      </c>
      <c r="B1353">
        <v>2.15</v>
      </c>
    </row>
    <row r="1354" spans="1:2" x14ac:dyDescent="0.25">
      <c r="A1354" s="1">
        <v>45806</v>
      </c>
      <c r="B1354">
        <v>2.11</v>
      </c>
    </row>
    <row r="1355" spans="1:2" x14ac:dyDescent="0.25">
      <c r="A1355" s="1">
        <v>45807</v>
      </c>
      <c r="B1355">
        <v>2.0699999999999998</v>
      </c>
    </row>
    <row r="1356" spans="1:2" x14ac:dyDescent="0.25">
      <c r="A1356" s="1">
        <v>45810</v>
      </c>
      <c r="B1356">
        <v>2.13</v>
      </c>
    </row>
    <row r="1357" spans="1:2" x14ac:dyDescent="0.25">
      <c r="A1357" s="1">
        <v>45811</v>
      </c>
      <c r="B1357">
        <v>2.14</v>
      </c>
    </row>
    <row r="1358" spans="1:2" x14ac:dyDescent="0.25">
      <c r="A1358" s="1">
        <v>45812</v>
      </c>
      <c r="B1358">
        <v>2.06</v>
      </c>
    </row>
    <row r="1359" spans="1:2" x14ac:dyDescent="0.25">
      <c r="A1359" s="1">
        <v>45813</v>
      </c>
      <c r="B1359">
        <v>2.11</v>
      </c>
    </row>
    <row r="1360" spans="1:2" x14ac:dyDescent="0.25">
      <c r="A1360" s="1">
        <v>45814</v>
      </c>
      <c r="B1360">
        <v>2.2000000000000002</v>
      </c>
    </row>
    <row r="1361" spans="1:2" x14ac:dyDescent="0.25">
      <c r="A1361" s="1">
        <v>45817</v>
      </c>
      <c r="B1361">
        <v>2.1800000000000002</v>
      </c>
    </row>
    <row r="1362" spans="1:2" x14ac:dyDescent="0.25">
      <c r="A1362" s="1">
        <v>45818</v>
      </c>
      <c r="B1362">
        <v>2.1800000000000002</v>
      </c>
    </row>
    <row r="1363" spans="1:2" x14ac:dyDescent="0.25">
      <c r="A1363" s="1">
        <v>45819</v>
      </c>
      <c r="B1363">
        <v>2.14</v>
      </c>
    </row>
    <row r="1364" spans="1:2" x14ac:dyDescent="0.25">
      <c r="A1364" s="1">
        <v>45820</v>
      </c>
      <c r="B1364">
        <v>2.11</v>
      </c>
    </row>
    <row r="1365" spans="1:2" x14ac:dyDescent="0.25">
      <c r="A1365" s="1">
        <v>45821</v>
      </c>
      <c r="B1365">
        <v>2.13</v>
      </c>
    </row>
    <row r="1366" spans="1:2" x14ac:dyDescent="0.25">
      <c r="A1366" s="1">
        <v>45824</v>
      </c>
      <c r="B1366">
        <v>2.16</v>
      </c>
    </row>
    <row r="1367" spans="1:2" x14ac:dyDescent="0.25">
      <c r="A1367" s="1">
        <v>45825</v>
      </c>
      <c r="B1367">
        <v>2.08</v>
      </c>
    </row>
    <row r="1368" spans="1:2" x14ac:dyDescent="0.25">
      <c r="A1368" s="1">
        <v>45826</v>
      </c>
      <c r="B1368">
        <v>2.0699999999999998</v>
      </c>
    </row>
    <row r="1369" spans="1:2" x14ac:dyDescent="0.25">
      <c r="A1369" s="1">
        <v>45828</v>
      </c>
      <c r="B1369">
        <v>2.0499999999999998</v>
      </c>
    </row>
    <row r="1370" spans="1:2" x14ac:dyDescent="0.25">
      <c r="A1370" s="1">
        <v>45831</v>
      </c>
      <c r="B1370">
        <v>2.04</v>
      </c>
    </row>
    <row r="1371" spans="1:2" x14ac:dyDescent="0.25">
      <c r="A1371" s="1">
        <v>45832</v>
      </c>
      <c r="B1371">
        <v>2.0099999999999998</v>
      </c>
    </row>
    <row r="1372" spans="1:2" x14ac:dyDescent="0.25">
      <c r="A1372" s="1">
        <v>45833</v>
      </c>
      <c r="B1372">
        <v>2.0099999999999998</v>
      </c>
    </row>
    <row r="1373" spans="1:2" x14ac:dyDescent="0.25">
      <c r="A1373" s="1">
        <v>45834</v>
      </c>
      <c r="B1373">
        <v>1.98</v>
      </c>
    </row>
    <row r="1374" spans="1:2" x14ac:dyDescent="0.25">
      <c r="A1374" s="1">
        <v>45835</v>
      </c>
      <c r="B1374">
        <v>2</v>
      </c>
    </row>
    <row r="1375" spans="1:2" x14ac:dyDescent="0.25">
      <c r="A1375" s="1">
        <v>45838</v>
      </c>
      <c r="B1375">
        <v>1.95</v>
      </c>
    </row>
    <row r="1376" spans="1:2" x14ac:dyDescent="0.25">
      <c r="A1376" s="1">
        <v>45839</v>
      </c>
      <c r="B1376">
        <v>1.97</v>
      </c>
    </row>
    <row r="1377" spans="1:2" x14ac:dyDescent="0.25">
      <c r="A1377" s="1">
        <v>45840</v>
      </c>
      <c r="B1377">
        <v>2</v>
      </c>
    </row>
    <row r="1378" spans="1:2" x14ac:dyDescent="0.25">
      <c r="A1378" s="1">
        <v>45841</v>
      </c>
      <c r="B1378">
        <v>2.02</v>
      </c>
    </row>
    <row r="1379" spans="1:2" x14ac:dyDescent="0.25">
      <c r="A1379" s="1">
        <v>45845</v>
      </c>
      <c r="B1379">
        <v>2.0499999999999998</v>
      </c>
    </row>
    <row r="1380" spans="1:2" x14ac:dyDescent="0.25">
      <c r="A1380" s="1">
        <v>45846</v>
      </c>
      <c r="B1380">
        <v>2.0699999999999998</v>
      </c>
    </row>
    <row r="1381" spans="1:2" x14ac:dyDescent="0.25">
      <c r="A1381" s="1">
        <v>45847</v>
      </c>
      <c r="B1381">
        <v>2.0099999999999998</v>
      </c>
    </row>
    <row r="1382" spans="1:2" x14ac:dyDescent="0.25">
      <c r="A1382" s="1">
        <v>45848</v>
      </c>
      <c r="B1382">
        <v>2.0099999999999998</v>
      </c>
    </row>
    <row r="1383" spans="1:2" x14ac:dyDescent="0.25">
      <c r="A1383" s="1">
        <v>45849</v>
      </c>
      <c r="B1383">
        <v>2.06</v>
      </c>
    </row>
    <row r="1384" spans="1:2" x14ac:dyDescent="0.25">
      <c r="A1384" s="1">
        <v>45852</v>
      </c>
      <c r="B1384">
        <v>2.04</v>
      </c>
    </row>
    <row r="1385" spans="1:2" x14ac:dyDescent="0.25">
      <c r="A1385" s="1">
        <v>45853</v>
      </c>
      <c r="B1385">
        <v>2.09</v>
      </c>
    </row>
    <row r="1386" spans="1:2" x14ac:dyDescent="0.25">
      <c r="A1386" s="1">
        <v>45854</v>
      </c>
      <c r="B1386">
        <v>2.0499999999999998</v>
      </c>
    </row>
    <row r="1387" spans="1:2" x14ac:dyDescent="0.25">
      <c r="A1387" s="1">
        <v>45855</v>
      </c>
      <c r="B1387">
        <v>2.04</v>
      </c>
    </row>
    <row r="1388" spans="1:2" x14ac:dyDescent="0.25">
      <c r="A1388" s="1">
        <v>45856</v>
      </c>
      <c r="B1388">
        <v>2.0299999999999998</v>
      </c>
    </row>
    <row r="1389" spans="1:2" x14ac:dyDescent="0.25">
      <c r="A1389" s="1">
        <v>45859</v>
      </c>
      <c r="B1389">
        <v>1.98</v>
      </c>
    </row>
    <row r="1390" spans="1:2" x14ac:dyDescent="0.25">
      <c r="A1390" s="1">
        <v>45860</v>
      </c>
      <c r="B1390">
        <v>1.96</v>
      </c>
    </row>
    <row r="1391" spans="1:2" x14ac:dyDescent="0.25">
      <c r="A1391" s="1">
        <v>45861</v>
      </c>
      <c r="B1391">
        <v>2.0299999999999998</v>
      </c>
    </row>
    <row r="1392" spans="1:2" x14ac:dyDescent="0.25">
      <c r="A1392" s="1">
        <v>45862</v>
      </c>
      <c r="B1392">
        <v>1.98</v>
      </c>
    </row>
    <row r="1393" spans="1:2" x14ac:dyDescent="0.25">
      <c r="A1393" s="1">
        <v>45863</v>
      </c>
      <c r="B1393">
        <v>1.96</v>
      </c>
    </row>
    <row r="1394" spans="1:2" x14ac:dyDescent="0.25">
      <c r="A1394" s="1">
        <v>45866</v>
      </c>
      <c r="B1394">
        <v>1.98</v>
      </c>
    </row>
    <row r="1395" spans="1:2" x14ac:dyDescent="0.25">
      <c r="A1395" s="1">
        <v>45867</v>
      </c>
      <c r="B1395">
        <v>1.91</v>
      </c>
    </row>
    <row r="1396" spans="1:2" x14ac:dyDescent="0.25">
      <c r="A1396" s="1">
        <v>45868</v>
      </c>
      <c r="B1396">
        <v>1.96</v>
      </c>
    </row>
    <row r="1397" spans="1:2" x14ac:dyDescent="0.25">
      <c r="A1397" s="1">
        <v>45869</v>
      </c>
      <c r="B1397">
        <v>1.98</v>
      </c>
    </row>
    <row r="1398" spans="1:2" x14ac:dyDescent="0.25">
      <c r="A1398" s="1">
        <v>45870</v>
      </c>
      <c r="B1398">
        <v>1.9</v>
      </c>
    </row>
    <row r="1399" spans="1:2" x14ac:dyDescent="0.25">
      <c r="A1399" s="1">
        <v>45873</v>
      </c>
      <c r="B1399">
        <v>1.85</v>
      </c>
    </row>
    <row r="1400" spans="1:2" x14ac:dyDescent="0.25">
      <c r="A1400" s="1">
        <v>45874</v>
      </c>
      <c r="B1400">
        <v>1.86</v>
      </c>
    </row>
    <row r="1401" spans="1:2" x14ac:dyDescent="0.25">
      <c r="A1401" s="1">
        <v>45875</v>
      </c>
      <c r="B1401">
        <v>1.88</v>
      </c>
    </row>
    <row r="1402" spans="1:2" x14ac:dyDescent="0.25">
      <c r="A1402" s="1">
        <v>45876</v>
      </c>
      <c r="B1402">
        <v>1.88</v>
      </c>
    </row>
    <row r="1403" spans="1:2" x14ac:dyDescent="0.25">
      <c r="A1403" s="1">
        <v>45877</v>
      </c>
      <c r="B1403">
        <v>1.88</v>
      </c>
    </row>
    <row r="1404" spans="1:2" x14ac:dyDescent="0.25">
      <c r="A1404" s="1">
        <v>45880</v>
      </c>
      <c r="B1404">
        <v>1.87</v>
      </c>
    </row>
    <row r="1405" spans="1:2" x14ac:dyDescent="0.25">
      <c r="A1405" s="1">
        <v>45881</v>
      </c>
      <c r="B1405">
        <v>1.91</v>
      </c>
    </row>
    <row r="1406" spans="1:2" x14ac:dyDescent="0.25">
      <c r="A1406" s="1">
        <v>45882</v>
      </c>
      <c r="B1406">
        <v>1.87</v>
      </c>
    </row>
    <row r="1407" spans="1:2" x14ac:dyDescent="0.25">
      <c r="A1407" s="1">
        <v>45883</v>
      </c>
      <c r="B1407">
        <v>1.9</v>
      </c>
    </row>
    <row r="1408" spans="1:2" x14ac:dyDescent="0.25">
      <c r="A1408" s="1">
        <v>45884</v>
      </c>
      <c r="B1408">
        <v>1.95</v>
      </c>
    </row>
    <row r="1409" spans="1:2" x14ac:dyDescent="0.25">
      <c r="A1409" s="1">
        <v>45887</v>
      </c>
      <c r="B1409">
        <v>1.96</v>
      </c>
    </row>
    <row r="1410" spans="1:2" x14ac:dyDescent="0.25">
      <c r="A1410" s="1">
        <v>45888</v>
      </c>
      <c r="B1410">
        <v>1.95</v>
      </c>
    </row>
    <row r="1411" spans="1:2" x14ac:dyDescent="0.25">
      <c r="A1411" s="1">
        <v>45889</v>
      </c>
      <c r="B1411">
        <v>1.94</v>
      </c>
    </row>
    <row r="1412" spans="1:2" x14ac:dyDescent="0.25">
      <c r="A1412" s="1">
        <v>45890</v>
      </c>
      <c r="B1412">
        <v>1.94</v>
      </c>
    </row>
    <row r="1413" spans="1:2" x14ac:dyDescent="0.25">
      <c r="A1413" s="1">
        <v>45891</v>
      </c>
      <c r="B1413">
        <v>1.85</v>
      </c>
    </row>
    <row r="1414" spans="1:2" x14ac:dyDescent="0.25">
      <c r="A1414" s="1">
        <v>45894</v>
      </c>
      <c r="B1414">
        <v>1.87</v>
      </c>
    </row>
    <row r="1415" spans="1:2" x14ac:dyDescent="0.25">
      <c r="A1415" s="1">
        <v>45895</v>
      </c>
      <c r="B1415">
        <v>1.84</v>
      </c>
    </row>
    <row r="1416" spans="1:2" x14ac:dyDescent="0.25">
      <c r="A1416" s="1">
        <v>45896</v>
      </c>
      <c r="B1416">
        <v>1.81</v>
      </c>
    </row>
    <row r="1417" spans="1:2" x14ac:dyDescent="0.25">
      <c r="A1417" s="1">
        <v>45897</v>
      </c>
      <c r="B1417">
        <v>1.81</v>
      </c>
    </row>
    <row r="1418" spans="1:2" x14ac:dyDescent="0.25">
      <c r="A1418" s="1">
        <v>45898</v>
      </c>
      <c r="B1418">
        <v>1.82</v>
      </c>
    </row>
    <row r="1419" spans="1:2" x14ac:dyDescent="0.25">
      <c r="A1419" s="1">
        <v>45902</v>
      </c>
      <c r="B1419">
        <v>1.87</v>
      </c>
    </row>
    <row r="1420" spans="1:2" x14ac:dyDescent="0.25">
      <c r="A1420" s="1">
        <v>45903</v>
      </c>
      <c r="B1420">
        <v>1.82</v>
      </c>
    </row>
    <row r="1421" spans="1:2" x14ac:dyDescent="0.25">
      <c r="A1421" s="1">
        <v>45904</v>
      </c>
      <c r="B1421">
        <v>1.79</v>
      </c>
    </row>
    <row r="1422" spans="1:2" x14ac:dyDescent="0.25">
      <c r="A1422" s="1">
        <v>45905</v>
      </c>
      <c r="B1422">
        <v>1.73</v>
      </c>
    </row>
    <row r="1423" spans="1:2" x14ac:dyDescent="0.25">
      <c r="A1423" s="1">
        <v>45908</v>
      </c>
      <c r="B1423">
        <v>1.7</v>
      </c>
    </row>
    <row r="1424" spans="1:2" x14ac:dyDescent="0.25">
      <c r="A1424" s="1">
        <v>45909</v>
      </c>
      <c r="B1424">
        <v>1.72</v>
      </c>
    </row>
    <row r="1425" spans="1:2" x14ac:dyDescent="0.25">
      <c r="A1425" s="1">
        <v>45910</v>
      </c>
      <c r="B1425">
        <v>1.69</v>
      </c>
    </row>
    <row r="1426" spans="1:2" x14ac:dyDescent="0.25">
      <c r="A1426" s="1">
        <v>45911</v>
      </c>
      <c r="B1426">
        <v>1.67</v>
      </c>
    </row>
    <row r="1427" spans="1:2" x14ac:dyDescent="0.25">
      <c r="A1427" s="1">
        <v>45912</v>
      </c>
      <c r="B1427">
        <v>1.7</v>
      </c>
    </row>
    <row r="1428" spans="1:2" x14ac:dyDescent="0.25">
      <c r="A1428" s="1">
        <v>45915</v>
      </c>
      <c r="B1428">
        <v>1.68</v>
      </c>
    </row>
    <row r="1429" spans="1:2" x14ac:dyDescent="0.25">
      <c r="A1429" s="1">
        <v>45916</v>
      </c>
      <c r="B1429">
        <v>1.67</v>
      </c>
    </row>
    <row r="1430" spans="1:2" x14ac:dyDescent="0.25">
      <c r="A1430" s="1">
        <v>45917</v>
      </c>
      <c r="B1430">
        <v>1.68</v>
      </c>
    </row>
    <row r="1431" spans="1:2" x14ac:dyDescent="0.25">
      <c r="A1431" s="1">
        <v>45918</v>
      </c>
      <c r="B1431">
        <v>1.73</v>
      </c>
    </row>
    <row r="1432" spans="1:2" x14ac:dyDescent="0.25">
      <c r="A1432" s="1">
        <v>45919</v>
      </c>
      <c r="B1432">
        <v>1.75</v>
      </c>
    </row>
    <row r="1433" spans="1:2" x14ac:dyDescent="0.25">
      <c r="A1433" s="1">
        <v>45922</v>
      </c>
      <c r="B1433">
        <v>1.78</v>
      </c>
    </row>
    <row r="1434" spans="1:2" x14ac:dyDescent="0.25">
      <c r="A1434" s="1">
        <v>45923</v>
      </c>
      <c r="B1434">
        <v>1.75</v>
      </c>
    </row>
    <row r="1435" spans="1:2" x14ac:dyDescent="0.25">
      <c r="A1435" s="1">
        <v>45924</v>
      </c>
      <c r="B1435">
        <v>1.78</v>
      </c>
    </row>
    <row r="1436" spans="1:2" x14ac:dyDescent="0.25">
      <c r="A1436" s="1">
        <v>45925</v>
      </c>
      <c r="B1436">
        <v>1.8</v>
      </c>
    </row>
    <row r="1437" spans="1:2" x14ac:dyDescent="0.25">
      <c r="A1437" s="1">
        <v>45926</v>
      </c>
      <c r="B1437">
        <v>1.82</v>
      </c>
    </row>
    <row r="1438" spans="1:2" x14ac:dyDescent="0.25">
      <c r="A1438" s="1">
        <v>45929</v>
      </c>
      <c r="B1438">
        <v>1.8</v>
      </c>
    </row>
    <row r="1439" spans="1:2" x14ac:dyDescent="0.25">
      <c r="A1439" s="1">
        <v>45930</v>
      </c>
      <c r="B1439">
        <v>1.8</v>
      </c>
    </row>
    <row r="1440" spans="1:2" x14ac:dyDescent="0.25">
      <c r="A1440" s="1">
        <v>45931</v>
      </c>
      <c r="B1440">
        <v>1.77</v>
      </c>
    </row>
    <row r="1441" spans="1:2" x14ac:dyDescent="0.25">
      <c r="A1441" s="1">
        <v>45932</v>
      </c>
      <c r="B1441">
        <v>1.76</v>
      </c>
    </row>
    <row r="1442" spans="1:2" x14ac:dyDescent="0.25">
      <c r="A1442" s="1">
        <v>45933</v>
      </c>
      <c r="B1442">
        <v>1.8</v>
      </c>
    </row>
    <row r="1443" spans="1:2" x14ac:dyDescent="0.25">
      <c r="A1443" s="1">
        <v>45936</v>
      </c>
      <c r="B1443">
        <v>1.84</v>
      </c>
    </row>
    <row r="1444" spans="1:2" x14ac:dyDescent="0.25">
      <c r="A1444" s="1">
        <v>45937</v>
      </c>
      <c r="B1444">
        <v>1.79</v>
      </c>
    </row>
    <row r="1445" spans="1:2" x14ac:dyDescent="0.25">
      <c r="A1445" s="1">
        <v>45938</v>
      </c>
      <c r="B1445">
        <v>1.78</v>
      </c>
    </row>
    <row r="1446" spans="1:2" x14ac:dyDescent="0.25">
      <c r="A1446" s="1">
        <v>45939</v>
      </c>
      <c r="B1446">
        <v>1.8</v>
      </c>
    </row>
    <row r="1447" spans="1:2" x14ac:dyDescent="0.25">
      <c r="A1447" s="1">
        <v>45940</v>
      </c>
      <c r="B1447">
        <v>1.75</v>
      </c>
    </row>
    <row r="1448" spans="1:2" x14ac:dyDescent="0.25">
      <c r="A1448" s="1">
        <v>45944</v>
      </c>
      <c r="B1448">
        <v>1.73</v>
      </c>
    </row>
    <row r="1449" spans="1:2" x14ac:dyDescent="0.25">
      <c r="A1449" s="1">
        <v>45945</v>
      </c>
      <c r="B1449">
        <v>1.76</v>
      </c>
    </row>
    <row r="1450" spans="1:2" x14ac:dyDescent="0.25">
      <c r="A1450" s="1">
        <v>45946</v>
      </c>
      <c r="B1450">
        <v>1.71</v>
      </c>
    </row>
    <row r="1451" spans="1:2" x14ac:dyDescent="0.25">
      <c r="A1451" s="1">
        <v>45947</v>
      </c>
      <c r="B1451">
        <v>1.75</v>
      </c>
    </row>
    <row r="1452" spans="1:2" x14ac:dyDescent="0.25">
      <c r="A1452" s="1">
        <v>45950</v>
      </c>
      <c r="B1452">
        <v>1.74</v>
      </c>
    </row>
    <row r="1453" spans="1:2" x14ac:dyDescent="0.25">
      <c r="A1453" s="1">
        <v>45951</v>
      </c>
      <c r="B1453">
        <v>1.7</v>
      </c>
    </row>
    <row r="1454" spans="1:2" x14ac:dyDescent="0.25">
      <c r="A1454" s="1">
        <v>45952</v>
      </c>
      <c r="B1454">
        <v>1.68</v>
      </c>
    </row>
    <row r="1455" spans="1:2" x14ac:dyDescent="0.25">
      <c r="A1455" s="1">
        <v>45953</v>
      </c>
      <c r="B1455">
        <v>1.71</v>
      </c>
    </row>
    <row r="1456" spans="1:2" x14ac:dyDescent="0.25">
      <c r="A1456" s="1">
        <v>45954</v>
      </c>
      <c r="B1456">
        <v>1.73</v>
      </c>
    </row>
    <row r="1457" spans="1:2" x14ac:dyDescent="0.25">
      <c r="A1457" s="1">
        <v>45957</v>
      </c>
      <c r="B1457">
        <v>1.73</v>
      </c>
    </row>
    <row r="1458" spans="1:2" x14ac:dyDescent="0.25">
      <c r="A1458" s="1">
        <v>45958</v>
      </c>
      <c r="B1458">
        <v>1.71</v>
      </c>
    </row>
    <row r="1459" spans="1:2" x14ac:dyDescent="0.25">
      <c r="A1459" s="1">
        <v>45959</v>
      </c>
      <c r="B1459">
        <v>1.78</v>
      </c>
    </row>
    <row r="1460" spans="1:2" x14ac:dyDescent="0.25">
      <c r="A1460" s="1">
        <v>45960</v>
      </c>
      <c r="B1460">
        <v>1.82</v>
      </c>
    </row>
    <row r="1461" spans="1:2" x14ac:dyDescent="0.25">
      <c r="A1461" s="1">
        <v>45961</v>
      </c>
      <c r="B1461">
        <v>1.81</v>
      </c>
    </row>
    <row r="1462" spans="1:2" x14ac:dyDescent="0.25">
      <c r="A1462" s="1">
        <v>45964</v>
      </c>
      <c r="B1462">
        <v>1.82</v>
      </c>
    </row>
    <row r="1463" spans="1:2" x14ac:dyDescent="0.25">
      <c r="A1463" s="1">
        <v>45965</v>
      </c>
      <c r="B1463">
        <v>1.81</v>
      </c>
    </row>
    <row r="1464" spans="1:2" x14ac:dyDescent="0.25">
      <c r="A1464" s="1">
        <v>45966</v>
      </c>
      <c r="B1464">
        <v>1.87</v>
      </c>
    </row>
    <row r="1465" spans="1:2" x14ac:dyDescent="0.25">
      <c r="A1465" s="1">
        <v>45967</v>
      </c>
      <c r="B1465">
        <v>1.83</v>
      </c>
    </row>
    <row r="1466" spans="1:2" x14ac:dyDescent="0.25">
      <c r="A1466" s="1">
        <v>45968</v>
      </c>
      <c r="B1466">
        <v>1.83</v>
      </c>
    </row>
    <row r="1467" spans="1:2" x14ac:dyDescent="0.25">
      <c r="A1467" s="1">
        <v>45971</v>
      </c>
      <c r="B1467">
        <v>1.84</v>
      </c>
    </row>
    <row r="1468" spans="1:2" x14ac:dyDescent="0.25">
      <c r="A1468" s="1">
        <v>45973</v>
      </c>
      <c r="B1468">
        <v>1.81</v>
      </c>
    </row>
    <row r="1469" spans="1:2" x14ac:dyDescent="0.25">
      <c r="A1469" s="1">
        <v>45974</v>
      </c>
      <c r="B1469">
        <v>1.83</v>
      </c>
    </row>
    <row r="1470" spans="1:2" x14ac:dyDescent="0.25">
      <c r="A1470" s="1">
        <v>45975</v>
      </c>
      <c r="B1470">
        <v>1.86</v>
      </c>
    </row>
    <row r="1471" spans="1:2" x14ac:dyDescent="0.25">
      <c r="A1471" s="1">
        <v>45978</v>
      </c>
      <c r="B1471">
        <v>1.85</v>
      </c>
    </row>
    <row r="1472" spans="1:2" x14ac:dyDescent="0.25">
      <c r="A1472" s="1">
        <v>45979</v>
      </c>
      <c r="B1472">
        <v>1.85</v>
      </c>
    </row>
    <row r="1473" spans="1:2" x14ac:dyDescent="0.25">
      <c r="A1473" s="1">
        <v>45980</v>
      </c>
      <c r="B1473">
        <v>1.86</v>
      </c>
    </row>
    <row r="1474" spans="1:2" x14ac:dyDescent="0.25">
      <c r="A1474" s="1">
        <v>45981</v>
      </c>
      <c r="B1474">
        <v>1.86</v>
      </c>
    </row>
    <row r="1475" spans="1:2" x14ac:dyDescent="0.25">
      <c r="A1475" s="1">
        <v>45982</v>
      </c>
      <c r="B1475">
        <v>1.82</v>
      </c>
    </row>
    <row r="1476" spans="1:2" x14ac:dyDescent="0.25">
      <c r="A1476" s="1">
        <v>45985</v>
      </c>
      <c r="B1476">
        <v>1.81</v>
      </c>
    </row>
    <row r="1477" spans="1:2" x14ac:dyDescent="0.25">
      <c r="A1477" s="1">
        <v>45986</v>
      </c>
      <c r="B1477">
        <v>1.79</v>
      </c>
    </row>
    <row r="1478" spans="1:2" x14ac:dyDescent="0.25">
      <c r="A1478" s="1">
        <v>45987</v>
      </c>
      <c r="B1478">
        <v>1.77</v>
      </c>
    </row>
    <row r="1479" spans="1:2" x14ac:dyDescent="0.25">
      <c r="A1479" s="1">
        <v>45989</v>
      </c>
      <c r="B1479">
        <v>1.79</v>
      </c>
    </row>
    <row r="1480" spans="1:2" x14ac:dyDescent="0.25">
      <c r="A1480" s="1">
        <v>45992</v>
      </c>
      <c r="B1480">
        <v>1.85</v>
      </c>
    </row>
    <row r="1481" spans="1:2" x14ac:dyDescent="0.25">
      <c r="A1481" s="1">
        <v>45993</v>
      </c>
      <c r="B1481">
        <v>1.85</v>
      </c>
    </row>
    <row r="1482" spans="1:2" x14ac:dyDescent="0.25">
      <c r="A1482" s="1">
        <v>45994</v>
      </c>
      <c r="B1482">
        <v>1.82</v>
      </c>
    </row>
    <row r="1483" spans="1:2" x14ac:dyDescent="0.25">
      <c r="A1483" s="1">
        <v>45995</v>
      </c>
      <c r="B1483">
        <v>1.85</v>
      </c>
    </row>
    <row r="1484" spans="1:2" x14ac:dyDescent="0.25">
      <c r="A1484" s="1">
        <v>45996</v>
      </c>
      <c r="B1484">
        <v>1.88</v>
      </c>
    </row>
    <row r="1485" spans="1:2" x14ac:dyDescent="0.25">
      <c r="A1485" s="1">
        <v>45999</v>
      </c>
      <c r="B1485">
        <v>1.91</v>
      </c>
    </row>
    <row r="1486" spans="1:2" x14ac:dyDescent="0.25">
      <c r="A1486" s="1">
        <v>46000</v>
      </c>
      <c r="B1486">
        <v>1.92</v>
      </c>
    </row>
    <row r="1487" spans="1:2" x14ac:dyDescent="0.25">
      <c r="A1487" s="1">
        <v>46001</v>
      </c>
      <c r="B1487">
        <v>1.88</v>
      </c>
    </row>
    <row r="1488" spans="1:2" x14ac:dyDescent="0.25">
      <c r="A1488" s="1">
        <v>46002</v>
      </c>
      <c r="B1488">
        <v>1.89</v>
      </c>
    </row>
    <row r="1489" spans="1:2" x14ac:dyDescent="0.25">
      <c r="A1489" s="1">
        <v>46003</v>
      </c>
      <c r="B1489">
        <v>1.93</v>
      </c>
    </row>
    <row r="1490" spans="1:2" x14ac:dyDescent="0.25">
      <c r="A1490" s="1">
        <v>46006</v>
      </c>
      <c r="B1490">
        <v>1.93</v>
      </c>
    </row>
    <row r="1491" spans="1:2" x14ac:dyDescent="0.25">
      <c r="A1491" s="1">
        <v>46007</v>
      </c>
      <c r="B1491">
        <v>1.92</v>
      </c>
    </row>
    <row r="1492" spans="1:2" x14ac:dyDescent="0.25">
      <c r="A1492" s="1">
        <v>46008</v>
      </c>
      <c r="B1492">
        <v>1.92</v>
      </c>
    </row>
    <row r="1493" spans="1:2" x14ac:dyDescent="0.25">
      <c r="A1493" s="1">
        <v>46009</v>
      </c>
      <c r="B1493">
        <v>1.88</v>
      </c>
    </row>
    <row r="1494" spans="1:2" x14ac:dyDescent="0.25">
      <c r="A1494" s="1">
        <v>46010</v>
      </c>
      <c r="B1494">
        <v>1.92</v>
      </c>
    </row>
    <row r="1495" spans="1:2" x14ac:dyDescent="0.25">
      <c r="A1495" s="1">
        <v>46013</v>
      </c>
      <c r="B1495">
        <v>1.94</v>
      </c>
    </row>
    <row r="1496" spans="1:2" x14ac:dyDescent="0.25">
      <c r="A1496" s="1">
        <v>46014</v>
      </c>
      <c r="B1496">
        <v>1.94</v>
      </c>
    </row>
    <row r="1497" spans="1:2" x14ac:dyDescent="0.25">
      <c r="A1497" s="1">
        <v>46015</v>
      </c>
      <c r="B1497">
        <v>1.91</v>
      </c>
    </row>
    <row r="1498" spans="1:2" x14ac:dyDescent="0.25">
      <c r="A1498" s="1">
        <v>46017</v>
      </c>
      <c r="B1498">
        <v>1.91</v>
      </c>
    </row>
    <row r="1499" spans="1:2" x14ac:dyDescent="0.25">
      <c r="A1499" s="1">
        <v>46020</v>
      </c>
      <c r="B1499">
        <v>1.9</v>
      </c>
    </row>
    <row r="1500" spans="1:2" x14ac:dyDescent="0.25">
      <c r="A1500" s="1">
        <v>46021</v>
      </c>
      <c r="B1500">
        <v>1.9</v>
      </c>
    </row>
    <row r="1501" spans="1:2" x14ac:dyDescent="0.25">
      <c r="A1501" s="1">
        <v>46022</v>
      </c>
      <c r="B1501">
        <v>1.93</v>
      </c>
    </row>
    <row r="1502" spans="1:2" x14ac:dyDescent="0.25">
      <c r="A1502" s="1">
        <v>46024</v>
      </c>
      <c r="B1502">
        <v>1.94</v>
      </c>
    </row>
    <row r="1503" spans="1:2" x14ac:dyDescent="0.25">
      <c r="A1503" s="1">
        <v>46027</v>
      </c>
      <c r="B1503">
        <v>1.91</v>
      </c>
    </row>
    <row r="1504" spans="1:2" x14ac:dyDescent="0.25">
      <c r="A1504" s="1">
        <v>46028</v>
      </c>
      <c r="B1504">
        <v>1.91</v>
      </c>
    </row>
    <row r="1505" spans="1:2" x14ac:dyDescent="0.25">
      <c r="A1505" s="1">
        <v>46029</v>
      </c>
      <c r="B1505">
        <v>1.88</v>
      </c>
    </row>
    <row r="1506" spans="1:2" x14ac:dyDescent="0.25">
      <c r="A1506" s="1">
        <v>46030</v>
      </c>
      <c r="B1506">
        <v>1.92</v>
      </c>
    </row>
    <row r="1507" spans="1:2" x14ac:dyDescent="0.25">
      <c r="A1507" s="1">
        <v>46031</v>
      </c>
      <c r="B1507">
        <v>1.9</v>
      </c>
    </row>
    <row r="1508" spans="1:2" x14ac:dyDescent="0.25">
      <c r="A1508" s="1">
        <v>46034</v>
      </c>
      <c r="B1508">
        <v>1.9</v>
      </c>
    </row>
    <row r="1509" spans="1:2" x14ac:dyDescent="0.25">
      <c r="A1509" s="1">
        <v>46035</v>
      </c>
      <c r="B1509">
        <v>1.88</v>
      </c>
    </row>
    <row r="1510" spans="1:2" x14ac:dyDescent="0.25">
      <c r="A1510" s="1">
        <v>46036</v>
      </c>
      <c r="B1510">
        <v>1.86</v>
      </c>
    </row>
    <row r="1511" spans="1:2" x14ac:dyDescent="0.25">
      <c r="A1511" s="1">
        <v>46037</v>
      </c>
      <c r="B1511">
        <v>1.88</v>
      </c>
    </row>
    <row r="1512" spans="1:2" x14ac:dyDescent="0.25">
      <c r="A1512" s="1">
        <v>46038</v>
      </c>
      <c r="B1512">
        <v>1.91</v>
      </c>
    </row>
    <row r="1513" spans="1:2" x14ac:dyDescent="0.25">
      <c r="A1513" s="1">
        <v>46042</v>
      </c>
      <c r="B1513">
        <v>1.97</v>
      </c>
    </row>
    <row r="1514" spans="1:2" x14ac:dyDescent="0.25">
      <c r="A1514" s="1">
        <v>46043</v>
      </c>
      <c r="B1514">
        <v>1.92</v>
      </c>
    </row>
    <row r="1515" spans="1:2" x14ac:dyDescent="0.25">
      <c r="A1515" s="1">
        <v>46044</v>
      </c>
      <c r="B1515">
        <v>1.95</v>
      </c>
    </row>
    <row r="1516" spans="1:2" x14ac:dyDescent="0.25">
      <c r="A1516" s="1">
        <v>46045</v>
      </c>
      <c r="B1516">
        <v>1.92</v>
      </c>
    </row>
    <row r="1517" spans="1:2" x14ac:dyDescent="0.25">
      <c r="A1517" s="1">
        <v>46048</v>
      </c>
      <c r="B1517">
        <v>1.9</v>
      </c>
    </row>
    <row r="1518" spans="1:2" x14ac:dyDescent="0.25">
      <c r="A1518" s="1">
        <v>46049</v>
      </c>
      <c r="B1518">
        <v>1.9</v>
      </c>
    </row>
    <row r="1519" spans="1:2" x14ac:dyDescent="0.25">
      <c r="A1519" s="1">
        <v>46050</v>
      </c>
      <c r="B1519">
        <v>1.9</v>
      </c>
    </row>
    <row r="1520" spans="1:2" x14ac:dyDescent="0.25">
      <c r="A1520" s="1">
        <v>46051</v>
      </c>
      <c r="B1520">
        <v>1.89</v>
      </c>
    </row>
    <row r="1521" spans="1:2" x14ac:dyDescent="0.25">
      <c r="A1521" s="1">
        <v>46052</v>
      </c>
      <c r="B1521">
        <v>1.9</v>
      </c>
    </row>
    <row r="1522" spans="1:2" x14ac:dyDescent="0.25">
      <c r="A1522" s="1">
        <v>46055</v>
      </c>
      <c r="B1522">
        <v>1.94</v>
      </c>
    </row>
    <row r="1523" spans="1:2" x14ac:dyDescent="0.25">
      <c r="A1523" s="1">
        <v>46056</v>
      </c>
      <c r="B1523">
        <v>1.92</v>
      </c>
    </row>
    <row r="1524" spans="1:2" x14ac:dyDescent="0.25">
      <c r="A1524" s="1">
        <v>46057</v>
      </c>
      <c r="B1524">
        <v>1.94</v>
      </c>
    </row>
    <row r="1525" spans="1:2" x14ac:dyDescent="0.25">
      <c r="A1525" s="1">
        <v>46058</v>
      </c>
      <c r="B1525">
        <v>1.89</v>
      </c>
    </row>
    <row r="1526" spans="1:2" x14ac:dyDescent="0.25">
      <c r="A1526" s="1">
        <v>46059</v>
      </c>
      <c r="B1526">
        <v>1.88</v>
      </c>
    </row>
    <row r="1527" spans="1:2" x14ac:dyDescent="0.25">
      <c r="A1527" s="1">
        <v>46062</v>
      </c>
      <c r="B1527">
        <v>1.87</v>
      </c>
    </row>
    <row r="1528" spans="1:2" x14ac:dyDescent="0.25">
      <c r="A1528" s="1">
        <v>46063</v>
      </c>
      <c r="B1528">
        <v>1.84</v>
      </c>
    </row>
    <row r="1529" spans="1:2" x14ac:dyDescent="0.25">
      <c r="A1529" s="1">
        <v>46064</v>
      </c>
      <c r="B1529">
        <v>1.86</v>
      </c>
    </row>
    <row r="1530" spans="1:2" x14ac:dyDescent="0.25">
      <c r="A1530" s="1">
        <v>46065</v>
      </c>
      <c r="B1530">
        <v>1.8</v>
      </c>
    </row>
    <row r="1531" spans="1:2" x14ac:dyDescent="0.25">
      <c r="A1531" s="1">
        <v>46066</v>
      </c>
      <c r="B1531">
        <v>1.77</v>
      </c>
    </row>
    <row r="1532" spans="1:2" x14ac:dyDescent="0.25">
      <c r="A1532" s="1">
        <v>46070</v>
      </c>
      <c r="B1532">
        <v>1.79</v>
      </c>
    </row>
    <row r="1533" spans="1:2" x14ac:dyDescent="0.25">
      <c r="A1533" s="1">
        <v>46071</v>
      </c>
      <c r="B1533">
        <v>1.8</v>
      </c>
    </row>
    <row r="1534" spans="1:2" x14ac:dyDescent="0.25">
      <c r="A1534" s="1">
        <v>46072</v>
      </c>
      <c r="B1534">
        <v>1.79</v>
      </c>
    </row>
    <row r="1535" spans="1:2" x14ac:dyDescent="0.25">
      <c r="A1535" s="1">
        <v>46073</v>
      </c>
      <c r="B1535">
        <v>1.8</v>
      </c>
    </row>
    <row r="1536" spans="1:2" x14ac:dyDescent="0.25">
      <c r="A1536" s="1">
        <v>46076</v>
      </c>
      <c r="B1536">
        <v>1.77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322"/>
  <sheetViews>
    <sheetView topLeftCell="A266" workbookViewId="0">
      <selection activeCell="A290" sqref="A290:A320"/>
    </sheetView>
  </sheetViews>
  <sheetFormatPr defaultColWidth="9" defaultRowHeight="14.4" x14ac:dyDescent="0.25"/>
  <cols>
    <col min="1" max="1" width="11.6640625" bestFit="1" customWidth="1"/>
    <col min="2" max="2" width="9.5546875" bestFit="1" customWidth="1"/>
  </cols>
  <sheetData>
    <row r="1" spans="1:2" x14ac:dyDescent="0.25">
      <c r="A1" t="s">
        <v>145</v>
      </c>
      <c r="B1" t="s">
        <v>146</v>
      </c>
    </row>
    <row r="2" spans="1:2" x14ac:dyDescent="0.25">
      <c r="A2" s="1">
        <v>43831</v>
      </c>
      <c r="B2">
        <v>3825.53</v>
      </c>
    </row>
    <row r="3" spans="1:2" x14ac:dyDescent="0.25">
      <c r="A3" s="1">
        <v>43838</v>
      </c>
      <c r="B3">
        <v>3670.02</v>
      </c>
    </row>
    <row r="4" spans="1:2" x14ac:dyDescent="0.25">
      <c r="A4" s="1">
        <v>43845</v>
      </c>
      <c r="B4">
        <v>3509.87</v>
      </c>
    </row>
    <row r="5" spans="1:2" x14ac:dyDescent="0.25">
      <c r="A5" s="1">
        <v>43852</v>
      </c>
      <c r="B5">
        <v>4039.41</v>
      </c>
    </row>
    <row r="6" spans="1:2" x14ac:dyDescent="0.25">
      <c r="A6" s="1">
        <v>43859</v>
      </c>
      <c r="B6">
        <v>4320.6099999999997</v>
      </c>
    </row>
    <row r="7" spans="1:2" x14ac:dyDescent="0.25">
      <c r="A7" s="1">
        <v>43866</v>
      </c>
      <c r="B7">
        <v>4133.22</v>
      </c>
    </row>
    <row r="8" spans="1:2" x14ac:dyDescent="0.25">
      <c r="A8" s="1">
        <v>43873</v>
      </c>
      <c r="B8">
        <v>4112.37</v>
      </c>
    </row>
    <row r="9" spans="1:2" x14ac:dyDescent="0.25">
      <c r="A9" s="1">
        <v>43880</v>
      </c>
      <c r="B9">
        <v>4288.05</v>
      </c>
    </row>
    <row r="10" spans="1:2" x14ac:dyDescent="0.25">
      <c r="A10" s="1">
        <v>43887</v>
      </c>
      <c r="B10">
        <v>4393.6499999999996</v>
      </c>
    </row>
    <row r="11" spans="1:2" x14ac:dyDescent="0.25">
      <c r="A11" s="1">
        <v>43894</v>
      </c>
      <c r="B11">
        <v>3745.15</v>
      </c>
    </row>
    <row r="12" spans="1:2" x14ac:dyDescent="0.25">
      <c r="A12" s="1">
        <v>43901</v>
      </c>
      <c r="B12">
        <v>3805.56</v>
      </c>
    </row>
    <row r="13" spans="1:2" x14ac:dyDescent="0.25">
      <c r="A13" s="1">
        <v>43908</v>
      </c>
      <c r="B13">
        <v>3625.76</v>
      </c>
    </row>
    <row r="14" spans="1:2" x14ac:dyDescent="0.25">
      <c r="A14" s="1">
        <v>43915</v>
      </c>
      <c r="B14">
        <v>3902.52</v>
      </c>
    </row>
    <row r="15" spans="1:2" x14ac:dyDescent="0.25">
      <c r="A15" s="1">
        <v>43922</v>
      </c>
      <c r="B15">
        <v>4292.67</v>
      </c>
    </row>
    <row r="16" spans="1:2" x14ac:dyDescent="0.25">
      <c r="A16" s="1">
        <v>43929</v>
      </c>
      <c r="B16">
        <v>6985.78</v>
      </c>
    </row>
    <row r="17" spans="1:2" x14ac:dyDescent="0.25">
      <c r="A17" s="1">
        <v>43936</v>
      </c>
      <c r="B17">
        <v>8898.15</v>
      </c>
    </row>
    <row r="18" spans="1:2" x14ac:dyDescent="0.25">
      <c r="A18" s="1">
        <v>43943</v>
      </c>
      <c r="B18">
        <v>9013.31</v>
      </c>
    </row>
    <row r="19" spans="1:2" x14ac:dyDescent="0.25">
      <c r="A19" s="1">
        <v>43950</v>
      </c>
      <c r="B19">
        <v>9975.07</v>
      </c>
    </row>
    <row r="20" spans="1:2" x14ac:dyDescent="0.25">
      <c r="A20" s="1">
        <v>43957</v>
      </c>
      <c r="B20">
        <v>11274.9</v>
      </c>
    </row>
    <row r="21" spans="1:2" x14ac:dyDescent="0.25">
      <c r="A21" s="1">
        <v>43964</v>
      </c>
      <c r="B21">
        <v>11774.94</v>
      </c>
    </row>
    <row r="22" spans="1:2" x14ac:dyDescent="0.25">
      <c r="A22" s="1">
        <v>43971</v>
      </c>
      <c r="B22">
        <v>11944.1</v>
      </c>
    </row>
    <row r="23" spans="1:2" x14ac:dyDescent="0.25">
      <c r="A23" s="1">
        <v>43978</v>
      </c>
      <c r="B23">
        <v>13104.91</v>
      </c>
    </row>
    <row r="24" spans="1:2" x14ac:dyDescent="0.25">
      <c r="A24" s="1">
        <v>43985</v>
      </c>
      <c r="B24">
        <v>14348.23</v>
      </c>
    </row>
    <row r="25" spans="1:2" x14ac:dyDescent="0.25">
      <c r="A25" s="1">
        <v>43992</v>
      </c>
      <c r="B25">
        <v>15065.58</v>
      </c>
    </row>
    <row r="26" spans="1:2" x14ac:dyDescent="0.25">
      <c r="A26" s="1">
        <v>43999</v>
      </c>
      <c r="B26">
        <v>15608.5</v>
      </c>
    </row>
    <row r="27" spans="1:2" x14ac:dyDescent="0.25">
      <c r="A27" s="1">
        <v>44006</v>
      </c>
      <c r="B27">
        <v>16239.42</v>
      </c>
    </row>
    <row r="28" spans="1:2" x14ac:dyDescent="0.25">
      <c r="A28" s="1">
        <v>44013</v>
      </c>
      <c r="B28">
        <v>16576.2</v>
      </c>
    </row>
    <row r="29" spans="1:2" x14ac:dyDescent="0.25">
      <c r="A29" s="1">
        <v>44020</v>
      </c>
      <c r="B29">
        <v>16530.98</v>
      </c>
    </row>
    <row r="30" spans="1:2" x14ac:dyDescent="0.25">
      <c r="A30" s="1">
        <v>44027</v>
      </c>
      <c r="B30">
        <v>16553.2</v>
      </c>
    </row>
    <row r="31" spans="1:2" x14ac:dyDescent="0.25">
      <c r="A31" s="1">
        <v>44034</v>
      </c>
      <c r="B31">
        <v>18049.439999999999</v>
      </c>
    </row>
    <row r="32" spans="1:2" x14ac:dyDescent="0.25">
      <c r="A32" s="1">
        <v>44041</v>
      </c>
      <c r="B32">
        <v>18166.87</v>
      </c>
    </row>
    <row r="33" spans="1:2" x14ac:dyDescent="0.25">
      <c r="A33" s="1">
        <v>44048</v>
      </c>
      <c r="B33">
        <v>17452.28</v>
      </c>
    </row>
    <row r="34" spans="1:2" x14ac:dyDescent="0.25">
      <c r="A34" s="1">
        <v>44055</v>
      </c>
      <c r="B34">
        <v>16697.330000000002</v>
      </c>
    </row>
    <row r="35" spans="1:2" x14ac:dyDescent="0.25">
      <c r="A35" s="1">
        <v>44062</v>
      </c>
      <c r="B35">
        <v>16435.05</v>
      </c>
    </row>
    <row r="36" spans="1:2" x14ac:dyDescent="0.25">
      <c r="A36" s="1">
        <v>44069</v>
      </c>
      <c r="B36">
        <v>16226.9</v>
      </c>
    </row>
    <row r="37" spans="1:2" x14ac:dyDescent="0.25">
      <c r="A37" s="1">
        <v>44076</v>
      </c>
      <c r="B37">
        <v>16391.59</v>
      </c>
    </row>
    <row r="38" spans="1:2" x14ac:dyDescent="0.25">
      <c r="A38" s="1">
        <v>44083</v>
      </c>
      <c r="B38">
        <v>16110.83</v>
      </c>
    </row>
    <row r="39" spans="1:2" x14ac:dyDescent="0.25">
      <c r="A39" s="1">
        <v>44090</v>
      </c>
      <c r="B39">
        <v>16148.55</v>
      </c>
    </row>
    <row r="40" spans="1:2" x14ac:dyDescent="0.25">
      <c r="A40" s="1">
        <v>44097</v>
      </c>
      <c r="B40">
        <v>16806.88</v>
      </c>
    </row>
    <row r="41" spans="1:2" x14ac:dyDescent="0.25">
      <c r="A41" s="1">
        <v>44104</v>
      </c>
      <c r="B41">
        <v>16791.52</v>
      </c>
    </row>
    <row r="42" spans="1:2" x14ac:dyDescent="0.25">
      <c r="A42" s="1">
        <v>44111</v>
      </c>
      <c r="B42">
        <v>16970.740000000002</v>
      </c>
    </row>
    <row r="43" spans="1:2" x14ac:dyDescent="0.25">
      <c r="A43" s="1">
        <v>44118</v>
      </c>
      <c r="B43">
        <v>16809.98</v>
      </c>
    </row>
    <row r="44" spans="1:2" x14ac:dyDescent="0.25">
      <c r="A44" s="1">
        <v>44125</v>
      </c>
      <c r="B44">
        <v>17247.919999999998</v>
      </c>
    </row>
    <row r="45" spans="1:2" x14ac:dyDescent="0.25">
      <c r="A45" s="1">
        <v>44132</v>
      </c>
      <c r="B45">
        <v>16809.330000000002</v>
      </c>
    </row>
    <row r="46" spans="1:2" x14ac:dyDescent="0.25">
      <c r="A46" s="1">
        <v>44139</v>
      </c>
      <c r="B46">
        <v>16213.46</v>
      </c>
    </row>
    <row r="47" spans="1:2" x14ac:dyDescent="0.25">
      <c r="A47" s="1">
        <v>44146</v>
      </c>
      <c r="B47">
        <v>16008.37</v>
      </c>
    </row>
    <row r="48" spans="1:2" x14ac:dyDescent="0.25">
      <c r="A48" s="1">
        <v>44153</v>
      </c>
      <c r="B48">
        <v>15568.92</v>
      </c>
    </row>
    <row r="49" spans="1:2" x14ac:dyDescent="0.25">
      <c r="A49" s="1">
        <v>44160</v>
      </c>
      <c r="B49">
        <v>15172.15</v>
      </c>
    </row>
    <row r="50" spans="1:2" x14ac:dyDescent="0.25">
      <c r="A50" s="1">
        <v>44167</v>
      </c>
      <c r="B50">
        <v>15310.53</v>
      </c>
    </row>
    <row r="51" spans="1:2" x14ac:dyDescent="0.25">
      <c r="A51" s="1">
        <v>44174</v>
      </c>
      <c r="B51">
        <v>15342.43</v>
      </c>
    </row>
    <row r="52" spans="1:2" x14ac:dyDescent="0.25">
      <c r="A52" s="1">
        <v>44181</v>
      </c>
      <c r="B52">
        <v>15296.98</v>
      </c>
    </row>
    <row r="53" spans="1:2" x14ac:dyDescent="0.25">
      <c r="A53" s="1">
        <v>44188</v>
      </c>
      <c r="B53">
        <v>16024.07</v>
      </c>
    </row>
    <row r="54" spans="1:2" x14ac:dyDescent="0.25">
      <c r="A54" s="1">
        <v>44195</v>
      </c>
      <c r="B54">
        <v>15910.55</v>
      </c>
    </row>
    <row r="55" spans="1:2" x14ac:dyDescent="0.25">
      <c r="A55" s="1">
        <v>44202</v>
      </c>
      <c r="B55">
        <v>16693.27</v>
      </c>
    </row>
    <row r="56" spans="1:2" x14ac:dyDescent="0.25">
      <c r="A56" s="1">
        <v>44209</v>
      </c>
      <c r="B56">
        <v>15894.21</v>
      </c>
    </row>
    <row r="57" spans="1:2" x14ac:dyDescent="0.25">
      <c r="A57" s="1">
        <v>44216</v>
      </c>
      <c r="B57">
        <v>16269.06</v>
      </c>
    </row>
    <row r="58" spans="1:2" x14ac:dyDescent="0.25">
      <c r="A58" s="1">
        <v>44223</v>
      </c>
      <c r="B58">
        <v>16335.4</v>
      </c>
    </row>
    <row r="59" spans="1:2" x14ac:dyDescent="0.25">
      <c r="A59" s="1">
        <v>44230</v>
      </c>
      <c r="B59">
        <v>16253.25</v>
      </c>
    </row>
    <row r="60" spans="1:2" x14ac:dyDescent="0.25">
      <c r="A60" s="1">
        <v>44237</v>
      </c>
      <c r="B60">
        <v>16089.06</v>
      </c>
    </row>
    <row r="61" spans="1:2" x14ac:dyDescent="0.25">
      <c r="A61" s="1">
        <v>44244</v>
      </c>
      <c r="B61">
        <v>15670.41</v>
      </c>
    </row>
    <row r="62" spans="1:2" x14ac:dyDescent="0.25">
      <c r="A62" s="1">
        <v>44251</v>
      </c>
      <c r="B62">
        <v>15299.77</v>
      </c>
    </row>
    <row r="63" spans="1:2" x14ac:dyDescent="0.25">
      <c r="A63" s="1">
        <v>44258</v>
      </c>
      <c r="B63">
        <v>14295.49</v>
      </c>
    </row>
    <row r="64" spans="1:2" x14ac:dyDescent="0.25">
      <c r="A64" s="1">
        <v>44265</v>
      </c>
      <c r="B64">
        <v>13600.64</v>
      </c>
    </row>
    <row r="65" spans="1:2" x14ac:dyDescent="0.25">
      <c r="A65" s="1">
        <v>44272</v>
      </c>
      <c r="B65">
        <v>12725.83</v>
      </c>
    </row>
    <row r="66" spans="1:2" x14ac:dyDescent="0.25">
      <c r="A66" s="1">
        <v>44279</v>
      </c>
      <c r="B66">
        <v>10611.38</v>
      </c>
    </row>
    <row r="67" spans="1:2" x14ac:dyDescent="0.25">
      <c r="A67" s="1">
        <v>44286</v>
      </c>
      <c r="B67">
        <v>10257.27</v>
      </c>
    </row>
    <row r="68" spans="1:2" x14ac:dyDescent="0.25">
      <c r="A68" s="1">
        <v>44293</v>
      </c>
      <c r="B68">
        <v>10101.030000000001</v>
      </c>
    </row>
    <row r="69" spans="1:2" x14ac:dyDescent="0.25">
      <c r="A69" s="1">
        <v>44300</v>
      </c>
      <c r="B69">
        <v>9250.94</v>
      </c>
    </row>
    <row r="70" spans="1:2" x14ac:dyDescent="0.25">
      <c r="A70" s="1">
        <v>44307</v>
      </c>
      <c r="B70">
        <v>10159.02</v>
      </c>
    </row>
    <row r="71" spans="1:2" x14ac:dyDescent="0.25">
      <c r="A71" s="1">
        <v>44314</v>
      </c>
      <c r="B71">
        <v>9676.89</v>
      </c>
    </row>
    <row r="72" spans="1:2" x14ac:dyDescent="0.25">
      <c r="A72" s="1">
        <v>44321</v>
      </c>
      <c r="B72">
        <v>9536.89</v>
      </c>
    </row>
    <row r="73" spans="1:2" x14ac:dyDescent="0.25">
      <c r="A73" s="1">
        <v>44328</v>
      </c>
      <c r="B73">
        <v>8987.7900000000009</v>
      </c>
    </row>
    <row r="74" spans="1:2" x14ac:dyDescent="0.25">
      <c r="A74" s="1">
        <v>44335</v>
      </c>
      <c r="B74">
        <v>8661.19</v>
      </c>
    </row>
    <row r="75" spans="1:2" x14ac:dyDescent="0.25">
      <c r="A75" s="1">
        <v>44342</v>
      </c>
      <c r="B75">
        <v>8124.73</v>
      </c>
    </row>
    <row r="76" spans="1:2" x14ac:dyDescent="0.25">
      <c r="A76" s="1">
        <v>44349</v>
      </c>
      <c r="B76">
        <v>7832.35</v>
      </c>
    </row>
    <row r="77" spans="1:2" x14ac:dyDescent="0.25">
      <c r="A77" s="1">
        <v>44356</v>
      </c>
      <c r="B77">
        <v>7302.35</v>
      </c>
    </row>
    <row r="78" spans="1:2" x14ac:dyDescent="0.25">
      <c r="A78" s="1">
        <v>44363</v>
      </c>
      <c r="B78">
        <v>6538.89</v>
      </c>
    </row>
    <row r="79" spans="1:2" x14ac:dyDescent="0.25">
      <c r="A79" s="1">
        <v>44370</v>
      </c>
      <c r="B79">
        <v>7346.89</v>
      </c>
    </row>
    <row r="80" spans="1:2" x14ac:dyDescent="0.25">
      <c r="A80" s="1">
        <v>44377</v>
      </c>
      <c r="B80">
        <v>7459.62</v>
      </c>
    </row>
    <row r="81" spans="1:2" x14ac:dyDescent="0.25">
      <c r="A81" s="1">
        <v>44384</v>
      </c>
      <c r="B81">
        <v>7533.64</v>
      </c>
    </row>
    <row r="82" spans="1:2" x14ac:dyDescent="0.25">
      <c r="A82" s="1">
        <v>44391</v>
      </c>
      <c r="B82">
        <v>7049.18</v>
      </c>
    </row>
    <row r="83" spans="1:2" x14ac:dyDescent="0.25">
      <c r="A83" s="1">
        <v>44398</v>
      </c>
      <c r="B83">
        <v>6781.03</v>
      </c>
    </row>
    <row r="84" spans="1:2" x14ac:dyDescent="0.25">
      <c r="A84" s="1">
        <v>44405</v>
      </c>
      <c r="B84">
        <v>5782.04</v>
      </c>
    </row>
    <row r="85" spans="1:2" x14ac:dyDescent="0.25">
      <c r="A85" s="1">
        <v>44412</v>
      </c>
      <c r="B85">
        <v>4926.68</v>
      </c>
    </row>
    <row r="86" spans="1:2" x14ac:dyDescent="0.25">
      <c r="A86" s="1">
        <v>44419</v>
      </c>
      <c r="B86">
        <v>4349.1899999999996</v>
      </c>
    </row>
    <row r="87" spans="1:2" x14ac:dyDescent="0.25">
      <c r="A87" s="1">
        <v>44426</v>
      </c>
      <c r="B87">
        <v>3388.08</v>
      </c>
    </row>
    <row r="88" spans="1:2" x14ac:dyDescent="0.25">
      <c r="A88" s="1">
        <v>44433</v>
      </c>
      <c r="B88">
        <v>3014.3</v>
      </c>
    </row>
    <row r="89" spans="1:2" x14ac:dyDescent="0.25">
      <c r="A89" s="1">
        <v>44440</v>
      </c>
      <c r="B89">
        <v>2776.5</v>
      </c>
    </row>
    <row r="90" spans="1:2" x14ac:dyDescent="0.25">
      <c r="A90" s="1">
        <v>44447</v>
      </c>
      <c r="B90">
        <v>2534.96</v>
      </c>
    </row>
    <row r="91" spans="1:2" x14ac:dyDescent="0.25">
      <c r="A91" s="1">
        <v>44454</v>
      </c>
      <c r="B91">
        <v>2303.2800000000002</v>
      </c>
    </row>
    <row r="92" spans="1:2" x14ac:dyDescent="0.25">
      <c r="A92" s="1">
        <v>44461</v>
      </c>
      <c r="B92">
        <v>3080.22</v>
      </c>
    </row>
    <row r="93" spans="1:2" x14ac:dyDescent="0.25">
      <c r="A93" s="1">
        <v>44468</v>
      </c>
      <c r="B93">
        <v>1977.44</v>
      </c>
    </row>
    <row r="94" spans="1:2" x14ac:dyDescent="0.25">
      <c r="A94" s="1">
        <v>44475</v>
      </c>
      <c r="B94">
        <v>1355.82</v>
      </c>
    </row>
    <row r="95" spans="1:2" x14ac:dyDescent="0.25">
      <c r="A95" s="1">
        <v>44482</v>
      </c>
      <c r="B95">
        <v>778.58</v>
      </c>
    </row>
    <row r="96" spans="1:2" x14ac:dyDescent="0.25">
      <c r="A96" s="1">
        <v>44489</v>
      </c>
      <c r="B96">
        <v>833.86</v>
      </c>
    </row>
    <row r="97" spans="1:2" x14ac:dyDescent="0.25">
      <c r="A97" s="1">
        <v>44496</v>
      </c>
      <c r="B97">
        <v>2132.91</v>
      </c>
    </row>
    <row r="98" spans="1:2" x14ac:dyDescent="0.25">
      <c r="A98" s="1">
        <v>44503</v>
      </c>
      <c r="B98">
        <v>2802.05</v>
      </c>
    </row>
    <row r="99" spans="1:2" x14ac:dyDescent="0.25">
      <c r="A99" s="1">
        <v>44510</v>
      </c>
      <c r="B99">
        <v>2592.9299999999998</v>
      </c>
    </row>
    <row r="100" spans="1:2" x14ac:dyDescent="0.25">
      <c r="A100" s="1">
        <v>44517</v>
      </c>
      <c r="B100">
        <v>2114.5300000000002</v>
      </c>
    </row>
    <row r="101" spans="1:2" x14ac:dyDescent="0.25">
      <c r="A101" s="1">
        <v>44524</v>
      </c>
      <c r="B101">
        <v>1640.87</v>
      </c>
    </row>
    <row r="102" spans="1:2" x14ac:dyDescent="0.25">
      <c r="A102" s="1">
        <v>44531</v>
      </c>
      <c r="B102">
        <v>1526.51</v>
      </c>
    </row>
    <row r="103" spans="1:2" x14ac:dyDescent="0.25">
      <c r="A103" s="1">
        <v>44538</v>
      </c>
      <c r="B103">
        <v>1151.17</v>
      </c>
    </row>
    <row r="104" spans="1:2" x14ac:dyDescent="0.25">
      <c r="A104" s="1">
        <v>44545</v>
      </c>
      <c r="B104">
        <v>1047.98</v>
      </c>
    </row>
    <row r="105" spans="1:2" x14ac:dyDescent="0.25">
      <c r="A105" s="1">
        <v>44552</v>
      </c>
      <c r="B105">
        <v>849.54</v>
      </c>
    </row>
    <row r="106" spans="1:2" x14ac:dyDescent="0.25">
      <c r="A106" s="1">
        <v>44559</v>
      </c>
      <c r="B106">
        <v>2118.4899999999998</v>
      </c>
    </row>
    <row r="107" spans="1:2" x14ac:dyDescent="0.25">
      <c r="A107" s="1">
        <v>44566</v>
      </c>
      <c r="B107">
        <v>3897.51</v>
      </c>
    </row>
    <row r="108" spans="1:2" x14ac:dyDescent="0.25">
      <c r="A108" s="1">
        <v>44573</v>
      </c>
      <c r="B108">
        <v>4564.01</v>
      </c>
    </row>
    <row r="109" spans="1:2" x14ac:dyDescent="0.25">
      <c r="A109" s="1">
        <v>44580</v>
      </c>
      <c r="B109">
        <v>4886.97</v>
      </c>
    </row>
    <row r="110" spans="1:2" x14ac:dyDescent="0.25">
      <c r="A110" s="1">
        <v>44587</v>
      </c>
      <c r="B110">
        <v>6148.77</v>
      </c>
    </row>
    <row r="111" spans="1:2" x14ac:dyDescent="0.25">
      <c r="A111" s="1">
        <v>44594</v>
      </c>
      <c r="B111">
        <v>6757.73</v>
      </c>
    </row>
    <row r="112" spans="1:2" x14ac:dyDescent="0.25">
      <c r="A112" s="1">
        <v>44601</v>
      </c>
      <c r="B112">
        <v>6863.84</v>
      </c>
    </row>
    <row r="113" spans="1:2" x14ac:dyDescent="0.25">
      <c r="A113" s="1">
        <v>44608</v>
      </c>
      <c r="B113">
        <v>6925.41</v>
      </c>
    </row>
    <row r="114" spans="1:2" x14ac:dyDescent="0.25">
      <c r="A114" s="1">
        <v>44615</v>
      </c>
      <c r="B114">
        <v>6978.38</v>
      </c>
    </row>
    <row r="115" spans="1:2" x14ac:dyDescent="0.25">
      <c r="A115" s="1">
        <v>44622</v>
      </c>
      <c r="B115">
        <v>6829.03</v>
      </c>
    </row>
    <row r="116" spans="1:2" x14ac:dyDescent="0.25">
      <c r="A116" s="1">
        <v>44629</v>
      </c>
      <c r="B116">
        <v>6520.39</v>
      </c>
    </row>
    <row r="117" spans="1:2" x14ac:dyDescent="0.25">
      <c r="A117" s="1">
        <v>44636</v>
      </c>
      <c r="B117">
        <v>5706.06</v>
      </c>
    </row>
    <row r="118" spans="1:2" x14ac:dyDescent="0.25">
      <c r="A118" s="1">
        <v>44643</v>
      </c>
      <c r="B118">
        <v>6146.16</v>
      </c>
    </row>
    <row r="119" spans="1:2" x14ac:dyDescent="0.25">
      <c r="A119" s="1">
        <v>44650</v>
      </c>
      <c r="B119">
        <v>5750.65</v>
      </c>
    </row>
    <row r="120" spans="1:2" x14ac:dyDescent="0.25">
      <c r="A120" s="1">
        <v>44657</v>
      </c>
      <c r="B120">
        <v>5744.51</v>
      </c>
    </row>
    <row r="121" spans="1:2" x14ac:dyDescent="0.25">
      <c r="A121" s="1">
        <v>44664</v>
      </c>
      <c r="B121">
        <v>5473.08</v>
      </c>
    </row>
    <row r="122" spans="1:2" x14ac:dyDescent="0.25">
      <c r="A122" s="1">
        <v>44671</v>
      </c>
      <c r="B122">
        <v>7114.06</v>
      </c>
    </row>
    <row r="123" spans="1:2" x14ac:dyDescent="0.25">
      <c r="A123" s="1">
        <v>44678</v>
      </c>
      <c r="B123">
        <v>9443.2800000000007</v>
      </c>
    </row>
    <row r="124" spans="1:2" x14ac:dyDescent="0.25">
      <c r="A124" s="1">
        <v>44685</v>
      </c>
      <c r="B124">
        <v>9454.7800000000007</v>
      </c>
    </row>
    <row r="125" spans="1:2" x14ac:dyDescent="0.25">
      <c r="A125" s="1">
        <v>44692</v>
      </c>
      <c r="B125">
        <v>9456.58</v>
      </c>
    </row>
    <row r="126" spans="1:2" x14ac:dyDescent="0.25">
      <c r="A126" s="1">
        <v>44699</v>
      </c>
      <c r="B126">
        <v>8869.64</v>
      </c>
    </row>
    <row r="127" spans="1:2" x14ac:dyDescent="0.25">
      <c r="A127" s="1">
        <v>44706</v>
      </c>
      <c r="B127">
        <v>8215.35</v>
      </c>
    </row>
    <row r="128" spans="1:2" x14ac:dyDescent="0.25">
      <c r="A128" s="1">
        <v>44713</v>
      </c>
      <c r="B128">
        <v>7895.32</v>
      </c>
    </row>
    <row r="129" spans="1:2" x14ac:dyDescent="0.25">
      <c r="A129" s="1">
        <v>44720</v>
      </c>
      <c r="B129">
        <v>7233.84</v>
      </c>
    </row>
    <row r="130" spans="1:2" x14ac:dyDescent="0.25">
      <c r="A130" s="1">
        <v>44727</v>
      </c>
      <c r="B130">
        <v>6568.7</v>
      </c>
    </row>
    <row r="131" spans="1:2" x14ac:dyDescent="0.25">
      <c r="A131" s="1">
        <v>44734</v>
      </c>
      <c r="B131">
        <v>7582.83</v>
      </c>
    </row>
    <row r="132" spans="1:2" x14ac:dyDescent="0.25">
      <c r="A132" s="1">
        <v>44741</v>
      </c>
      <c r="B132">
        <v>7566.27</v>
      </c>
    </row>
    <row r="133" spans="1:2" x14ac:dyDescent="0.25">
      <c r="A133" s="1">
        <v>44748</v>
      </c>
      <c r="B133">
        <v>7004.57</v>
      </c>
    </row>
    <row r="134" spans="1:2" x14ac:dyDescent="0.25">
      <c r="A134" s="1">
        <v>44755</v>
      </c>
      <c r="B134">
        <v>6525.72</v>
      </c>
    </row>
    <row r="135" spans="1:2" x14ac:dyDescent="0.25">
      <c r="A135" s="1">
        <v>44762</v>
      </c>
      <c r="B135">
        <v>6138.78</v>
      </c>
    </row>
    <row r="136" spans="1:2" x14ac:dyDescent="0.25">
      <c r="A136" s="1">
        <v>44769</v>
      </c>
      <c r="B136">
        <v>6029.45</v>
      </c>
    </row>
    <row r="137" spans="1:2" x14ac:dyDescent="0.25">
      <c r="A137" s="1">
        <v>44776</v>
      </c>
      <c r="B137">
        <v>5941.15</v>
      </c>
    </row>
    <row r="138" spans="1:2" x14ac:dyDescent="0.25">
      <c r="A138" s="1">
        <v>44783</v>
      </c>
      <c r="B138">
        <v>5572.65</v>
      </c>
    </row>
    <row r="139" spans="1:2" x14ac:dyDescent="0.25">
      <c r="A139" s="1">
        <v>44790</v>
      </c>
      <c r="B139">
        <v>5453.21</v>
      </c>
    </row>
    <row r="140" spans="1:2" x14ac:dyDescent="0.25">
      <c r="A140" s="1">
        <v>44797</v>
      </c>
      <c r="B140">
        <v>5352.67</v>
      </c>
    </row>
    <row r="141" spans="1:2" x14ac:dyDescent="0.25">
      <c r="A141" s="1">
        <v>44804</v>
      </c>
      <c r="B141">
        <v>6125.36</v>
      </c>
    </row>
    <row r="142" spans="1:2" x14ac:dyDescent="0.25">
      <c r="A142" s="1">
        <v>44811</v>
      </c>
      <c r="B142">
        <v>5812.95</v>
      </c>
    </row>
    <row r="143" spans="1:2" x14ac:dyDescent="0.25">
      <c r="A143" s="1">
        <v>44818</v>
      </c>
      <c r="B143">
        <v>5938.08</v>
      </c>
    </row>
    <row r="144" spans="1:2" x14ac:dyDescent="0.25">
      <c r="A144" s="1">
        <v>44825</v>
      </c>
      <c r="B144">
        <v>6924.96</v>
      </c>
    </row>
    <row r="145" spans="1:2" x14ac:dyDescent="0.25">
      <c r="A145" s="1">
        <v>44832</v>
      </c>
      <c r="B145">
        <v>6895.69</v>
      </c>
    </row>
    <row r="146" spans="1:2" x14ac:dyDescent="0.25">
      <c r="A146" s="1">
        <v>44839</v>
      </c>
      <c r="B146">
        <v>6339.39</v>
      </c>
    </row>
    <row r="147" spans="1:2" x14ac:dyDescent="0.25">
      <c r="A147" s="1">
        <v>44846</v>
      </c>
      <c r="B147">
        <v>6083.02</v>
      </c>
    </row>
    <row r="148" spans="1:2" x14ac:dyDescent="0.25">
      <c r="A148" s="1">
        <v>44853</v>
      </c>
      <c r="B148">
        <v>6071.99</v>
      </c>
    </row>
    <row r="149" spans="1:2" x14ac:dyDescent="0.25">
      <c r="A149" s="1">
        <v>44860</v>
      </c>
      <c r="B149">
        <v>6345.48</v>
      </c>
    </row>
    <row r="150" spans="1:2" x14ac:dyDescent="0.25">
      <c r="A150" s="1">
        <v>44867</v>
      </c>
      <c r="B150">
        <v>5985.44</v>
      </c>
    </row>
    <row r="151" spans="1:2" x14ac:dyDescent="0.25">
      <c r="A151" s="1">
        <v>44874</v>
      </c>
      <c r="B151">
        <v>5274.79</v>
      </c>
    </row>
    <row r="152" spans="1:2" x14ac:dyDescent="0.25">
      <c r="A152" s="1">
        <v>44881</v>
      </c>
      <c r="B152">
        <v>5029.82</v>
      </c>
    </row>
    <row r="153" spans="1:2" x14ac:dyDescent="0.25">
      <c r="A153" s="1">
        <v>44888</v>
      </c>
      <c r="B153">
        <v>4794.74</v>
      </c>
    </row>
    <row r="154" spans="1:2" x14ac:dyDescent="0.25">
      <c r="A154" s="1">
        <v>44895</v>
      </c>
      <c r="B154">
        <v>5114.74</v>
      </c>
    </row>
    <row r="155" spans="1:2" x14ac:dyDescent="0.25">
      <c r="A155" s="1">
        <v>44902</v>
      </c>
      <c r="B155">
        <v>4323.3500000000004</v>
      </c>
    </row>
    <row r="156" spans="1:2" x14ac:dyDescent="0.25">
      <c r="A156" s="1">
        <v>44909</v>
      </c>
      <c r="B156">
        <v>3555.17</v>
      </c>
    </row>
    <row r="157" spans="1:2" x14ac:dyDescent="0.25">
      <c r="A157" s="1">
        <v>44916</v>
      </c>
      <c r="B157">
        <v>4597.8</v>
      </c>
    </row>
    <row r="158" spans="1:2" x14ac:dyDescent="0.25">
      <c r="A158" s="1">
        <v>44923</v>
      </c>
      <c r="B158">
        <v>4279.26</v>
      </c>
    </row>
    <row r="159" spans="1:2" x14ac:dyDescent="0.25">
      <c r="A159" s="1">
        <v>44930</v>
      </c>
      <c r="B159">
        <v>4236.25</v>
      </c>
    </row>
    <row r="160" spans="1:2" x14ac:dyDescent="0.25">
      <c r="A160" s="1">
        <v>44937</v>
      </c>
      <c r="B160">
        <v>3723.4</v>
      </c>
    </row>
    <row r="161" spans="1:2" x14ac:dyDescent="0.25">
      <c r="A161" s="1">
        <v>44944</v>
      </c>
      <c r="B161">
        <v>3390.18</v>
      </c>
    </row>
    <row r="162" spans="1:2" x14ac:dyDescent="0.25">
      <c r="A162" s="1">
        <v>44951</v>
      </c>
      <c r="B162">
        <v>4918.4799999999996</v>
      </c>
    </row>
    <row r="163" spans="1:2" x14ac:dyDescent="0.25">
      <c r="A163" s="1">
        <v>44958</v>
      </c>
      <c r="B163">
        <v>5600.89</v>
      </c>
    </row>
    <row r="164" spans="1:2" x14ac:dyDescent="0.25">
      <c r="A164" s="1">
        <v>44965</v>
      </c>
      <c r="B164">
        <v>4932.7700000000004</v>
      </c>
    </row>
    <row r="165" spans="1:2" x14ac:dyDescent="0.25">
      <c r="A165" s="1">
        <v>44972</v>
      </c>
      <c r="B165">
        <v>4903.79</v>
      </c>
    </row>
    <row r="166" spans="1:2" x14ac:dyDescent="0.25">
      <c r="A166" s="1">
        <v>44979</v>
      </c>
      <c r="B166">
        <v>4773.33</v>
      </c>
    </row>
    <row r="167" spans="1:2" x14ac:dyDescent="0.25">
      <c r="A167" s="1">
        <v>44986</v>
      </c>
      <c r="B167">
        <v>3812.45</v>
      </c>
    </row>
    <row r="168" spans="1:2" x14ac:dyDescent="0.25">
      <c r="A168" s="1">
        <v>44993</v>
      </c>
      <c r="B168">
        <v>3333.5</v>
      </c>
    </row>
    <row r="169" spans="1:2" x14ac:dyDescent="0.25">
      <c r="A169" s="1">
        <v>45000</v>
      </c>
      <c r="B169">
        <v>2328.66</v>
      </c>
    </row>
    <row r="170" spans="1:2" x14ac:dyDescent="0.25">
      <c r="A170" s="1">
        <v>45007</v>
      </c>
      <c r="B170">
        <v>2595.87</v>
      </c>
    </row>
    <row r="171" spans="1:2" x14ac:dyDescent="0.25">
      <c r="A171" s="1">
        <v>45014</v>
      </c>
      <c r="B171">
        <v>1835.77</v>
      </c>
    </row>
    <row r="172" spans="1:2" x14ac:dyDescent="0.25">
      <c r="A172" s="1">
        <v>45021</v>
      </c>
      <c r="B172">
        <v>1687.93</v>
      </c>
    </row>
    <row r="173" spans="1:2" x14ac:dyDescent="0.25">
      <c r="A173" s="1">
        <v>45028</v>
      </c>
      <c r="B173">
        <v>1092.08</v>
      </c>
    </row>
    <row r="174" spans="1:2" x14ac:dyDescent="0.25">
      <c r="A174" s="1">
        <v>45035</v>
      </c>
      <c r="B174">
        <v>1665.55</v>
      </c>
    </row>
    <row r="175" spans="1:2" x14ac:dyDescent="0.25">
      <c r="A175" s="1">
        <v>45042</v>
      </c>
      <c r="B175">
        <v>2917.02</v>
      </c>
    </row>
    <row r="176" spans="1:2" x14ac:dyDescent="0.25">
      <c r="A176" s="1">
        <v>45049</v>
      </c>
      <c r="B176">
        <v>2692.16</v>
      </c>
    </row>
    <row r="177" spans="1:2" x14ac:dyDescent="0.25">
      <c r="A177" s="1">
        <v>45056</v>
      </c>
      <c r="B177">
        <v>1976.66</v>
      </c>
    </row>
    <row r="178" spans="1:2" x14ac:dyDescent="0.25">
      <c r="A178" s="1">
        <v>45063</v>
      </c>
      <c r="B178">
        <v>1162.2</v>
      </c>
    </row>
    <row r="179" spans="1:2" x14ac:dyDescent="0.25">
      <c r="A179" s="1">
        <v>45070</v>
      </c>
      <c r="B179">
        <v>619.52</v>
      </c>
    </row>
    <row r="180" spans="1:2" x14ac:dyDescent="0.25">
      <c r="A180" s="1">
        <v>45077</v>
      </c>
      <c r="B180">
        <v>489.54</v>
      </c>
    </row>
    <row r="181" spans="1:2" x14ac:dyDescent="0.25">
      <c r="A181" s="1">
        <v>45084</v>
      </c>
      <c r="B181">
        <v>447.56</v>
      </c>
    </row>
    <row r="182" spans="1:2" x14ac:dyDescent="0.25">
      <c r="A182" s="1">
        <v>45091</v>
      </c>
      <c r="B182">
        <v>1021.18</v>
      </c>
    </row>
    <row r="183" spans="1:2" x14ac:dyDescent="0.25">
      <c r="A183" s="1">
        <v>45098</v>
      </c>
      <c r="B183">
        <v>2768.5</v>
      </c>
    </row>
    <row r="184" spans="1:2" x14ac:dyDescent="0.25">
      <c r="A184" s="1">
        <v>45105</v>
      </c>
      <c r="B184">
        <v>3905.71</v>
      </c>
    </row>
    <row r="185" spans="1:2" x14ac:dyDescent="0.25">
      <c r="A185" s="1">
        <v>45112</v>
      </c>
      <c r="B185">
        <v>4154.41</v>
      </c>
    </row>
    <row r="186" spans="1:2" x14ac:dyDescent="0.25">
      <c r="A186" s="1">
        <v>45119</v>
      </c>
      <c r="B186">
        <v>5143.37</v>
      </c>
    </row>
    <row r="187" spans="1:2" x14ac:dyDescent="0.25">
      <c r="A187" s="1">
        <v>45126</v>
      </c>
      <c r="B187">
        <v>5311.35</v>
      </c>
    </row>
    <row r="188" spans="1:2" x14ac:dyDescent="0.25">
      <c r="A188" s="1">
        <v>45133</v>
      </c>
      <c r="B188">
        <v>5435.97</v>
      </c>
    </row>
    <row r="189" spans="1:2" x14ac:dyDescent="0.25">
      <c r="A189" s="1">
        <v>45140</v>
      </c>
      <c r="B189">
        <v>5174.59</v>
      </c>
    </row>
    <row r="190" spans="1:2" x14ac:dyDescent="0.25">
      <c r="A190" s="1">
        <v>45147</v>
      </c>
      <c r="B190">
        <v>4445.9399999999996</v>
      </c>
    </row>
    <row r="191" spans="1:2" x14ac:dyDescent="0.25">
      <c r="A191" s="1">
        <v>45154</v>
      </c>
      <c r="B191">
        <v>4357.95</v>
      </c>
    </row>
    <row r="192" spans="1:2" x14ac:dyDescent="0.25">
      <c r="A192" s="1">
        <v>45161</v>
      </c>
      <c r="B192">
        <v>4137.87</v>
      </c>
    </row>
    <row r="193" spans="1:2" x14ac:dyDescent="0.25">
      <c r="A193" s="1">
        <v>45168</v>
      </c>
      <c r="B193">
        <v>4708</v>
      </c>
    </row>
    <row r="194" spans="1:2" x14ac:dyDescent="0.25">
      <c r="A194" s="1">
        <v>45175</v>
      </c>
      <c r="B194">
        <v>4708.8100000000004</v>
      </c>
    </row>
    <row r="195" spans="1:2" x14ac:dyDescent="0.25">
      <c r="A195" s="1">
        <v>45182</v>
      </c>
      <c r="B195">
        <v>5215.07</v>
      </c>
    </row>
    <row r="196" spans="1:2" x14ac:dyDescent="0.25">
      <c r="A196" s="1">
        <v>45189</v>
      </c>
      <c r="B196">
        <v>6402.96</v>
      </c>
    </row>
    <row r="197" spans="1:2" x14ac:dyDescent="0.25">
      <c r="A197" s="1">
        <v>45196</v>
      </c>
      <c r="B197">
        <v>6811.43</v>
      </c>
    </row>
    <row r="198" spans="1:2" x14ac:dyDescent="0.25">
      <c r="A198" s="1">
        <v>45203</v>
      </c>
      <c r="B198">
        <v>6680.09</v>
      </c>
    </row>
    <row r="199" spans="1:2" x14ac:dyDescent="0.25">
      <c r="A199" s="1">
        <v>45210</v>
      </c>
      <c r="B199">
        <v>7091.6</v>
      </c>
    </row>
    <row r="200" spans="1:2" x14ac:dyDescent="0.25">
      <c r="A200" s="1">
        <v>45217</v>
      </c>
      <c r="B200">
        <v>7598.78</v>
      </c>
    </row>
    <row r="201" spans="1:2" x14ac:dyDescent="0.25">
      <c r="A201" s="1">
        <v>45224</v>
      </c>
      <c r="B201">
        <v>8344.18</v>
      </c>
    </row>
    <row r="202" spans="1:2" x14ac:dyDescent="0.25">
      <c r="A202" s="1">
        <v>45231</v>
      </c>
      <c r="B202">
        <v>8204.8700000000008</v>
      </c>
    </row>
    <row r="203" spans="1:2" x14ac:dyDescent="0.25">
      <c r="A203" s="1">
        <v>45238</v>
      </c>
      <c r="B203">
        <v>7726.86</v>
      </c>
    </row>
    <row r="204" spans="1:2" x14ac:dyDescent="0.25">
      <c r="A204" s="1">
        <v>45245</v>
      </c>
      <c r="B204">
        <v>7385.62</v>
      </c>
    </row>
    <row r="205" spans="1:2" x14ac:dyDescent="0.25">
      <c r="A205" s="1">
        <v>45252</v>
      </c>
      <c r="B205">
        <v>7060.17</v>
      </c>
    </row>
    <row r="206" spans="1:2" x14ac:dyDescent="0.25">
      <c r="A206" s="1">
        <v>45259</v>
      </c>
      <c r="B206">
        <v>7392.09</v>
      </c>
    </row>
    <row r="207" spans="1:2" x14ac:dyDescent="0.25">
      <c r="A207" s="1">
        <v>45266</v>
      </c>
      <c r="B207">
        <v>6825.09</v>
      </c>
    </row>
    <row r="208" spans="1:2" x14ac:dyDescent="0.25">
      <c r="A208" s="1">
        <v>45273</v>
      </c>
      <c r="B208">
        <v>6584.4</v>
      </c>
    </row>
    <row r="209" spans="1:2" x14ac:dyDescent="0.25">
      <c r="A209" s="1">
        <v>45280</v>
      </c>
      <c r="B209">
        <v>7321.96</v>
      </c>
    </row>
    <row r="210" spans="1:2" x14ac:dyDescent="0.25">
      <c r="A210" s="1">
        <v>45287</v>
      </c>
      <c r="B210">
        <v>7314.05</v>
      </c>
    </row>
    <row r="211" spans="1:2" x14ac:dyDescent="0.25">
      <c r="A211" s="1">
        <v>45294</v>
      </c>
      <c r="B211">
        <v>7584.48</v>
      </c>
    </row>
    <row r="212" spans="1:2" x14ac:dyDescent="0.25">
      <c r="A212" s="1">
        <v>45301</v>
      </c>
      <c r="B212">
        <v>7475.65</v>
      </c>
    </row>
    <row r="213" spans="1:2" x14ac:dyDescent="0.25">
      <c r="A213" s="1">
        <v>45308</v>
      </c>
      <c r="B213">
        <v>7488.83</v>
      </c>
    </row>
    <row r="214" spans="1:2" x14ac:dyDescent="0.25">
      <c r="A214" s="1">
        <v>45315</v>
      </c>
      <c r="B214">
        <v>7993.58</v>
      </c>
    </row>
    <row r="215" spans="1:2" x14ac:dyDescent="0.25">
      <c r="A215" s="1">
        <v>45322</v>
      </c>
      <c r="B215">
        <v>8415.5</v>
      </c>
    </row>
    <row r="216" spans="1:2" x14ac:dyDescent="0.25">
      <c r="A216" s="1">
        <v>45329</v>
      </c>
      <c r="B216">
        <v>8021.35</v>
      </c>
    </row>
    <row r="217" spans="1:2" x14ac:dyDescent="0.25">
      <c r="A217" s="1">
        <v>45336</v>
      </c>
      <c r="B217">
        <v>8380.0499999999993</v>
      </c>
    </row>
    <row r="218" spans="1:2" x14ac:dyDescent="0.25">
      <c r="A218" s="1">
        <v>45343</v>
      </c>
      <c r="B218">
        <v>7854.65</v>
      </c>
    </row>
    <row r="219" spans="1:2" x14ac:dyDescent="0.25">
      <c r="A219" s="1">
        <v>45350</v>
      </c>
      <c r="B219">
        <v>7858.21</v>
      </c>
    </row>
    <row r="220" spans="1:2" x14ac:dyDescent="0.25">
      <c r="A220" s="1">
        <v>45357</v>
      </c>
      <c r="B220">
        <v>7677.33</v>
      </c>
    </row>
    <row r="221" spans="1:2" x14ac:dyDescent="0.25">
      <c r="A221" s="1">
        <v>45364</v>
      </c>
      <c r="B221">
        <v>7683.69</v>
      </c>
    </row>
    <row r="222" spans="1:2" x14ac:dyDescent="0.25">
      <c r="A222" s="1">
        <v>45371</v>
      </c>
      <c r="B222">
        <v>8092.98</v>
      </c>
    </row>
    <row r="223" spans="1:2" x14ac:dyDescent="0.25">
      <c r="A223" s="1">
        <v>45378</v>
      </c>
      <c r="B223">
        <v>8022.33</v>
      </c>
    </row>
    <row r="224" spans="1:2" x14ac:dyDescent="0.25">
      <c r="A224" s="1">
        <v>45385</v>
      </c>
      <c r="B224">
        <v>7686.51</v>
      </c>
    </row>
    <row r="225" spans="1:2" x14ac:dyDescent="0.25">
      <c r="A225" s="1">
        <v>45392</v>
      </c>
      <c r="B225">
        <v>7049.71</v>
      </c>
    </row>
    <row r="226" spans="1:2" x14ac:dyDescent="0.25">
      <c r="A226" s="1">
        <v>45399</v>
      </c>
      <c r="B226">
        <v>7965.35</v>
      </c>
    </row>
    <row r="227" spans="1:2" x14ac:dyDescent="0.25">
      <c r="A227" s="1">
        <v>45406</v>
      </c>
      <c r="B227">
        <v>9414.2999999999993</v>
      </c>
    </row>
    <row r="228" spans="1:2" x14ac:dyDescent="0.25">
      <c r="A228" s="1">
        <v>45413</v>
      </c>
      <c r="B228">
        <v>9171.77</v>
      </c>
    </row>
    <row r="229" spans="1:2" x14ac:dyDescent="0.25">
      <c r="A229" s="1">
        <v>45420</v>
      </c>
      <c r="B229">
        <v>8515.91</v>
      </c>
    </row>
    <row r="230" spans="1:2" x14ac:dyDescent="0.25">
      <c r="A230" s="1">
        <v>45427</v>
      </c>
      <c r="B230">
        <v>7871.33</v>
      </c>
    </row>
    <row r="231" spans="1:2" x14ac:dyDescent="0.25">
      <c r="A231" s="1">
        <v>45434</v>
      </c>
      <c r="B231">
        <v>7253.76</v>
      </c>
    </row>
    <row r="232" spans="1:2" x14ac:dyDescent="0.25">
      <c r="A232" s="1">
        <v>45441</v>
      </c>
      <c r="B232">
        <v>7043.35</v>
      </c>
    </row>
    <row r="233" spans="1:2" x14ac:dyDescent="0.25">
      <c r="A233" s="1">
        <v>45448</v>
      </c>
      <c r="B233">
        <v>7103.09</v>
      </c>
    </row>
    <row r="234" spans="1:2" x14ac:dyDescent="0.25">
      <c r="A234" s="1">
        <v>45455</v>
      </c>
      <c r="B234">
        <v>6735.73</v>
      </c>
    </row>
    <row r="235" spans="1:2" x14ac:dyDescent="0.25">
      <c r="A235" s="1">
        <v>45462</v>
      </c>
      <c r="B235">
        <v>7234.1</v>
      </c>
    </row>
    <row r="236" spans="1:2" x14ac:dyDescent="0.25">
      <c r="A236" s="1">
        <v>45469</v>
      </c>
      <c r="B236">
        <v>7654.17</v>
      </c>
    </row>
    <row r="237" spans="1:2" x14ac:dyDescent="0.25">
      <c r="A237" s="1">
        <v>45476</v>
      </c>
      <c r="B237">
        <v>7613.73</v>
      </c>
    </row>
    <row r="238" spans="1:2" x14ac:dyDescent="0.25">
      <c r="A238" s="1">
        <v>45483</v>
      </c>
      <c r="B238">
        <v>7364.02</v>
      </c>
    </row>
    <row r="239" spans="1:2" x14ac:dyDescent="0.25">
      <c r="A239" s="1">
        <v>45490</v>
      </c>
      <c r="B239">
        <v>7515.93</v>
      </c>
    </row>
    <row r="240" spans="1:2" x14ac:dyDescent="0.25">
      <c r="A240" s="1">
        <v>45497</v>
      </c>
      <c r="B240">
        <v>7743.15</v>
      </c>
    </row>
    <row r="241" spans="1:2" x14ac:dyDescent="0.25">
      <c r="A241" s="1">
        <v>45504</v>
      </c>
      <c r="B241">
        <v>7864.86</v>
      </c>
    </row>
    <row r="242" spans="1:2" x14ac:dyDescent="0.25">
      <c r="A242" s="1">
        <v>45511</v>
      </c>
      <c r="B242">
        <v>7709.31</v>
      </c>
    </row>
    <row r="243" spans="1:2" x14ac:dyDescent="0.25">
      <c r="A243" s="1">
        <v>45518</v>
      </c>
      <c r="B243">
        <v>7941.2</v>
      </c>
    </row>
    <row r="244" spans="1:2" x14ac:dyDescent="0.25">
      <c r="A244" s="1">
        <v>45525</v>
      </c>
      <c r="B244">
        <v>7364.94</v>
      </c>
    </row>
    <row r="245" spans="1:2" x14ac:dyDescent="0.25">
      <c r="A245" s="1">
        <v>45532</v>
      </c>
      <c r="B245">
        <v>7458.51</v>
      </c>
    </row>
    <row r="246" spans="1:2" x14ac:dyDescent="0.25">
      <c r="A246" s="1">
        <v>45539</v>
      </c>
      <c r="B246">
        <v>7339.59</v>
      </c>
    </row>
    <row r="247" spans="1:2" x14ac:dyDescent="0.25">
      <c r="A247" s="1">
        <v>45546</v>
      </c>
      <c r="B247">
        <v>7559.58</v>
      </c>
    </row>
    <row r="248" spans="1:2" x14ac:dyDescent="0.25">
      <c r="A248" s="1">
        <v>45553</v>
      </c>
      <c r="B248">
        <v>7711.94</v>
      </c>
    </row>
    <row r="249" spans="1:2" x14ac:dyDescent="0.25">
      <c r="A249" s="1">
        <v>45560</v>
      </c>
      <c r="B249">
        <v>8067.71</v>
      </c>
    </row>
    <row r="250" spans="1:2" x14ac:dyDescent="0.25">
      <c r="A250" s="1">
        <v>45567</v>
      </c>
      <c r="B250">
        <v>7982.77</v>
      </c>
    </row>
    <row r="251" spans="1:2" x14ac:dyDescent="0.25">
      <c r="A251" s="1">
        <v>45574</v>
      </c>
      <c r="B251">
        <v>8021.15</v>
      </c>
    </row>
    <row r="252" spans="1:2" x14ac:dyDescent="0.25">
      <c r="A252" s="1">
        <v>45581</v>
      </c>
      <c r="B252">
        <v>7917.92</v>
      </c>
    </row>
    <row r="253" spans="1:2" x14ac:dyDescent="0.25">
      <c r="A253" s="1">
        <v>45588</v>
      </c>
      <c r="B253">
        <v>8299.91</v>
      </c>
    </row>
    <row r="254" spans="1:2" x14ac:dyDescent="0.25">
      <c r="A254" s="1">
        <v>45595</v>
      </c>
      <c r="B254">
        <v>8352.3700000000008</v>
      </c>
    </row>
    <row r="255" spans="1:2" x14ac:dyDescent="0.25">
      <c r="A255" s="1">
        <v>45602</v>
      </c>
      <c r="B255">
        <v>8420.51</v>
      </c>
    </row>
    <row r="256" spans="1:2" x14ac:dyDescent="0.25">
      <c r="A256" s="1">
        <v>45609</v>
      </c>
      <c r="B256">
        <v>8321.86</v>
      </c>
    </row>
    <row r="257" spans="1:2" x14ac:dyDescent="0.25">
      <c r="A257" s="1">
        <v>45616</v>
      </c>
      <c r="B257">
        <v>7518.73</v>
      </c>
    </row>
    <row r="258" spans="1:2" x14ac:dyDescent="0.25">
      <c r="A258" s="1">
        <v>45623</v>
      </c>
      <c r="B258">
        <v>7752.5</v>
      </c>
    </row>
    <row r="259" spans="1:2" x14ac:dyDescent="0.25">
      <c r="A259" s="1">
        <v>45630</v>
      </c>
      <c r="B259">
        <v>7895.16</v>
      </c>
    </row>
    <row r="260" spans="1:2" x14ac:dyDescent="0.25">
      <c r="A260" s="1">
        <v>45637</v>
      </c>
      <c r="B260">
        <v>7750.67</v>
      </c>
    </row>
    <row r="261" spans="1:2" x14ac:dyDescent="0.25">
      <c r="A261" s="1">
        <v>45644</v>
      </c>
      <c r="B261">
        <v>7679.32</v>
      </c>
    </row>
    <row r="262" spans="1:2" x14ac:dyDescent="0.25">
      <c r="A262" s="1">
        <v>45651</v>
      </c>
      <c r="B262">
        <v>7647.7</v>
      </c>
    </row>
    <row r="263" spans="1:2" x14ac:dyDescent="0.25">
      <c r="A263" s="1">
        <v>45658</v>
      </c>
      <c r="B263">
        <v>7198.73</v>
      </c>
    </row>
    <row r="264" spans="1:2" x14ac:dyDescent="0.25">
      <c r="A264" s="1">
        <v>45665</v>
      </c>
      <c r="B264">
        <v>6526.36</v>
      </c>
    </row>
    <row r="265" spans="1:2" x14ac:dyDescent="0.25">
      <c r="A265" s="1">
        <v>45672</v>
      </c>
      <c r="B265">
        <v>6412.25</v>
      </c>
    </row>
    <row r="266" spans="1:2" x14ac:dyDescent="0.25">
      <c r="A266" s="1">
        <v>45679</v>
      </c>
      <c r="B266">
        <v>6772.82</v>
      </c>
    </row>
    <row r="267" spans="1:2" x14ac:dyDescent="0.25">
      <c r="A267" s="1">
        <v>45686</v>
      </c>
      <c r="B267">
        <v>7842.06</v>
      </c>
    </row>
    <row r="268" spans="1:2" x14ac:dyDescent="0.25">
      <c r="A268" s="1">
        <v>45693</v>
      </c>
      <c r="B268">
        <v>8055.93</v>
      </c>
    </row>
    <row r="269" spans="1:2" x14ac:dyDescent="0.25">
      <c r="A269" s="1">
        <v>45700</v>
      </c>
      <c r="B269">
        <v>8281.02</v>
      </c>
    </row>
    <row r="270" spans="1:2" x14ac:dyDescent="0.25">
      <c r="A270" s="1">
        <v>45707</v>
      </c>
      <c r="B270">
        <v>7900.62</v>
      </c>
    </row>
    <row r="271" spans="1:2" x14ac:dyDescent="0.25">
      <c r="A271" s="1">
        <v>45714</v>
      </c>
      <c r="B271">
        <v>6811.61</v>
      </c>
    </row>
    <row r="272" spans="1:2" x14ac:dyDescent="0.25">
      <c r="A272" s="1">
        <v>45721</v>
      </c>
      <c r="B272">
        <v>5483.31</v>
      </c>
    </row>
    <row r="273" spans="1:2" x14ac:dyDescent="0.25">
      <c r="A273" s="1">
        <v>45728</v>
      </c>
      <c r="B273">
        <v>5125.8100000000004</v>
      </c>
    </row>
    <row r="274" spans="1:2" x14ac:dyDescent="0.25">
      <c r="A274" s="1">
        <v>45735</v>
      </c>
      <c r="B274">
        <v>4359.3599999999997</v>
      </c>
    </row>
    <row r="275" spans="1:2" x14ac:dyDescent="0.25">
      <c r="A275" s="1">
        <v>45742</v>
      </c>
      <c r="B275">
        <v>3601.77</v>
      </c>
    </row>
    <row r="276" spans="1:2" x14ac:dyDescent="0.25">
      <c r="A276" s="1">
        <v>45749</v>
      </c>
      <c r="B276">
        <v>3133.26</v>
      </c>
    </row>
    <row r="277" spans="1:2" x14ac:dyDescent="0.25">
      <c r="A277" s="1">
        <v>45756</v>
      </c>
      <c r="B277">
        <v>3060.49</v>
      </c>
    </row>
    <row r="278" spans="1:2" x14ac:dyDescent="0.25">
      <c r="A278" s="1">
        <v>45763</v>
      </c>
      <c r="B278">
        <v>4229.83</v>
      </c>
    </row>
    <row r="279" spans="1:2" x14ac:dyDescent="0.25">
      <c r="A279" s="1">
        <v>45770</v>
      </c>
      <c r="B279">
        <v>6066.32</v>
      </c>
    </row>
    <row r="280" spans="1:2" x14ac:dyDescent="0.25">
      <c r="A280" s="1">
        <v>45777</v>
      </c>
      <c r="B280">
        <v>5957.41</v>
      </c>
    </row>
    <row r="281" spans="1:2" x14ac:dyDescent="0.25">
      <c r="A281" s="1">
        <v>45784</v>
      </c>
      <c r="B281">
        <v>5837.27</v>
      </c>
    </row>
    <row r="282" spans="1:2" x14ac:dyDescent="0.25">
      <c r="A282" s="1">
        <v>45791</v>
      </c>
      <c r="B282">
        <v>5758.46</v>
      </c>
    </row>
    <row r="283" spans="1:2" x14ac:dyDescent="0.25">
      <c r="A283" s="1">
        <v>45798</v>
      </c>
      <c r="B283">
        <v>5030.55</v>
      </c>
    </row>
    <row r="284" spans="1:2" x14ac:dyDescent="0.25">
      <c r="A284" s="1">
        <v>45805</v>
      </c>
      <c r="B284">
        <v>4672.04</v>
      </c>
    </row>
    <row r="285" spans="1:2" x14ac:dyDescent="0.25">
      <c r="A285" s="1">
        <v>45812</v>
      </c>
      <c r="B285">
        <v>3789.47</v>
      </c>
    </row>
    <row r="286" spans="1:2" x14ac:dyDescent="0.25">
      <c r="A286" s="1">
        <v>45819</v>
      </c>
      <c r="B286">
        <v>3329.07</v>
      </c>
    </row>
    <row r="287" spans="1:2" x14ac:dyDescent="0.25">
      <c r="A287" s="1">
        <v>45826</v>
      </c>
      <c r="B287">
        <v>3377.62</v>
      </c>
    </row>
    <row r="288" spans="1:2" x14ac:dyDescent="0.25">
      <c r="A288" s="1">
        <v>45833</v>
      </c>
      <c r="B288">
        <v>3643.75</v>
      </c>
    </row>
    <row r="289" spans="1:2" x14ac:dyDescent="0.25">
      <c r="A289" s="1">
        <v>45840</v>
      </c>
      <c r="B289">
        <v>3595.16</v>
      </c>
    </row>
    <row r="290" spans="1:2" x14ac:dyDescent="0.25">
      <c r="A290" s="1">
        <v>45847</v>
      </c>
      <c r="B290">
        <v>3198.89</v>
      </c>
    </row>
    <row r="291" spans="1:2" x14ac:dyDescent="0.25">
      <c r="A291" s="1">
        <v>45854</v>
      </c>
      <c r="B291">
        <v>2962.47</v>
      </c>
    </row>
    <row r="292" spans="1:2" x14ac:dyDescent="0.25">
      <c r="A292" s="1">
        <v>45861</v>
      </c>
      <c r="B292">
        <v>3231.76</v>
      </c>
    </row>
    <row r="293" spans="1:2" x14ac:dyDescent="0.25">
      <c r="A293" s="1">
        <v>45868</v>
      </c>
      <c r="B293">
        <v>3705.07</v>
      </c>
    </row>
    <row r="294" spans="1:2" x14ac:dyDescent="0.25">
      <c r="A294" s="1">
        <v>45875</v>
      </c>
      <c r="B294">
        <v>4210.43</v>
      </c>
    </row>
    <row r="295" spans="1:2" x14ac:dyDescent="0.25">
      <c r="A295" s="1">
        <v>45882</v>
      </c>
      <c r="B295">
        <v>5043.04</v>
      </c>
    </row>
    <row r="296" spans="1:2" x14ac:dyDescent="0.25">
      <c r="A296" s="1">
        <v>45889</v>
      </c>
      <c r="B296">
        <v>5195.34</v>
      </c>
    </row>
    <row r="297" spans="1:2" x14ac:dyDescent="0.25">
      <c r="A297" s="1">
        <v>45896</v>
      </c>
      <c r="B297">
        <v>5899.98</v>
      </c>
    </row>
    <row r="298" spans="1:2" x14ac:dyDescent="0.25">
      <c r="A298" s="1">
        <v>45903</v>
      </c>
      <c r="B298">
        <v>5975.13</v>
      </c>
    </row>
    <row r="299" spans="1:2" x14ac:dyDescent="0.25">
      <c r="A299" s="1">
        <v>45910</v>
      </c>
      <c r="B299">
        <v>6722.74</v>
      </c>
    </row>
    <row r="300" spans="1:2" x14ac:dyDescent="0.25">
      <c r="A300" s="1">
        <v>45917</v>
      </c>
      <c r="B300">
        <v>7563.76</v>
      </c>
    </row>
    <row r="301" spans="1:2" x14ac:dyDescent="0.25">
      <c r="A301" s="1">
        <v>45924</v>
      </c>
      <c r="B301">
        <v>8048.56</v>
      </c>
    </row>
    <row r="302" spans="1:2" x14ac:dyDescent="0.25">
      <c r="A302" s="1">
        <v>45931</v>
      </c>
      <c r="B302">
        <v>8051.39</v>
      </c>
    </row>
    <row r="303" spans="1:2" x14ac:dyDescent="0.25">
      <c r="A303" s="1">
        <v>45938</v>
      </c>
      <c r="B303">
        <v>8074.28</v>
      </c>
    </row>
    <row r="304" spans="1:2" x14ac:dyDescent="0.25">
      <c r="A304" s="1">
        <v>45945</v>
      </c>
      <c r="B304">
        <v>8095.93</v>
      </c>
    </row>
    <row r="305" spans="1:2" x14ac:dyDescent="0.25">
      <c r="A305" s="1">
        <v>45952</v>
      </c>
      <c r="B305">
        <v>9080.01</v>
      </c>
    </row>
    <row r="306" spans="1:2" x14ac:dyDescent="0.25">
      <c r="A306" s="1">
        <v>45959</v>
      </c>
      <c r="B306">
        <v>9579.9</v>
      </c>
    </row>
    <row r="307" spans="1:2" x14ac:dyDescent="0.25">
      <c r="A307" s="1">
        <v>45966</v>
      </c>
      <c r="B307">
        <v>9409.7900000000009</v>
      </c>
    </row>
    <row r="308" spans="1:2" x14ac:dyDescent="0.25">
      <c r="A308" s="1">
        <v>45973</v>
      </c>
      <c r="B308">
        <v>9538.16</v>
      </c>
    </row>
    <row r="309" spans="1:2" x14ac:dyDescent="0.25">
      <c r="A309" s="1">
        <v>45980</v>
      </c>
      <c r="B309">
        <v>9419.26</v>
      </c>
    </row>
    <row r="310" spans="1:2" x14ac:dyDescent="0.25">
      <c r="A310" s="1">
        <v>45987</v>
      </c>
      <c r="B310">
        <v>9033.94</v>
      </c>
    </row>
    <row r="311" spans="1:2" x14ac:dyDescent="0.25">
      <c r="A311" s="1">
        <v>45994</v>
      </c>
      <c r="B311">
        <v>9371.67</v>
      </c>
    </row>
    <row r="312" spans="1:2" x14ac:dyDescent="0.25">
      <c r="A312" s="1">
        <v>46001</v>
      </c>
      <c r="B312">
        <v>8589.4599999999991</v>
      </c>
    </row>
    <row r="313" spans="1:2" x14ac:dyDescent="0.25">
      <c r="A313" s="1">
        <v>46008</v>
      </c>
      <c r="B313">
        <v>8330.93</v>
      </c>
    </row>
    <row r="314" spans="1:2" x14ac:dyDescent="0.25">
      <c r="A314" s="1">
        <v>46015</v>
      </c>
      <c r="B314">
        <v>8371.2000000000007</v>
      </c>
    </row>
    <row r="315" spans="1:2" x14ac:dyDescent="0.25">
      <c r="A315" s="1">
        <v>46022</v>
      </c>
      <c r="B315">
        <v>8373.06</v>
      </c>
    </row>
    <row r="316" spans="1:2" x14ac:dyDescent="0.25">
      <c r="A316" s="1">
        <v>46029</v>
      </c>
      <c r="B316">
        <v>7961.48</v>
      </c>
    </row>
    <row r="317" spans="1:2" x14ac:dyDescent="0.25">
      <c r="A317" s="1">
        <v>46036</v>
      </c>
      <c r="B317">
        <v>7791.75</v>
      </c>
    </row>
    <row r="318" spans="1:2" x14ac:dyDescent="0.25">
      <c r="A318" s="1">
        <v>46043</v>
      </c>
      <c r="B318">
        <v>8692.61</v>
      </c>
    </row>
    <row r="319" spans="1:2" x14ac:dyDescent="0.25">
      <c r="A319" s="1">
        <v>46050</v>
      </c>
      <c r="B319">
        <v>9230.42</v>
      </c>
    </row>
    <row r="320" spans="1:2" x14ac:dyDescent="0.25">
      <c r="A320" s="1">
        <v>46057</v>
      </c>
      <c r="B320">
        <v>9087.73</v>
      </c>
    </row>
    <row r="321" spans="1:2" x14ac:dyDescent="0.25">
      <c r="A321" s="1">
        <v>46064</v>
      </c>
      <c r="B321">
        <v>9153.06</v>
      </c>
    </row>
    <row r="322" spans="1:2" x14ac:dyDescent="0.25">
      <c r="A322" s="1">
        <v>46071</v>
      </c>
      <c r="B322">
        <v>9127.27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1535"/>
  <sheetViews>
    <sheetView topLeftCell="A1469" workbookViewId="0">
      <selection activeCell="A1516" sqref="A1516"/>
    </sheetView>
  </sheetViews>
  <sheetFormatPr defaultColWidth="9" defaultRowHeight="14.4" x14ac:dyDescent="0.25"/>
  <cols>
    <col min="1" max="1" width="11.6640625" bestFit="1" customWidth="1"/>
    <col min="2" max="2" width="12.77734375" bestFit="1" customWidth="1"/>
  </cols>
  <sheetData>
    <row r="1" spans="1:2" x14ac:dyDescent="0.25">
      <c r="A1" t="s">
        <v>145</v>
      </c>
      <c r="B1" t="s">
        <v>146</v>
      </c>
    </row>
    <row r="2" spans="1:2" x14ac:dyDescent="0.25">
      <c r="A2" s="1">
        <v>43832</v>
      </c>
      <c r="B2">
        <v>3.1E-8</v>
      </c>
    </row>
    <row r="3" spans="1:2" x14ac:dyDescent="0.25">
      <c r="A3" s="1">
        <v>43833</v>
      </c>
      <c r="B3">
        <v>4.2510000000000001E-8</v>
      </c>
    </row>
    <row r="4" spans="1:2" x14ac:dyDescent="0.25">
      <c r="A4" s="1">
        <v>43836</v>
      </c>
      <c r="B4">
        <v>3.8250000000000002E-8</v>
      </c>
    </row>
    <row r="5" spans="1:2" x14ac:dyDescent="0.25">
      <c r="A5" s="1">
        <v>43837</v>
      </c>
      <c r="B5">
        <v>1.6020000000000001E-8</v>
      </c>
    </row>
    <row r="6" spans="1:2" x14ac:dyDescent="0.25">
      <c r="A6" s="1">
        <v>43838</v>
      </c>
      <c r="B6">
        <v>8.7600000000000004E-9</v>
      </c>
    </row>
    <row r="7" spans="1:2" x14ac:dyDescent="0.25">
      <c r="A7" s="1">
        <v>43839</v>
      </c>
      <c r="B7">
        <v>4.01E-9</v>
      </c>
    </row>
    <row r="8" spans="1:2" x14ac:dyDescent="0.25">
      <c r="A8" s="1">
        <v>43840</v>
      </c>
      <c r="B8">
        <v>6.2700000000000001E-9</v>
      </c>
    </row>
    <row r="9" spans="1:2" x14ac:dyDescent="0.25">
      <c r="A9" s="1">
        <v>43843</v>
      </c>
      <c r="B9">
        <v>1E-8</v>
      </c>
    </row>
    <row r="10" spans="1:2" x14ac:dyDescent="0.25">
      <c r="A10" s="1">
        <v>43844</v>
      </c>
      <c r="B10">
        <v>6.5600000000000005E-9</v>
      </c>
    </row>
    <row r="11" spans="1:2" x14ac:dyDescent="0.25">
      <c r="A11" s="1">
        <v>43845</v>
      </c>
      <c r="B11">
        <v>6.7500000000000001E-9</v>
      </c>
    </row>
    <row r="12" spans="1:2" x14ac:dyDescent="0.25">
      <c r="A12" s="1">
        <v>43846</v>
      </c>
      <c r="B12">
        <v>3E-9</v>
      </c>
    </row>
    <row r="13" spans="1:2" x14ac:dyDescent="0.25">
      <c r="A13" s="1">
        <v>43847</v>
      </c>
      <c r="B13">
        <v>1.6149999999999998E-7</v>
      </c>
    </row>
    <row r="14" spans="1:2" x14ac:dyDescent="0.25">
      <c r="A14" s="1">
        <v>43851</v>
      </c>
      <c r="B14">
        <v>1.3381000000000001E-7</v>
      </c>
    </row>
    <row r="15" spans="1:2" x14ac:dyDescent="0.25">
      <c r="A15" s="1">
        <v>43852</v>
      </c>
      <c r="B15">
        <v>1.5603999999999999E-7</v>
      </c>
    </row>
    <row r="16" spans="1:2" x14ac:dyDescent="0.25">
      <c r="A16" s="1">
        <v>43853</v>
      </c>
      <c r="B16">
        <v>1.2904E-7</v>
      </c>
    </row>
    <row r="17" spans="1:2" x14ac:dyDescent="0.25">
      <c r="A17" s="1">
        <v>43854</v>
      </c>
      <c r="B17">
        <v>0</v>
      </c>
    </row>
    <row r="18" spans="1:2" x14ac:dyDescent="0.25">
      <c r="A18" s="1">
        <v>43857</v>
      </c>
      <c r="B18">
        <v>2.0000000000000002E-11</v>
      </c>
    </row>
    <row r="19" spans="1:2" x14ac:dyDescent="0.25">
      <c r="A19" s="1">
        <v>43858</v>
      </c>
      <c r="B19">
        <v>2.0000000000000002E-11</v>
      </c>
    </row>
    <row r="20" spans="1:2" x14ac:dyDescent="0.25">
      <c r="A20" s="1">
        <v>43859</v>
      </c>
      <c r="B20">
        <v>3E-9</v>
      </c>
    </row>
    <row r="21" spans="1:2" x14ac:dyDescent="0.25">
      <c r="A21" s="1">
        <v>43860</v>
      </c>
      <c r="B21">
        <v>4.1399999999999994E-8</v>
      </c>
    </row>
    <row r="22" spans="1:2" x14ac:dyDescent="0.25">
      <c r="A22" s="1">
        <v>43861</v>
      </c>
      <c r="B22">
        <v>4.4999999999999999E-8</v>
      </c>
    </row>
    <row r="23" spans="1:2" x14ac:dyDescent="0.25">
      <c r="A23" s="1">
        <v>43864</v>
      </c>
      <c r="B23">
        <v>6.1599999999999996E-8</v>
      </c>
    </row>
    <row r="24" spans="1:2" x14ac:dyDescent="0.25">
      <c r="A24" s="1">
        <v>43865</v>
      </c>
      <c r="B24">
        <v>2.112E-8</v>
      </c>
    </row>
    <row r="25" spans="1:2" x14ac:dyDescent="0.25">
      <c r="A25" s="1">
        <v>43866</v>
      </c>
      <c r="B25">
        <v>4.112E-8</v>
      </c>
    </row>
    <row r="26" spans="1:2" x14ac:dyDescent="0.25">
      <c r="A26" s="1">
        <v>43867</v>
      </c>
      <c r="B26">
        <v>4.0300000000000004E-9</v>
      </c>
    </row>
    <row r="27" spans="1:2" x14ac:dyDescent="0.25">
      <c r="A27" s="1">
        <v>43868</v>
      </c>
      <c r="B27">
        <v>1.1000000000000001E-8</v>
      </c>
    </row>
    <row r="28" spans="1:2" x14ac:dyDescent="0.25">
      <c r="A28" s="1">
        <v>43871</v>
      </c>
      <c r="B28">
        <v>8.2999999999999999E-9</v>
      </c>
    </row>
    <row r="29" spans="1:2" x14ac:dyDescent="0.25">
      <c r="A29" s="1">
        <v>43872</v>
      </c>
      <c r="B29">
        <v>2.28E-9</v>
      </c>
    </row>
    <row r="30" spans="1:2" x14ac:dyDescent="0.25">
      <c r="A30" s="1">
        <v>43873</v>
      </c>
      <c r="B30">
        <v>3.0899999999999999E-9</v>
      </c>
    </row>
    <row r="31" spans="1:2" x14ac:dyDescent="0.25">
      <c r="A31" s="1">
        <v>43874</v>
      </c>
      <c r="B31">
        <v>4.4999999999999998E-9</v>
      </c>
    </row>
    <row r="32" spans="1:2" x14ac:dyDescent="0.25">
      <c r="A32" s="1">
        <v>43875</v>
      </c>
      <c r="B32">
        <v>0</v>
      </c>
    </row>
    <row r="33" spans="1:2" x14ac:dyDescent="0.25">
      <c r="A33" s="1">
        <v>43879</v>
      </c>
      <c r="B33">
        <v>9.4540000000000011E-8</v>
      </c>
    </row>
    <row r="34" spans="1:2" x14ac:dyDescent="0.25">
      <c r="A34" s="1">
        <v>43880</v>
      </c>
      <c r="B34">
        <v>9.5000000000000003E-10</v>
      </c>
    </row>
    <row r="35" spans="1:2" x14ac:dyDescent="0.25">
      <c r="A35" s="1">
        <v>43881</v>
      </c>
      <c r="B35">
        <v>3.5999999999999998E-8</v>
      </c>
    </row>
    <row r="36" spans="1:2" x14ac:dyDescent="0.25">
      <c r="A36" s="1">
        <v>43882</v>
      </c>
      <c r="B36">
        <v>4.5319999999999998E-8</v>
      </c>
    </row>
    <row r="37" spans="1:2" x14ac:dyDescent="0.25">
      <c r="A37" s="1">
        <v>43885</v>
      </c>
      <c r="B37">
        <v>5.9199999999999994E-9</v>
      </c>
    </row>
    <row r="38" spans="1:2" x14ac:dyDescent="0.25">
      <c r="A38" s="1">
        <v>43886</v>
      </c>
      <c r="B38">
        <v>1.1100000000000001E-9</v>
      </c>
    </row>
    <row r="39" spans="1:2" x14ac:dyDescent="0.25">
      <c r="A39" s="1">
        <v>43887</v>
      </c>
      <c r="B39">
        <v>2.2999999999999998E-8</v>
      </c>
    </row>
    <row r="40" spans="1:2" x14ac:dyDescent="0.25">
      <c r="A40" s="1">
        <v>43888</v>
      </c>
      <c r="B40">
        <v>2.7500000000000002E-9</v>
      </c>
    </row>
    <row r="41" spans="1:2" x14ac:dyDescent="0.25">
      <c r="A41" s="1">
        <v>43889</v>
      </c>
      <c r="B41">
        <v>2.187E-8</v>
      </c>
    </row>
    <row r="42" spans="1:2" x14ac:dyDescent="0.25">
      <c r="A42" s="1">
        <v>43892</v>
      </c>
      <c r="B42">
        <v>2.5249999999999998E-8</v>
      </c>
    </row>
    <row r="43" spans="1:2" x14ac:dyDescent="0.25">
      <c r="A43" s="1">
        <v>43893</v>
      </c>
      <c r="B43">
        <v>6.2700000000000001E-9</v>
      </c>
    </row>
    <row r="44" spans="1:2" x14ac:dyDescent="0.25">
      <c r="A44" s="1">
        <v>43894</v>
      </c>
      <c r="B44">
        <v>5.0250000000000003E-8</v>
      </c>
    </row>
    <row r="45" spans="1:2" x14ac:dyDescent="0.25">
      <c r="A45" s="1">
        <v>43895</v>
      </c>
      <c r="B45">
        <v>8.5E-9</v>
      </c>
    </row>
    <row r="46" spans="1:2" x14ac:dyDescent="0.25">
      <c r="A46" s="1">
        <v>43896</v>
      </c>
      <c r="B46">
        <v>2.9300000000000001E-8</v>
      </c>
    </row>
    <row r="47" spans="1:2" x14ac:dyDescent="0.25">
      <c r="A47" s="1">
        <v>43899</v>
      </c>
      <c r="B47">
        <v>2.5040000000000001E-8</v>
      </c>
    </row>
    <row r="48" spans="1:2" x14ac:dyDescent="0.25">
      <c r="A48" s="1">
        <v>43900</v>
      </c>
      <c r="B48">
        <v>1.51E-9</v>
      </c>
    </row>
    <row r="49" spans="1:2" x14ac:dyDescent="0.25">
      <c r="A49" s="1">
        <v>43901</v>
      </c>
      <c r="B49">
        <v>1.325E-8</v>
      </c>
    </row>
    <row r="50" spans="1:2" x14ac:dyDescent="0.25">
      <c r="A50" s="1">
        <v>43902</v>
      </c>
      <c r="B50">
        <v>2.1050000000000001E-7</v>
      </c>
    </row>
    <row r="51" spans="1:2" x14ac:dyDescent="0.25">
      <c r="A51" s="1">
        <v>43903</v>
      </c>
      <c r="B51">
        <v>1.5099999999999999E-7</v>
      </c>
    </row>
    <row r="52" spans="1:2" x14ac:dyDescent="0.25">
      <c r="A52" s="1">
        <v>43906</v>
      </c>
      <c r="B52">
        <v>1.425E-8</v>
      </c>
    </row>
    <row r="53" spans="1:2" x14ac:dyDescent="0.25">
      <c r="A53" s="1">
        <v>43907</v>
      </c>
      <c r="B53">
        <v>5.7000000000000001E-8</v>
      </c>
    </row>
    <row r="54" spans="1:2" x14ac:dyDescent="0.25">
      <c r="A54" s="1">
        <v>43908</v>
      </c>
      <c r="B54">
        <v>4.7699999999999999E-9</v>
      </c>
    </row>
    <row r="55" spans="1:2" x14ac:dyDescent="0.25">
      <c r="A55" s="1">
        <v>43909</v>
      </c>
      <c r="B55">
        <v>1.1950000000000001E-8</v>
      </c>
    </row>
    <row r="56" spans="1:2" x14ac:dyDescent="0.25">
      <c r="A56" s="1">
        <v>43910</v>
      </c>
      <c r="B56">
        <v>1.2202999999999999E-7</v>
      </c>
    </row>
    <row r="57" spans="1:2" x14ac:dyDescent="0.25">
      <c r="A57" s="1">
        <v>43913</v>
      </c>
      <c r="B57">
        <v>2.6944000000000001E-7</v>
      </c>
    </row>
    <row r="58" spans="1:2" x14ac:dyDescent="0.25">
      <c r="A58" s="1">
        <v>43914</v>
      </c>
      <c r="B58">
        <v>4.1515999999999997E-7</v>
      </c>
    </row>
    <row r="59" spans="1:2" x14ac:dyDescent="0.25">
      <c r="A59" s="1">
        <v>43915</v>
      </c>
      <c r="B59">
        <v>9.7410999999999998E-7</v>
      </c>
    </row>
    <row r="60" spans="1:2" x14ac:dyDescent="0.25">
      <c r="A60" s="1">
        <v>43916</v>
      </c>
      <c r="B60">
        <v>1.3847999999999999E-6</v>
      </c>
    </row>
    <row r="61" spans="1:2" x14ac:dyDescent="0.25">
      <c r="A61" s="1">
        <v>43917</v>
      </c>
      <c r="B61">
        <v>2.10794E-6</v>
      </c>
    </row>
    <row r="62" spans="1:2" x14ac:dyDescent="0.25">
      <c r="A62" s="1">
        <v>43920</v>
      </c>
      <c r="B62">
        <v>2.3749700000000001E-6</v>
      </c>
    </row>
    <row r="63" spans="1:2" x14ac:dyDescent="0.25">
      <c r="A63" s="1">
        <v>43921</v>
      </c>
      <c r="B63">
        <v>2.8490800000000003E-6</v>
      </c>
    </row>
    <row r="64" spans="1:2" x14ac:dyDescent="0.25">
      <c r="A64" s="1">
        <v>43922</v>
      </c>
      <c r="B64">
        <v>2.0782799999999999E-6</v>
      </c>
    </row>
    <row r="65" spans="1:2" x14ac:dyDescent="0.25">
      <c r="A65" s="1">
        <v>43923</v>
      </c>
      <c r="B65">
        <v>1.82627E-6</v>
      </c>
    </row>
    <row r="66" spans="1:2" x14ac:dyDescent="0.25">
      <c r="A66" s="1">
        <v>43924</v>
      </c>
      <c r="B66">
        <v>1.4811699999999999E-6</v>
      </c>
    </row>
    <row r="67" spans="1:2" x14ac:dyDescent="0.25">
      <c r="A67" s="1">
        <v>43927</v>
      </c>
      <c r="B67">
        <v>1.44294E-6</v>
      </c>
    </row>
    <row r="68" spans="1:2" x14ac:dyDescent="0.25">
      <c r="A68" s="1">
        <v>43928</v>
      </c>
      <c r="B68">
        <v>8.836E-7</v>
      </c>
    </row>
    <row r="69" spans="1:2" x14ac:dyDescent="0.25">
      <c r="A69" s="1">
        <v>43929</v>
      </c>
      <c r="B69">
        <v>5.3482999999999993E-7</v>
      </c>
    </row>
    <row r="70" spans="1:2" x14ac:dyDescent="0.25">
      <c r="A70" s="1">
        <v>43930</v>
      </c>
      <c r="B70">
        <v>5.5250000000000002E-8</v>
      </c>
    </row>
    <row r="71" spans="1:2" x14ac:dyDescent="0.25">
      <c r="A71" s="1">
        <v>43934</v>
      </c>
      <c r="B71">
        <v>6.099999999999999E-8</v>
      </c>
    </row>
    <row r="72" spans="1:2" x14ac:dyDescent="0.25">
      <c r="A72" s="1">
        <v>43935</v>
      </c>
      <c r="B72">
        <v>9.9E-8</v>
      </c>
    </row>
    <row r="73" spans="1:2" x14ac:dyDescent="0.25">
      <c r="A73" s="1">
        <v>43936</v>
      </c>
      <c r="B73">
        <v>3.1499999999999998E-8</v>
      </c>
    </row>
    <row r="74" spans="1:2" x14ac:dyDescent="0.25">
      <c r="A74" s="1">
        <v>43937</v>
      </c>
      <c r="B74">
        <v>1.5249999999999998E-8</v>
      </c>
    </row>
    <row r="75" spans="1:2" x14ac:dyDescent="0.25">
      <c r="A75" s="1">
        <v>43938</v>
      </c>
      <c r="B75">
        <v>1.726E-8</v>
      </c>
    </row>
    <row r="76" spans="1:2" x14ac:dyDescent="0.25">
      <c r="A76" s="1">
        <v>43941</v>
      </c>
      <c r="B76">
        <v>3.1E-7</v>
      </c>
    </row>
    <row r="77" spans="1:2" x14ac:dyDescent="0.25">
      <c r="A77" s="1">
        <v>43942</v>
      </c>
      <c r="B77">
        <v>1.2527999999999999E-7</v>
      </c>
    </row>
    <row r="78" spans="1:2" x14ac:dyDescent="0.25">
      <c r="A78" s="1">
        <v>43943</v>
      </c>
      <c r="B78">
        <v>1.0824999999999999E-7</v>
      </c>
    </row>
    <row r="79" spans="1:2" x14ac:dyDescent="0.25">
      <c r="A79" s="1">
        <v>43944</v>
      </c>
      <c r="B79">
        <v>1.4499999999999999E-8</v>
      </c>
    </row>
    <row r="80" spans="1:2" x14ac:dyDescent="0.25">
      <c r="A80" s="1">
        <v>43945</v>
      </c>
      <c r="B80">
        <v>1.4999999999999999E-8</v>
      </c>
    </row>
    <row r="81" spans="1:2" x14ac:dyDescent="0.25">
      <c r="A81" s="1">
        <v>43948</v>
      </c>
      <c r="B81">
        <v>1.6476E-7</v>
      </c>
    </row>
    <row r="82" spans="1:2" x14ac:dyDescent="0.25">
      <c r="A82" s="1">
        <v>43949</v>
      </c>
      <c r="B82">
        <v>7.1310000000000008E-8</v>
      </c>
    </row>
    <row r="83" spans="1:2" x14ac:dyDescent="0.25">
      <c r="A83" s="1">
        <v>43950</v>
      </c>
      <c r="B83">
        <v>1.4499999999999999E-8</v>
      </c>
    </row>
    <row r="84" spans="1:2" x14ac:dyDescent="0.25">
      <c r="A84" s="1">
        <v>43951</v>
      </c>
      <c r="B84">
        <v>1.775E-8</v>
      </c>
    </row>
    <row r="85" spans="1:2" x14ac:dyDescent="0.25">
      <c r="A85" s="1">
        <v>43952</v>
      </c>
      <c r="B85">
        <v>2.5099999999999998E-9</v>
      </c>
    </row>
    <row r="86" spans="1:2" x14ac:dyDescent="0.25">
      <c r="A86" s="1">
        <v>43955</v>
      </c>
      <c r="B86">
        <v>4.8499999999999998E-8</v>
      </c>
    </row>
    <row r="87" spans="1:2" x14ac:dyDescent="0.25">
      <c r="A87" s="1">
        <v>43956</v>
      </c>
      <c r="B87">
        <v>1.925E-8</v>
      </c>
    </row>
    <row r="88" spans="1:2" x14ac:dyDescent="0.25">
      <c r="A88" s="1">
        <v>43957</v>
      </c>
      <c r="B88">
        <v>1.1750000000000001E-8</v>
      </c>
    </row>
    <row r="89" spans="1:2" x14ac:dyDescent="0.25">
      <c r="A89" s="1">
        <v>43958</v>
      </c>
      <c r="B89">
        <v>9.8199999999999996E-9</v>
      </c>
    </row>
    <row r="90" spans="1:2" x14ac:dyDescent="0.25">
      <c r="A90" s="1">
        <v>43959</v>
      </c>
      <c r="B90">
        <v>6.8000000000000005E-9</v>
      </c>
    </row>
    <row r="91" spans="1:2" x14ac:dyDescent="0.25">
      <c r="A91" s="1">
        <v>43962</v>
      </c>
      <c r="B91">
        <v>1.2299999999999999E-9</v>
      </c>
    </row>
    <row r="92" spans="1:2" x14ac:dyDescent="0.25">
      <c r="A92" s="1">
        <v>43963</v>
      </c>
      <c r="B92">
        <v>8.2499999999999994E-9</v>
      </c>
    </row>
    <row r="93" spans="1:2" x14ac:dyDescent="0.25">
      <c r="A93" s="1">
        <v>43964</v>
      </c>
      <c r="B93">
        <v>1.3824999999999998E-7</v>
      </c>
    </row>
    <row r="94" spans="1:2" x14ac:dyDescent="0.25">
      <c r="A94" s="1">
        <v>43965</v>
      </c>
      <c r="B94">
        <v>1.3300000000000002E-9</v>
      </c>
    </row>
    <row r="95" spans="1:2" x14ac:dyDescent="0.25">
      <c r="A95" s="1">
        <v>43966</v>
      </c>
      <c r="B95">
        <v>1.1499999999999999E-8</v>
      </c>
    </row>
    <row r="96" spans="1:2" x14ac:dyDescent="0.25">
      <c r="A96" s="1">
        <v>43969</v>
      </c>
      <c r="B96">
        <v>5.7799999999999995E-9</v>
      </c>
    </row>
    <row r="97" spans="1:2" x14ac:dyDescent="0.25">
      <c r="A97" s="1">
        <v>43970</v>
      </c>
      <c r="B97">
        <v>8.9999999999999999E-10</v>
      </c>
    </row>
    <row r="98" spans="1:2" x14ac:dyDescent="0.25">
      <c r="A98" s="1">
        <v>43971</v>
      </c>
      <c r="B98">
        <v>9.7260000000000012E-8</v>
      </c>
    </row>
    <row r="99" spans="1:2" x14ac:dyDescent="0.25">
      <c r="A99" s="1">
        <v>43972</v>
      </c>
      <c r="B99">
        <v>3E-11</v>
      </c>
    </row>
    <row r="100" spans="1:2" x14ac:dyDescent="0.25">
      <c r="A100" s="1">
        <v>43973</v>
      </c>
      <c r="B100">
        <v>1.0000000000000001E-11</v>
      </c>
    </row>
    <row r="101" spans="1:2" x14ac:dyDescent="0.25">
      <c r="A101" s="1">
        <v>43977</v>
      </c>
      <c r="B101">
        <v>1.0000000000000001E-11</v>
      </c>
    </row>
    <row r="102" spans="1:2" x14ac:dyDescent="0.25">
      <c r="A102" s="1">
        <v>43978</v>
      </c>
      <c r="B102">
        <v>4.3259999999999998E-8</v>
      </c>
    </row>
    <row r="103" spans="1:2" x14ac:dyDescent="0.25">
      <c r="A103" s="1">
        <v>43979</v>
      </c>
      <c r="B103">
        <v>0</v>
      </c>
    </row>
    <row r="104" spans="1:2" x14ac:dyDescent="0.25">
      <c r="A104" s="1">
        <v>43980</v>
      </c>
      <c r="B104">
        <v>1.325E-8</v>
      </c>
    </row>
    <row r="105" spans="1:2" x14ac:dyDescent="0.25">
      <c r="A105" s="1">
        <v>43983</v>
      </c>
      <c r="B105">
        <v>0</v>
      </c>
    </row>
    <row r="106" spans="1:2" x14ac:dyDescent="0.25">
      <c r="A106" s="1">
        <v>43984</v>
      </c>
      <c r="B106">
        <v>2.0129999999999999E-8</v>
      </c>
    </row>
    <row r="107" spans="1:2" x14ac:dyDescent="0.25">
      <c r="A107" s="1">
        <v>43985</v>
      </c>
      <c r="B107">
        <v>1.2999999999999999E-10</v>
      </c>
    </row>
    <row r="108" spans="1:2" x14ac:dyDescent="0.25">
      <c r="A108" s="1">
        <v>43986</v>
      </c>
      <c r="B108">
        <v>0</v>
      </c>
    </row>
    <row r="109" spans="1:2" x14ac:dyDescent="0.25">
      <c r="A109" s="1">
        <v>43987</v>
      </c>
      <c r="B109">
        <v>0</v>
      </c>
    </row>
    <row r="110" spans="1:2" x14ac:dyDescent="0.25">
      <c r="A110" s="1">
        <v>43990</v>
      </c>
      <c r="B110">
        <v>0</v>
      </c>
    </row>
    <row r="111" spans="1:2" x14ac:dyDescent="0.25">
      <c r="A111" s="1">
        <v>43991</v>
      </c>
      <c r="B111">
        <v>1.2520000000000001E-8</v>
      </c>
    </row>
    <row r="112" spans="1:2" x14ac:dyDescent="0.25">
      <c r="A112" s="1">
        <v>43992</v>
      </c>
      <c r="B112">
        <v>1.2E-10</v>
      </c>
    </row>
    <row r="113" spans="1:2" x14ac:dyDescent="0.25">
      <c r="A113" s="1">
        <v>43993</v>
      </c>
      <c r="B113">
        <v>3.7499999999999997E-9</v>
      </c>
    </row>
    <row r="114" spans="1:2" x14ac:dyDescent="0.25">
      <c r="A114" s="1">
        <v>43994</v>
      </c>
      <c r="B114">
        <v>0</v>
      </c>
    </row>
    <row r="115" spans="1:2" x14ac:dyDescent="0.25">
      <c r="A115" s="1">
        <v>43997</v>
      </c>
      <c r="B115">
        <v>3E-11</v>
      </c>
    </row>
    <row r="116" spans="1:2" x14ac:dyDescent="0.25">
      <c r="A116" s="1">
        <v>43998</v>
      </c>
      <c r="B116">
        <v>4.0000000000000001E-8</v>
      </c>
    </row>
    <row r="117" spans="1:2" x14ac:dyDescent="0.25">
      <c r="A117" s="1">
        <v>43999</v>
      </c>
      <c r="B117">
        <v>1.0000000000000001E-11</v>
      </c>
    </row>
    <row r="118" spans="1:2" x14ac:dyDescent="0.25">
      <c r="A118" s="1">
        <v>44000</v>
      </c>
      <c r="B118">
        <v>1.0000000000000001E-11</v>
      </c>
    </row>
    <row r="119" spans="1:2" x14ac:dyDescent="0.25">
      <c r="A119" s="1">
        <v>44001</v>
      </c>
      <c r="B119">
        <v>1.0000000000000001E-11</v>
      </c>
    </row>
    <row r="120" spans="1:2" x14ac:dyDescent="0.25">
      <c r="A120" s="1">
        <v>44004</v>
      </c>
      <c r="B120">
        <v>1E-10</v>
      </c>
    </row>
    <row r="121" spans="1:2" x14ac:dyDescent="0.25">
      <c r="A121" s="1">
        <v>44005</v>
      </c>
      <c r="B121">
        <v>1.0999999999999999E-10</v>
      </c>
    </row>
    <row r="122" spans="1:2" x14ac:dyDescent="0.25">
      <c r="A122" s="1">
        <v>44006</v>
      </c>
      <c r="B122">
        <v>1.0000000000000001E-11</v>
      </c>
    </row>
    <row r="123" spans="1:2" x14ac:dyDescent="0.25">
      <c r="A123" s="1">
        <v>44007</v>
      </c>
      <c r="B123">
        <v>1.0000000000000001E-11</v>
      </c>
    </row>
    <row r="124" spans="1:2" x14ac:dyDescent="0.25">
      <c r="A124" s="1">
        <v>44008</v>
      </c>
      <c r="B124">
        <v>2.0000000000000001E-9</v>
      </c>
    </row>
    <row r="125" spans="1:2" x14ac:dyDescent="0.25">
      <c r="A125" s="1">
        <v>44011</v>
      </c>
      <c r="B125">
        <v>2.5000000000000001E-9</v>
      </c>
    </row>
    <row r="126" spans="1:2" x14ac:dyDescent="0.25">
      <c r="A126" s="1">
        <v>44012</v>
      </c>
      <c r="B126">
        <v>9.499999999999999E-9</v>
      </c>
    </row>
    <row r="127" spans="1:2" x14ac:dyDescent="0.25">
      <c r="A127" s="1">
        <v>44013</v>
      </c>
      <c r="B127">
        <v>2.0000000000000002E-11</v>
      </c>
    </row>
    <row r="128" spans="1:2" x14ac:dyDescent="0.25">
      <c r="A128" s="1">
        <v>44014</v>
      </c>
      <c r="B128">
        <v>0</v>
      </c>
    </row>
    <row r="129" spans="1:2" x14ac:dyDescent="0.25">
      <c r="A129" s="1">
        <v>44018</v>
      </c>
      <c r="B129">
        <v>0</v>
      </c>
    </row>
    <row r="130" spans="1:2" x14ac:dyDescent="0.25">
      <c r="A130" s="1">
        <v>44019</v>
      </c>
      <c r="B130">
        <v>3E-11</v>
      </c>
    </row>
    <row r="131" spans="1:2" x14ac:dyDescent="0.25">
      <c r="A131" s="1">
        <v>44020</v>
      </c>
      <c r="B131">
        <v>1.0000000000000001E-11</v>
      </c>
    </row>
    <row r="132" spans="1:2" x14ac:dyDescent="0.25">
      <c r="A132" s="1">
        <v>44021</v>
      </c>
      <c r="B132">
        <v>0</v>
      </c>
    </row>
    <row r="133" spans="1:2" x14ac:dyDescent="0.25">
      <c r="A133" s="1">
        <v>44022</v>
      </c>
      <c r="B133">
        <v>0</v>
      </c>
    </row>
    <row r="134" spans="1:2" x14ac:dyDescent="0.25">
      <c r="A134" s="1">
        <v>44025</v>
      </c>
      <c r="B134">
        <v>1.0000000000000001E-11</v>
      </c>
    </row>
    <row r="135" spans="1:2" x14ac:dyDescent="0.25">
      <c r="A135" s="1">
        <v>44026</v>
      </c>
      <c r="B135">
        <v>1.0000000000000001E-11</v>
      </c>
    </row>
    <row r="136" spans="1:2" x14ac:dyDescent="0.25">
      <c r="A136" s="1">
        <v>44027</v>
      </c>
      <c r="B136">
        <v>1.0000000000000001E-11</v>
      </c>
    </row>
    <row r="137" spans="1:2" x14ac:dyDescent="0.25">
      <c r="A137" s="1">
        <v>44028</v>
      </c>
      <c r="B137">
        <v>1.0000000000000001E-11</v>
      </c>
    </row>
    <row r="138" spans="1:2" x14ac:dyDescent="0.25">
      <c r="A138" s="1">
        <v>44029</v>
      </c>
      <c r="B138">
        <v>0</v>
      </c>
    </row>
    <row r="139" spans="1:2" x14ac:dyDescent="0.25">
      <c r="A139" s="1">
        <v>44032</v>
      </c>
      <c r="B139">
        <v>3E-11</v>
      </c>
    </row>
    <row r="140" spans="1:2" x14ac:dyDescent="0.25">
      <c r="A140" s="1">
        <v>44033</v>
      </c>
      <c r="B140">
        <v>0</v>
      </c>
    </row>
    <row r="141" spans="1:2" x14ac:dyDescent="0.25">
      <c r="A141" s="1">
        <v>44034</v>
      </c>
      <c r="B141">
        <v>0</v>
      </c>
    </row>
    <row r="142" spans="1:2" x14ac:dyDescent="0.25">
      <c r="A142" s="1">
        <v>44035</v>
      </c>
      <c r="B142">
        <v>0</v>
      </c>
    </row>
    <row r="143" spans="1:2" x14ac:dyDescent="0.25">
      <c r="A143" s="1">
        <v>44036</v>
      </c>
      <c r="B143">
        <v>0</v>
      </c>
    </row>
    <row r="144" spans="1:2" x14ac:dyDescent="0.25">
      <c r="A144" s="1">
        <v>44039</v>
      </c>
      <c r="B144">
        <v>0</v>
      </c>
    </row>
    <row r="145" spans="1:2" x14ac:dyDescent="0.25">
      <c r="A145" s="1">
        <v>44040</v>
      </c>
      <c r="B145">
        <v>0</v>
      </c>
    </row>
    <row r="146" spans="1:2" x14ac:dyDescent="0.25">
      <c r="A146" s="1">
        <v>44041</v>
      </c>
      <c r="B146">
        <v>1.0000000000000001E-11</v>
      </c>
    </row>
    <row r="147" spans="1:2" x14ac:dyDescent="0.25">
      <c r="A147" s="1">
        <v>44042</v>
      </c>
      <c r="B147">
        <v>3.0699999999999999E-9</v>
      </c>
    </row>
    <row r="148" spans="1:2" x14ac:dyDescent="0.25">
      <c r="A148" s="1">
        <v>44043</v>
      </c>
      <c r="B148">
        <v>1.5E-9</v>
      </c>
    </row>
    <row r="149" spans="1:2" x14ac:dyDescent="0.25">
      <c r="A149" s="1">
        <v>44046</v>
      </c>
      <c r="B149">
        <v>0</v>
      </c>
    </row>
    <row r="150" spans="1:2" x14ac:dyDescent="0.25">
      <c r="A150" s="1">
        <v>44047</v>
      </c>
      <c r="B150">
        <v>5.0000000000000002E-11</v>
      </c>
    </row>
    <row r="151" spans="1:2" x14ac:dyDescent="0.25">
      <c r="A151" s="1">
        <v>44048</v>
      </c>
      <c r="B151">
        <v>0</v>
      </c>
    </row>
    <row r="152" spans="1:2" x14ac:dyDescent="0.25">
      <c r="A152" s="1">
        <v>44049</v>
      </c>
      <c r="B152">
        <v>0</v>
      </c>
    </row>
    <row r="153" spans="1:2" x14ac:dyDescent="0.25">
      <c r="A153" s="1">
        <v>44050</v>
      </c>
      <c r="B153">
        <v>0</v>
      </c>
    </row>
    <row r="154" spans="1:2" x14ac:dyDescent="0.25">
      <c r="A154" s="1">
        <v>44053</v>
      </c>
      <c r="B154">
        <v>8.0000000000000008E-11</v>
      </c>
    </row>
    <row r="155" spans="1:2" x14ac:dyDescent="0.25">
      <c r="A155" s="1">
        <v>44054</v>
      </c>
      <c r="B155">
        <v>0</v>
      </c>
    </row>
    <row r="156" spans="1:2" x14ac:dyDescent="0.25">
      <c r="A156" s="1">
        <v>44055</v>
      </c>
      <c r="B156">
        <v>1.03E-9</v>
      </c>
    </row>
    <row r="157" spans="1:2" x14ac:dyDescent="0.25">
      <c r="A157" s="1">
        <v>44056</v>
      </c>
      <c r="B157">
        <v>1.26E-9</v>
      </c>
    </row>
    <row r="158" spans="1:2" x14ac:dyDescent="0.25">
      <c r="A158" s="1">
        <v>44057</v>
      </c>
      <c r="B158">
        <v>1.0000000000000001E-11</v>
      </c>
    </row>
    <row r="159" spans="1:2" x14ac:dyDescent="0.25">
      <c r="A159" s="1">
        <v>44060</v>
      </c>
      <c r="B159">
        <v>5.4E-10</v>
      </c>
    </row>
    <row r="160" spans="1:2" x14ac:dyDescent="0.25">
      <c r="A160" s="1">
        <v>44061</v>
      </c>
      <c r="B160">
        <v>2.0000000000000002E-11</v>
      </c>
    </row>
    <row r="161" spans="1:2" x14ac:dyDescent="0.25">
      <c r="A161" s="1">
        <v>44062</v>
      </c>
      <c r="B161">
        <v>1.1200000000000001E-9</v>
      </c>
    </row>
    <row r="162" spans="1:2" x14ac:dyDescent="0.25">
      <c r="A162" s="1">
        <v>44063</v>
      </c>
      <c r="B162">
        <v>1.5E-9</v>
      </c>
    </row>
    <row r="163" spans="1:2" x14ac:dyDescent="0.25">
      <c r="A163" s="1">
        <v>44064</v>
      </c>
      <c r="B163">
        <v>0</v>
      </c>
    </row>
    <row r="164" spans="1:2" x14ac:dyDescent="0.25">
      <c r="A164" s="1">
        <v>44067</v>
      </c>
      <c r="B164">
        <v>0</v>
      </c>
    </row>
    <row r="165" spans="1:2" x14ac:dyDescent="0.25">
      <c r="A165" s="1">
        <v>44068</v>
      </c>
      <c r="B165">
        <v>1.2E-10</v>
      </c>
    </row>
    <row r="166" spans="1:2" x14ac:dyDescent="0.25">
      <c r="A166" s="1">
        <v>44069</v>
      </c>
      <c r="B166">
        <v>8.9999999999999999E-11</v>
      </c>
    </row>
    <row r="167" spans="1:2" x14ac:dyDescent="0.25">
      <c r="A167" s="1">
        <v>44070</v>
      </c>
      <c r="B167">
        <v>2.0000000000000002E-11</v>
      </c>
    </row>
    <row r="168" spans="1:2" x14ac:dyDescent="0.25">
      <c r="A168" s="1">
        <v>44071</v>
      </c>
      <c r="B168">
        <v>0</v>
      </c>
    </row>
    <row r="169" spans="1:2" x14ac:dyDescent="0.25">
      <c r="A169" s="1">
        <v>44074</v>
      </c>
      <c r="B169">
        <v>1.0999999999999999E-10</v>
      </c>
    </row>
    <row r="170" spans="1:2" x14ac:dyDescent="0.25">
      <c r="A170" s="1">
        <v>44075</v>
      </c>
      <c r="B170">
        <v>8.0000000000000008E-11</v>
      </c>
    </row>
    <row r="171" spans="1:2" x14ac:dyDescent="0.25">
      <c r="A171" s="1">
        <v>44076</v>
      </c>
      <c r="B171">
        <v>1.4000000000000001E-10</v>
      </c>
    </row>
    <row r="172" spans="1:2" x14ac:dyDescent="0.25">
      <c r="A172" s="1">
        <v>44077</v>
      </c>
      <c r="B172">
        <v>0</v>
      </c>
    </row>
    <row r="173" spans="1:2" x14ac:dyDescent="0.25">
      <c r="A173" s="1">
        <v>44078</v>
      </c>
      <c r="B173">
        <v>0</v>
      </c>
    </row>
    <row r="174" spans="1:2" x14ac:dyDescent="0.25">
      <c r="A174" s="1">
        <v>44082</v>
      </c>
      <c r="B174">
        <v>0</v>
      </c>
    </row>
    <row r="175" spans="1:2" x14ac:dyDescent="0.25">
      <c r="A175" s="1">
        <v>44083</v>
      </c>
      <c r="B175">
        <v>1.0000000000000001E-11</v>
      </c>
    </row>
    <row r="176" spans="1:2" x14ac:dyDescent="0.25">
      <c r="A176" s="1">
        <v>44084</v>
      </c>
      <c r="B176">
        <v>1E-10</v>
      </c>
    </row>
    <row r="177" spans="1:2" x14ac:dyDescent="0.25">
      <c r="A177" s="1">
        <v>44085</v>
      </c>
      <c r="B177">
        <v>0</v>
      </c>
    </row>
    <row r="178" spans="1:2" x14ac:dyDescent="0.25">
      <c r="A178" s="1">
        <v>44088</v>
      </c>
      <c r="B178">
        <v>1.0000000000000001E-11</v>
      </c>
    </row>
    <row r="179" spans="1:2" x14ac:dyDescent="0.25">
      <c r="A179" s="1">
        <v>44089</v>
      </c>
      <c r="B179">
        <v>2.0000000000000002E-11</v>
      </c>
    </row>
    <row r="180" spans="1:2" x14ac:dyDescent="0.25">
      <c r="A180" s="1">
        <v>44090</v>
      </c>
      <c r="B180">
        <v>5.4999999999999996E-10</v>
      </c>
    </row>
    <row r="181" spans="1:2" x14ac:dyDescent="0.25">
      <c r="A181" s="1">
        <v>44091</v>
      </c>
      <c r="B181">
        <v>1.0000000000000001E-11</v>
      </c>
    </row>
    <row r="182" spans="1:2" x14ac:dyDescent="0.25">
      <c r="A182" s="1">
        <v>44092</v>
      </c>
      <c r="B182">
        <v>0</v>
      </c>
    </row>
    <row r="183" spans="1:2" x14ac:dyDescent="0.25">
      <c r="A183" s="1">
        <v>44095</v>
      </c>
      <c r="B183">
        <v>5.4E-10</v>
      </c>
    </row>
    <row r="184" spans="1:2" x14ac:dyDescent="0.25">
      <c r="A184" s="1">
        <v>44096</v>
      </c>
      <c r="B184">
        <v>0</v>
      </c>
    </row>
    <row r="185" spans="1:2" x14ac:dyDescent="0.25">
      <c r="A185" s="1">
        <v>44097</v>
      </c>
      <c r="B185">
        <v>1.0000000000000001E-11</v>
      </c>
    </row>
    <row r="186" spans="1:2" x14ac:dyDescent="0.25">
      <c r="A186" s="1">
        <v>44098</v>
      </c>
      <c r="B186">
        <v>4.0000000000000004E-11</v>
      </c>
    </row>
    <row r="187" spans="1:2" x14ac:dyDescent="0.25">
      <c r="A187" s="1">
        <v>44099</v>
      </c>
      <c r="B187">
        <v>0</v>
      </c>
    </row>
    <row r="188" spans="1:2" x14ac:dyDescent="0.25">
      <c r="A188" s="1">
        <v>44102</v>
      </c>
      <c r="B188">
        <v>0</v>
      </c>
    </row>
    <row r="189" spans="1:2" x14ac:dyDescent="0.25">
      <c r="A189" s="1">
        <v>44103</v>
      </c>
      <c r="B189">
        <v>1.3009999999999999E-8</v>
      </c>
    </row>
    <row r="190" spans="1:2" x14ac:dyDescent="0.25">
      <c r="A190" s="1">
        <v>44104</v>
      </c>
      <c r="B190">
        <v>8.5E-9</v>
      </c>
    </row>
    <row r="191" spans="1:2" x14ac:dyDescent="0.25">
      <c r="A191" s="1">
        <v>44105</v>
      </c>
      <c r="B191">
        <v>1.0000000000000001E-11</v>
      </c>
    </row>
    <row r="192" spans="1:2" x14ac:dyDescent="0.25">
      <c r="A192" s="1">
        <v>44106</v>
      </c>
      <c r="B192">
        <v>0</v>
      </c>
    </row>
    <row r="193" spans="1:2" x14ac:dyDescent="0.25">
      <c r="A193" s="1">
        <v>44109</v>
      </c>
      <c r="B193">
        <v>0</v>
      </c>
    </row>
    <row r="194" spans="1:2" x14ac:dyDescent="0.25">
      <c r="A194" s="1">
        <v>44110</v>
      </c>
      <c r="B194">
        <v>0</v>
      </c>
    </row>
    <row r="195" spans="1:2" x14ac:dyDescent="0.25">
      <c r="A195" s="1">
        <v>44111</v>
      </c>
      <c r="B195">
        <v>1.0999999999999999E-10</v>
      </c>
    </row>
    <row r="196" spans="1:2" x14ac:dyDescent="0.25">
      <c r="A196" s="1">
        <v>44112</v>
      </c>
      <c r="B196">
        <v>2.1200000000000001E-9</v>
      </c>
    </row>
    <row r="197" spans="1:2" x14ac:dyDescent="0.25">
      <c r="A197" s="1">
        <v>44113</v>
      </c>
      <c r="B197">
        <v>0</v>
      </c>
    </row>
    <row r="198" spans="1:2" x14ac:dyDescent="0.25">
      <c r="A198" s="1">
        <v>44117</v>
      </c>
      <c r="B198">
        <v>0</v>
      </c>
    </row>
    <row r="199" spans="1:2" x14ac:dyDescent="0.25">
      <c r="A199" s="1">
        <v>44118</v>
      </c>
      <c r="B199">
        <v>0</v>
      </c>
    </row>
    <row r="200" spans="1:2" x14ac:dyDescent="0.25">
      <c r="A200" s="1">
        <v>44119</v>
      </c>
      <c r="B200">
        <v>1.0000000000000001E-11</v>
      </c>
    </row>
    <row r="201" spans="1:2" x14ac:dyDescent="0.25">
      <c r="A201" s="1">
        <v>44120</v>
      </c>
      <c r="B201">
        <v>2.0000000000000002E-11</v>
      </c>
    </row>
    <row r="202" spans="1:2" x14ac:dyDescent="0.25">
      <c r="A202" s="1">
        <v>44123</v>
      </c>
      <c r="B202">
        <v>4.0000000000000004E-11</v>
      </c>
    </row>
    <row r="203" spans="1:2" x14ac:dyDescent="0.25">
      <c r="A203" s="1">
        <v>44124</v>
      </c>
      <c r="B203">
        <v>7.0000000000000004E-11</v>
      </c>
    </row>
    <row r="204" spans="1:2" x14ac:dyDescent="0.25">
      <c r="A204" s="1">
        <v>44125</v>
      </c>
      <c r="B204">
        <v>0</v>
      </c>
    </row>
    <row r="205" spans="1:2" x14ac:dyDescent="0.25">
      <c r="A205" s="1">
        <v>44126</v>
      </c>
      <c r="B205">
        <v>1.0000000000000001E-11</v>
      </c>
    </row>
    <row r="206" spans="1:2" x14ac:dyDescent="0.25">
      <c r="A206" s="1">
        <v>44127</v>
      </c>
      <c r="B206">
        <v>0</v>
      </c>
    </row>
    <row r="207" spans="1:2" x14ac:dyDescent="0.25">
      <c r="A207" s="1">
        <v>44130</v>
      </c>
      <c r="B207">
        <v>1.0000000000000001E-11</v>
      </c>
    </row>
    <row r="208" spans="1:2" x14ac:dyDescent="0.25">
      <c r="A208" s="1">
        <v>44131</v>
      </c>
      <c r="B208">
        <v>0</v>
      </c>
    </row>
    <row r="209" spans="1:2" x14ac:dyDescent="0.25">
      <c r="A209" s="1">
        <v>44132</v>
      </c>
      <c r="B209">
        <v>5.0000000000000002E-11</v>
      </c>
    </row>
    <row r="210" spans="1:2" x14ac:dyDescent="0.25">
      <c r="A210" s="1">
        <v>44133</v>
      </c>
      <c r="B210">
        <v>1.4000000000000001E-10</v>
      </c>
    </row>
    <row r="211" spans="1:2" x14ac:dyDescent="0.25">
      <c r="A211" s="1">
        <v>44134</v>
      </c>
      <c r="B211">
        <v>1.0000000000000001E-11</v>
      </c>
    </row>
    <row r="212" spans="1:2" x14ac:dyDescent="0.25">
      <c r="A212" s="1">
        <v>44137</v>
      </c>
      <c r="B212">
        <v>0</v>
      </c>
    </row>
    <row r="213" spans="1:2" x14ac:dyDescent="0.25">
      <c r="A213" s="1">
        <v>44138</v>
      </c>
      <c r="B213">
        <v>0</v>
      </c>
    </row>
    <row r="214" spans="1:2" x14ac:dyDescent="0.25">
      <c r="A214" s="1">
        <v>44139</v>
      </c>
      <c r="B214">
        <v>0</v>
      </c>
    </row>
    <row r="215" spans="1:2" x14ac:dyDescent="0.25">
      <c r="A215" s="1">
        <v>44140</v>
      </c>
      <c r="B215">
        <v>0</v>
      </c>
    </row>
    <row r="216" spans="1:2" x14ac:dyDescent="0.25">
      <c r="A216" s="1">
        <v>44141</v>
      </c>
      <c r="B216">
        <v>0</v>
      </c>
    </row>
    <row r="217" spans="1:2" x14ac:dyDescent="0.25">
      <c r="A217" s="1">
        <v>44144</v>
      </c>
      <c r="B217">
        <v>0</v>
      </c>
    </row>
    <row r="218" spans="1:2" x14ac:dyDescent="0.25">
      <c r="A218" s="1">
        <v>44145</v>
      </c>
      <c r="B218">
        <v>0</v>
      </c>
    </row>
    <row r="219" spans="1:2" x14ac:dyDescent="0.25">
      <c r="A219" s="1">
        <v>44147</v>
      </c>
      <c r="B219">
        <v>0</v>
      </c>
    </row>
    <row r="220" spans="1:2" x14ac:dyDescent="0.25">
      <c r="A220" s="1">
        <v>44148</v>
      </c>
      <c r="B220">
        <v>3E-11</v>
      </c>
    </row>
    <row r="221" spans="1:2" x14ac:dyDescent="0.25">
      <c r="A221" s="1">
        <v>44151</v>
      </c>
      <c r="B221">
        <v>1.2999999999999999E-10</v>
      </c>
    </row>
    <row r="222" spans="1:2" x14ac:dyDescent="0.25">
      <c r="A222" s="1">
        <v>44152</v>
      </c>
      <c r="B222">
        <v>0</v>
      </c>
    </row>
    <row r="223" spans="1:2" x14ac:dyDescent="0.25">
      <c r="A223" s="1">
        <v>44153</v>
      </c>
      <c r="B223">
        <v>1.03E-9</v>
      </c>
    </row>
    <row r="224" spans="1:2" x14ac:dyDescent="0.25">
      <c r="A224" s="1">
        <v>44154</v>
      </c>
      <c r="B224">
        <v>2E-8</v>
      </c>
    </row>
    <row r="225" spans="1:2" x14ac:dyDescent="0.25">
      <c r="A225" s="1">
        <v>44155</v>
      </c>
      <c r="B225">
        <v>0</v>
      </c>
    </row>
    <row r="226" spans="1:2" x14ac:dyDescent="0.25">
      <c r="A226" s="1">
        <v>44158</v>
      </c>
      <c r="B226">
        <v>4.8499999999999996E-9</v>
      </c>
    </row>
    <row r="227" spans="1:2" x14ac:dyDescent="0.25">
      <c r="A227" s="1">
        <v>44159</v>
      </c>
      <c r="B227">
        <v>1.0000000000000001E-11</v>
      </c>
    </row>
    <row r="228" spans="1:2" x14ac:dyDescent="0.25">
      <c r="A228" s="1">
        <v>44160</v>
      </c>
      <c r="B228">
        <v>0</v>
      </c>
    </row>
    <row r="229" spans="1:2" x14ac:dyDescent="0.25">
      <c r="A229" s="1">
        <v>44162</v>
      </c>
      <c r="B229">
        <v>0</v>
      </c>
    </row>
    <row r="230" spans="1:2" x14ac:dyDescent="0.25">
      <c r="A230" s="1">
        <v>44165</v>
      </c>
      <c r="B230">
        <v>6E-11</v>
      </c>
    </row>
    <row r="231" spans="1:2" x14ac:dyDescent="0.25">
      <c r="A231" s="1">
        <v>44166</v>
      </c>
      <c r="B231">
        <v>2.0000000000000002E-11</v>
      </c>
    </row>
    <row r="232" spans="1:2" x14ac:dyDescent="0.25">
      <c r="A232" s="1">
        <v>44167</v>
      </c>
      <c r="B232">
        <v>1.0000000000000001E-11</v>
      </c>
    </row>
    <row r="233" spans="1:2" x14ac:dyDescent="0.25">
      <c r="A233" s="1">
        <v>44168</v>
      </c>
      <c r="B233">
        <v>0</v>
      </c>
    </row>
    <row r="234" spans="1:2" x14ac:dyDescent="0.25">
      <c r="A234" s="1">
        <v>44169</v>
      </c>
      <c r="B234">
        <v>0</v>
      </c>
    </row>
    <row r="235" spans="1:2" x14ac:dyDescent="0.25">
      <c r="A235" s="1">
        <v>44172</v>
      </c>
      <c r="B235">
        <v>1.0000000000000001E-11</v>
      </c>
    </row>
    <row r="236" spans="1:2" x14ac:dyDescent="0.25">
      <c r="A236" s="1">
        <v>44173</v>
      </c>
      <c r="B236">
        <v>1.0000000000000001E-11</v>
      </c>
    </row>
    <row r="237" spans="1:2" x14ac:dyDescent="0.25">
      <c r="A237" s="1">
        <v>44174</v>
      </c>
      <c r="B237">
        <v>3E-11</v>
      </c>
    </row>
    <row r="238" spans="1:2" x14ac:dyDescent="0.25">
      <c r="A238" s="1">
        <v>44175</v>
      </c>
      <c r="B238">
        <v>1.0000000000000001E-11</v>
      </c>
    </row>
    <row r="239" spans="1:2" x14ac:dyDescent="0.25">
      <c r="A239" s="1">
        <v>44176</v>
      </c>
      <c r="B239">
        <v>0</v>
      </c>
    </row>
    <row r="240" spans="1:2" x14ac:dyDescent="0.25">
      <c r="A240" s="1">
        <v>44179</v>
      </c>
      <c r="B240">
        <v>1.0000000000000001E-9</v>
      </c>
    </row>
    <row r="241" spans="1:2" x14ac:dyDescent="0.25">
      <c r="A241" s="1">
        <v>44180</v>
      </c>
      <c r="B241">
        <v>1.0000000000000001E-11</v>
      </c>
    </row>
    <row r="242" spans="1:2" x14ac:dyDescent="0.25">
      <c r="A242" s="1">
        <v>44181</v>
      </c>
      <c r="B242">
        <v>2.5999999999999998E-10</v>
      </c>
    </row>
    <row r="243" spans="1:2" x14ac:dyDescent="0.25">
      <c r="A243" s="1">
        <v>44182</v>
      </c>
      <c r="B243">
        <v>1.4000000000000001E-10</v>
      </c>
    </row>
    <row r="244" spans="1:2" x14ac:dyDescent="0.25">
      <c r="A244" s="1">
        <v>44183</v>
      </c>
      <c r="B244">
        <v>3.2000000000000003E-10</v>
      </c>
    </row>
    <row r="245" spans="1:2" x14ac:dyDescent="0.25">
      <c r="A245" s="1">
        <v>44186</v>
      </c>
      <c r="B245">
        <v>4.3500000000000001E-9</v>
      </c>
    </row>
    <row r="246" spans="1:2" x14ac:dyDescent="0.25">
      <c r="A246" s="1">
        <v>44187</v>
      </c>
      <c r="B246">
        <v>4.0600000000000005E-9</v>
      </c>
    </row>
    <row r="247" spans="1:2" x14ac:dyDescent="0.25">
      <c r="A247" s="1">
        <v>44188</v>
      </c>
      <c r="B247">
        <v>8.57E-9</v>
      </c>
    </row>
    <row r="248" spans="1:2" x14ac:dyDescent="0.25">
      <c r="A248" s="1">
        <v>44189</v>
      </c>
      <c r="B248">
        <v>1E-10</v>
      </c>
    </row>
    <row r="249" spans="1:2" x14ac:dyDescent="0.25">
      <c r="A249" s="1">
        <v>44193</v>
      </c>
      <c r="B249">
        <v>9.0100000000000009E-9</v>
      </c>
    </row>
    <row r="250" spans="1:2" x14ac:dyDescent="0.25">
      <c r="A250" s="1">
        <v>44194</v>
      </c>
      <c r="B250">
        <v>2.57E-9</v>
      </c>
    </row>
    <row r="251" spans="1:2" x14ac:dyDescent="0.25">
      <c r="A251" s="1">
        <v>44195</v>
      </c>
      <c r="B251">
        <v>6.5200000000000006E-9</v>
      </c>
    </row>
    <row r="252" spans="1:2" x14ac:dyDescent="0.25">
      <c r="A252" s="1">
        <v>44196</v>
      </c>
      <c r="B252">
        <v>9.6509999999999995E-8</v>
      </c>
    </row>
    <row r="253" spans="1:2" x14ac:dyDescent="0.25">
      <c r="A253" s="1">
        <v>44200</v>
      </c>
      <c r="B253">
        <v>1.0000000000000001E-11</v>
      </c>
    </row>
    <row r="254" spans="1:2" x14ac:dyDescent="0.25">
      <c r="A254" s="1">
        <v>44201</v>
      </c>
      <c r="B254">
        <v>5.0000000000000002E-11</v>
      </c>
    </row>
    <row r="255" spans="1:2" x14ac:dyDescent="0.25">
      <c r="A255" s="1">
        <v>44202</v>
      </c>
      <c r="B255">
        <v>4.0000000000000004E-11</v>
      </c>
    </row>
    <row r="256" spans="1:2" x14ac:dyDescent="0.25">
      <c r="A256" s="1">
        <v>44203</v>
      </c>
      <c r="B256">
        <v>1.0000000000000001E-11</v>
      </c>
    </row>
    <row r="257" spans="1:2" x14ac:dyDescent="0.25">
      <c r="A257" s="1">
        <v>44204</v>
      </c>
      <c r="B257">
        <v>0</v>
      </c>
    </row>
    <row r="258" spans="1:2" x14ac:dyDescent="0.25">
      <c r="A258" s="1">
        <v>44207</v>
      </c>
      <c r="B258">
        <v>0</v>
      </c>
    </row>
    <row r="259" spans="1:2" x14ac:dyDescent="0.25">
      <c r="A259" s="1">
        <v>44208</v>
      </c>
      <c r="B259">
        <v>0</v>
      </c>
    </row>
    <row r="260" spans="1:2" x14ac:dyDescent="0.25">
      <c r="A260" s="1">
        <v>44209</v>
      </c>
      <c r="B260">
        <v>0</v>
      </c>
    </row>
    <row r="261" spans="1:2" x14ac:dyDescent="0.25">
      <c r="A261" s="1">
        <v>44210</v>
      </c>
      <c r="B261">
        <v>6E-9</v>
      </c>
    </row>
    <row r="262" spans="1:2" x14ac:dyDescent="0.25">
      <c r="A262" s="1">
        <v>44211</v>
      </c>
      <c r="B262">
        <v>0</v>
      </c>
    </row>
    <row r="263" spans="1:2" x14ac:dyDescent="0.25">
      <c r="A263" s="1">
        <v>44215</v>
      </c>
      <c r="B263">
        <v>4.0000000000000004E-11</v>
      </c>
    </row>
    <row r="264" spans="1:2" x14ac:dyDescent="0.25">
      <c r="A264" s="1">
        <v>44216</v>
      </c>
      <c r="B264">
        <v>1.8060000000000001E-8</v>
      </c>
    </row>
    <row r="265" spans="1:2" x14ac:dyDescent="0.25">
      <c r="A265" s="1">
        <v>44217</v>
      </c>
      <c r="B265">
        <v>1.2010000000000001E-8</v>
      </c>
    </row>
    <row r="266" spans="1:2" x14ac:dyDescent="0.25">
      <c r="A266" s="1">
        <v>44218</v>
      </c>
      <c r="B266">
        <v>0</v>
      </c>
    </row>
    <row r="267" spans="1:2" x14ac:dyDescent="0.25">
      <c r="A267" s="1">
        <v>44221</v>
      </c>
      <c r="B267">
        <v>2.2000000000000002E-8</v>
      </c>
    </row>
    <row r="268" spans="1:2" x14ac:dyDescent="0.25">
      <c r="A268" s="1">
        <v>44222</v>
      </c>
      <c r="B268">
        <v>1.6309999999999998E-8</v>
      </c>
    </row>
    <row r="269" spans="1:2" x14ac:dyDescent="0.25">
      <c r="A269" s="1">
        <v>44223</v>
      </c>
      <c r="B269">
        <v>1.152E-8</v>
      </c>
    </row>
    <row r="270" spans="1:2" x14ac:dyDescent="0.25">
      <c r="A270" s="1">
        <v>44224</v>
      </c>
      <c r="B270">
        <v>2.655E-8</v>
      </c>
    </row>
    <row r="271" spans="1:2" x14ac:dyDescent="0.25">
      <c r="A271" s="1">
        <v>44225</v>
      </c>
      <c r="B271">
        <v>7.1E-8</v>
      </c>
    </row>
    <row r="272" spans="1:2" x14ac:dyDescent="0.25">
      <c r="A272" s="1">
        <v>44228</v>
      </c>
      <c r="B272">
        <v>1.2E-10</v>
      </c>
    </row>
    <row r="273" spans="1:2" x14ac:dyDescent="0.25">
      <c r="A273" s="1">
        <v>44229</v>
      </c>
      <c r="B273">
        <v>1.0999999999999999E-10</v>
      </c>
    </row>
    <row r="274" spans="1:2" x14ac:dyDescent="0.25">
      <c r="A274" s="1">
        <v>44230</v>
      </c>
      <c r="B274">
        <v>1.7799999999999999E-9</v>
      </c>
    </row>
    <row r="275" spans="1:2" x14ac:dyDescent="0.25">
      <c r="A275" s="1">
        <v>44231</v>
      </c>
      <c r="B275">
        <v>5.0000000000000001E-9</v>
      </c>
    </row>
    <row r="276" spans="1:2" x14ac:dyDescent="0.25">
      <c r="A276" s="1">
        <v>44232</v>
      </c>
      <c r="B276">
        <v>1E-10</v>
      </c>
    </row>
    <row r="277" spans="1:2" x14ac:dyDescent="0.25">
      <c r="A277" s="1">
        <v>44235</v>
      </c>
      <c r="B277">
        <v>2.0000000000000002E-11</v>
      </c>
    </row>
    <row r="278" spans="1:2" x14ac:dyDescent="0.25">
      <c r="A278" s="1">
        <v>44236</v>
      </c>
      <c r="B278">
        <v>1.0000000000000001E-11</v>
      </c>
    </row>
    <row r="279" spans="1:2" x14ac:dyDescent="0.25">
      <c r="A279" s="1">
        <v>44237</v>
      </c>
      <c r="B279">
        <v>0</v>
      </c>
    </row>
    <row r="280" spans="1:2" x14ac:dyDescent="0.25">
      <c r="A280" s="1">
        <v>44238</v>
      </c>
      <c r="B280">
        <v>1.08E-9</v>
      </c>
    </row>
    <row r="281" spans="1:2" x14ac:dyDescent="0.25">
      <c r="A281" s="1">
        <v>44239</v>
      </c>
      <c r="B281">
        <v>1.0000000000000001E-11</v>
      </c>
    </row>
    <row r="282" spans="1:2" x14ac:dyDescent="0.25">
      <c r="A282" s="1">
        <v>44243</v>
      </c>
      <c r="B282">
        <v>4.0000000000000004E-11</v>
      </c>
    </row>
    <row r="283" spans="1:2" x14ac:dyDescent="0.25">
      <c r="A283" s="1">
        <v>44244</v>
      </c>
      <c r="B283">
        <v>5.0000000000000003E-10</v>
      </c>
    </row>
    <row r="284" spans="1:2" x14ac:dyDescent="0.25">
      <c r="A284" s="1">
        <v>44245</v>
      </c>
      <c r="B284">
        <v>0</v>
      </c>
    </row>
    <row r="285" spans="1:2" x14ac:dyDescent="0.25">
      <c r="A285" s="1">
        <v>44246</v>
      </c>
      <c r="B285">
        <v>2.0000000000000002E-11</v>
      </c>
    </row>
    <row r="286" spans="1:2" x14ac:dyDescent="0.25">
      <c r="A286" s="1">
        <v>44249</v>
      </c>
      <c r="B286">
        <v>1.1000000000000001E-8</v>
      </c>
    </row>
    <row r="287" spans="1:2" x14ac:dyDescent="0.25">
      <c r="A287" s="1">
        <v>44250</v>
      </c>
      <c r="B287">
        <v>4.3500000000000001E-9</v>
      </c>
    </row>
    <row r="288" spans="1:2" x14ac:dyDescent="0.25">
      <c r="A288" s="1">
        <v>44251</v>
      </c>
      <c r="B288">
        <v>1.0000000000000001E-11</v>
      </c>
    </row>
    <row r="289" spans="1:2" x14ac:dyDescent="0.25">
      <c r="A289" s="1">
        <v>44252</v>
      </c>
      <c r="B289">
        <v>9.9760000000000015E-8</v>
      </c>
    </row>
    <row r="290" spans="1:2" x14ac:dyDescent="0.25">
      <c r="A290" s="1">
        <v>44253</v>
      </c>
      <c r="B290">
        <v>1.12E-7</v>
      </c>
    </row>
    <row r="291" spans="1:2" x14ac:dyDescent="0.25">
      <c r="A291" s="1">
        <v>44256</v>
      </c>
      <c r="B291">
        <v>0</v>
      </c>
    </row>
    <row r="292" spans="1:2" x14ac:dyDescent="0.25">
      <c r="A292" s="1">
        <v>44257</v>
      </c>
      <c r="B292">
        <v>5.0000000000000002E-11</v>
      </c>
    </row>
    <row r="293" spans="1:2" x14ac:dyDescent="0.25">
      <c r="A293" s="1">
        <v>44258</v>
      </c>
      <c r="B293">
        <v>5.0700000000000001E-9</v>
      </c>
    </row>
    <row r="294" spans="1:2" x14ac:dyDescent="0.25">
      <c r="A294" s="1">
        <v>44259</v>
      </c>
      <c r="B294">
        <v>2.0999999999999999E-8</v>
      </c>
    </row>
    <row r="295" spans="1:2" x14ac:dyDescent="0.25">
      <c r="A295" s="1">
        <v>44260</v>
      </c>
      <c r="B295">
        <v>1E-8</v>
      </c>
    </row>
    <row r="296" spans="1:2" x14ac:dyDescent="0.25">
      <c r="A296" s="1">
        <v>44263</v>
      </c>
      <c r="B296">
        <v>2.5000000000000002E-10</v>
      </c>
    </row>
    <row r="297" spans="1:2" x14ac:dyDescent="0.25">
      <c r="A297" s="1">
        <v>44264</v>
      </c>
      <c r="B297">
        <v>0</v>
      </c>
    </row>
    <row r="298" spans="1:2" x14ac:dyDescent="0.25">
      <c r="A298" s="1">
        <v>44265</v>
      </c>
      <c r="B298">
        <v>1.0000000000000001E-9</v>
      </c>
    </row>
    <row r="299" spans="1:2" x14ac:dyDescent="0.25">
      <c r="A299" s="1">
        <v>44266</v>
      </c>
      <c r="B299">
        <v>1.1051E-7</v>
      </c>
    </row>
    <row r="300" spans="1:2" x14ac:dyDescent="0.25">
      <c r="A300" s="1">
        <v>44267</v>
      </c>
      <c r="B300">
        <v>6.8E-8</v>
      </c>
    </row>
    <row r="301" spans="1:2" x14ac:dyDescent="0.25">
      <c r="A301" s="1">
        <v>44270</v>
      </c>
      <c r="B301">
        <v>3E-11</v>
      </c>
    </row>
    <row r="302" spans="1:2" x14ac:dyDescent="0.25">
      <c r="A302" s="1">
        <v>44271</v>
      </c>
      <c r="B302">
        <v>7.0199999999999993E-9</v>
      </c>
    </row>
    <row r="303" spans="1:2" x14ac:dyDescent="0.25">
      <c r="A303" s="1">
        <v>44272</v>
      </c>
      <c r="B303">
        <v>0</v>
      </c>
    </row>
    <row r="304" spans="1:2" x14ac:dyDescent="0.25">
      <c r="A304" s="1">
        <v>44273</v>
      </c>
      <c r="B304">
        <v>2.657E-7</v>
      </c>
    </row>
    <row r="305" spans="1:2" x14ac:dyDescent="0.25">
      <c r="A305" s="1">
        <v>44274</v>
      </c>
      <c r="B305">
        <v>1.8908000000000002E-7</v>
      </c>
    </row>
    <row r="306" spans="1:2" x14ac:dyDescent="0.25">
      <c r="A306" s="1">
        <v>44277</v>
      </c>
      <c r="B306">
        <v>2.2242E-7</v>
      </c>
    </row>
    <row r="307" spans="1:2" x14ac:dyDescent="0.25">
      <c r="A307" s="1">
        <v>44278</v>
      </c>
      <c r="B307">
        <v>1.9525999999999999E-7</v>
      </c>
    </row>
    <row r="308" spans="1:2" x14ac:dyDescent="0.25">
      <c r="A308" s="1">
        <v>44279</v>
      </c>
      <c r="B308">
        <v>2.1902000000000001E-7</v>
      </c>
    </row>
    <row r="309" spans="1:2" x14ac:dyDescent="0.25">
      <c r="A309" s="1">
        <v>44280</v>
      </c>
      <c r="B309">
        <v>1.0099999999999999E-7</v>
      </c>
    </row>
    <row r="310" spans="1:2" x14ac:dyDescent="0.25">
      <c r="A310" s="1">
        <v>44281</v>
      </c>
      <c r="B310">
        <v>1.1449999999999999E-7</v>
      </c>
    </row>
    <row r="311" spans="1:2" x14ac:dyDescent="0.25">
      <c r="A311" s="1">
        <v>44284</v>
      </c>
      <c r="B311">
        <v>4.0353999999999997E-7</v>
      </c>
    </row>
    <row r="312" spans="1:2" x14ac:dyDescent="0.25">
      <c r="A312" s="1">
        <v>44285</v>
      </c>
      <c r="B312">
        <v>1.04725E-6</v>
      </c>
    </row>
    <row r="313" spans="1:2" x14ac:dyDescent="0.25">
      <c r="A313" s="1">
        <v>44286</v>
      </c>
      <c r="B313">
        <v>1.3430699999999999E-6</v>
      </c>
    </row>
    <row r="314" spans="1:2" x14ac:dyDescent="0.25">
      <c r="A314" s="1">
        <v>44287</v>
      </c>
      <c r="B314">
        <v>9.5749999999999994E-8</v>
      </c>
    </row>
    <row r="315" spans="1:2" x14ac:dyDescent="0.25">
      <c r="A315" s="1">
        <v>44291</v>
      </c>
      <c r="B315">
        <v>3.4500000000000005E-8</v>
      </c>
    </row>
    <row r="316" spans="1:2" x14ac:dyDescent="0.25">
      <c r="A316" s="1">
        <v>44292</v>
      </c>
      <c r="B316">
        <v>1.8951000000000001E-7</v>
      </c>
    </row>
    <row r="317" spans="1:2" x14ac:dyDescent="0.25">
      <c r="A317" s="1">
        <v>44293</v>
      </c>
      <c r="B317">
        <v>3.5034999999999996E-7</v>
      </c>
    </row>
    <row r="318" spans="1:2" x14ac:dyDescent="0.25">
      <c r="A318" s="1">
        <v>44294</v>
      </c>
      <c r="B318">
        <v>2.7640000000000001E-7</v>
      </c>
    </row>
    <row r="319" spans="1:2" x14ac:dyDescent="0.25">
      <c r="A319" s="1">
        <v>44295</v>
      </c>
      <c r="B319">
        <v>3.1264999999999998E-7</v>
      </c>
    </row>
    <row r="320" spans="1:2" x14ac:dyDescent="0.25">
      <c r="A320" s="1">
        <v>44298</v>
      </c>
      <c r="B320">
        <v>3.0221E-7</v>
      </c>
    </row>
    <row r="321" spans="1:2" x14ac:dyDescent="0.25">
      <c r="A321" s="1">
        <v>44299</v>
      </c>
      <c r="B321">
        <v>3.7542999999999997E-7</v>
      </c>
    </row>
    <row r="322" spans="1:2" x14ac:dyDescent="0.25">
      <c r="A322" s="1">
        <v>44300</v>
      </c>
      <c r="B322">
        <v>5.0856000000000005E-7</v>
      </c>
    </row>
    <row r="323" spans="1:2" x14ac:dyDescent="0.25">
      <c r="A323" s="1">
        <v>44301</v>
      </c>
      <c r="B323">
        <v>2.8626000000000002E-7</v>
      </c>
    </row>
    <row r="324" spans="1:2" x14ac:dyDescent="0.25">
      <c r="A324" s="1">
        <v>44302</v>
      </c>
      <c r="B324">
        <v>3.9939999999999999E-7</v>
      </c>
    </row>
    <row r="325" spans="1:2" x14ac:dyDescent="0.25">
      <c r="A325" s="1">
        <v>44305</v>
      </c>
      <c r="B325">
        <v>5.3798000000000006E-7</v>
      </c>
    </row>
    <row r="326" spans="1:2" x14ac:dyDescent="0.25">
      <c r="A326" s="1">
        <v>44306</v>
      </c>
      <c r="B326">
        <v>6.7746999999999999E-7</v>
      </c>
    </row>
    <row r="327" spans="1:2" x14ac:dyDescent="0.25">
      <c r="A327" s="1">
        <v>44307</v>
      </c>
      <c r="B327">
        <v>8.1328999999999995E-7</v>
      </c>
    </row>
    <row r="328" spans="1:2" x14ac:dyDescent="0.25">
      <c r="A328" s="1">
        <v>44308</v>
      </c>
      <c r="B328">
        <v>1.0264400000000001E-6</v>
      </c>
    </row>
    <row r="329" spans="1:2" x14ac:dyDescent="0.25">
      <c r="A329" s="1">
        <v>44309</v>
      </c>
      <c r="B329">
        <v>7.3794E-7</v>
      </c>
    </row>
    <row r="330" spans="1:2" x14ac:dyDescent="0.25">
      <c r="A330" s="1">
        <v>44312</v>
      </c>
      <c r="B330">
        <v>1.00916E-6</v>
      </c>
    </row>
    <row r="331" spans="1:2" x14ac:dyDescent="0.25">
      <c r="A331" s="1">
        <v>44313</v>
      </c>
      <c r="B331">
        <v>1.42172E-6</v>
      </c>
    </row>
    <row r="332" spans="1:2" x14ac:dyDescent="0.25">
      <c r="A332" s="1">
        <v>44314</v>
      </c>
      <c r="B332">
        <v>1.66732E-6</v>
      </c>
    </row>
    <row r="333" spans="1:2" x14ac:dyDescent="0.25">
      <c r="A333" s="1">
        <v>44315</v>
      </c>
      <c r="B333">
        <v>1.73469E-6</v>
      </c>
    </row>
    <row r="334" spans="1:2" x14ac:dyDescent="0.25">
      <c r="A334" s="1">
        <v>44316</v>
      </c>
      <c r="B334">
        <v>1.8323400000000001E-6</v>
      </c>
    </row>
    <row r="335" spans="1:2" x14ac:dyDescent="0.25">
      <c r="A335" s="1">
        <v>44319</v>
      </c>
      <c r="B335">
        <v>1.2972399999999999E-6</v>
      </c>
    </row>
    <row r="336" spans="1:2" x14ac:dyDescent="0.25">
      <c r="A336" s="1">
        <v>44320</v>
      </c>
      <c r="B336">
        <v>1.47806E-6</v>
      </c>
    </row>
    <row r="337" spans="1:2" x14ac:dyDescent="0.25">
      <c r="A337" s="1">
        <v>44321</v>
      </c>
      <c r="B337">
        <v>1.6280000000000001E-6</v>
      </c>
    </row>
    <row r="338" spans="1:2" x14ac:dyDescent="0.25">
      <c r="A338" s="1">
        <v>44322</v>
      </c>
      <c r="B338">
        <v>1.54921E-6</v>
      </c>
    </row>
    <row r="339" spans="1:2" x14ac:dyDescent="0.25">
      <c r="A339" s="1">
        <v>44323</v>
      </c>
      <c r="B339">
        <v>1.61856E-6</v>
      </c>
    </row>
    <row r="340" spans="1:2" x14ac:dyDescent="0.25">
      <c r="A340" s="1">
        <v>44326</v>
      </c>
      <c r="B340">
        <v>1.75548E-6</v>
      </c>
    </row>
    <row r="341" spans="1:2" x14ac:dyDescent="0.25">
      <c r="A341" s="1">
        <v>44327</v>
      </c>
      <c r="B341">
        <v>1.8175299999999999E-6</v>
      </c>
    </row>
    <row r="342" spans="1:2" x14ac:dyDescent="0.25">
      <c r="A342" s="1">
        <v>44328</v>
      </c>
      <c r="B342">
        <v>2.0925700000000001E-6</v>
      </c>
    </row>
    <row r="343" spans="1:2" x14ac:dyDescent="0.25">
      <c r="A343" s="1">
        <v>44329</v>
      </c>
      <c r="B343">
        <v>2.3521700000000001E-6</v>
      </c>
    </row>
    <row r="344" spans="1:2" x14ac:dyDescent="0.25">
      <c r="A344" s="1">
        <v>44330</v>
      </c>
      <c r="B344">
        <v>2.41185E-6</v>
      </c>
    </row>
    <row r="345" spans="1:2" x14ac:dyDescent="0.25">
      <c r="A345" s="1">
        <v>44333</v>
      </c>
      <c r="B345">
        <v>2.0896000000000003E-6</v>
      </c>
    </row>
    <row r="346" spans="1:2" x14ac:dyDescent="0.25">
      <c r="A346" s="1">
        <v>44334</v>
      </c>
      <c r="B346">
        <v>2.4347000000000002E-6</v>
      </c>
    </row>
    <row r="347" spans="1:2" x14ac:dyDescent="0.25">
      <c r="A347" s="1">
        <v>44335</v>
      </c>
      <c r="B347">
        <v>2.9399800000000001E-6</v>
      </c>
    </row>
    <row r="348" spans="1:2" x14ac:dyDescent="0.25">
      <c r="A348" s="1">
        <v>44336</v>
      </c>
      <c r="B348">
        <v>3.5112099999999998E-6</v>
      </c>
    </row>
    <row r="349" spans="1:2" x14ac:dyDescent="0.25">
      <c r="A349" s="1">
        <v>44337</v>
      </c>
      <c r="B349">
        <v>3.6904599999999998E-6</v>
      </c>
    </row>
    <row r="350" spans="1:2" x14ac:dyDescent="0.25">
      <c r="A350" s="1">
        <v>44340</v>
      </c>
      <c r="B350">
        <v>3.9494099999999997E-6</v>
      </c>
    </row>
    <row r="351" spans="1:2" x14ac:dyDescent="0.25">
      <c r="A351" s="1">
        <v>44341</v>
      </c>
      <c r="B351">
        <v>4.3295499999999999E-6</v>
      </c>
    </row>
    <row r="352" spans="1:2" x14ac:dyDescent="0.25">
      <c r="A352" s="1">
        <v>44342</v>
      </c>
      <c r="B352">
        <v>4.5028299999999999E-6</v>
      </c>
    </row>
    <row r="353" spans="1:2" x14ac:dyDescent="0.25">
      <c r="A353" s="1">
        <v>44343</v>
      </c>
      <c r="B353">
        <v>4.8532899999999999E-6</v>
      </c>
    </row>
    <row r="354" spans="1:2" x14ac:dyDescent="0.25">
      <c r="A354" s="1">
        <v>44344</v>
      </c>
      <c r="B354">
        <v>4.7949800000000001E-6</v>
      </c>
    </row>
    <row r="355" spans="1:2" x14ac:dyDescent="0.25">
      <c r="A355" s="1">
        <v>44348</v>
      </c>
      <c r="B355">
        <v>4.47985E-6</v>
      </c>
    </row>
    <row r="356" spans="1:2" x14ac:dyDescent="0.25">
      <c r="A356" s="1">
        <v>44349</v>
      </c>
      <c r="B356">
        <v>4.38778E-6</v>
      </c>
    </row>
    <row r="357" spans="1:2" x14ac:dyDescent="0.25">
      <c r="A357" s="1">
        <v>44350</v>
      </c>
      <c r="B357">
        <v>4.7910200000000001E-6</v>
      </c>
    </row>
    <row r="358" spans="1:2" x14ac:dyDescent="0.25">
      <c r="A358" s="1">
        <v>44351</v>
      </c>
      <c r="B358">
        <v>4.8334899999999997E-6</v>
      </c>
    </row>
    <row r="359" spans="1:2" x14ac:dyDescent="0.25">
      <c r="A359" s="1">
        <v>44354</v>
      </c>
      <c r="B359">
        <v>4.8609700000000001E-6</v>
      </c>
    </row>
    <row r="360" spans="1:2" x14ac:dyDescent="0.25">
      <c r="A360" s="1">
        <v>44355</v>
      </c>
      <c r="B360">
        <v>4.9742800000000003E-6</v>
      </c>
    </row>
    <row r="361" spans="1:2" x14ac:dyDescent="0.25">
      <c r="A361" s="1">
        <v>44356</v>
      </c>
      <c r="B361">
        <v>5.0290399999999999E-6</v>
      </c>
    </row>
    <row r="362" spans="1:2" x14ac:dyDescent="0.25">
      <c r="A362" s="1">
        <v>44357</v>
      </c>
      <c r="B362">
        <v>5.3494299999999995E-6</v>
      </c>
    </row>
    <row r="363" spans="1:2" x14ac:dyDescent="0.25">
      <c r="A363" s="1">
        <v>44358</v>
      </c>
      <c r="B363">
        <v>5.4780799999999996E-6</v>
      </c>
    </row>
    <row r="364" spans="1:2" x14ac:dyDescent="0.25">
      <c r="A364" s="1">
        <v>44361</v>
      </c>
      <c r="B364">
        <v>5.8389200000000007E-6</v>
      </c>
    </row>
    <row r="365" spans="1:2" x14ac:dyDescent="0.25">
      <c r="A365" s="1">
        <v>44362</v>
      </c>
      <c r="B365">
        <v>5.0955900000000001E-6</v>
      </c>
    </row>
    <row r="366" spans="1:2" x14ac:dyDescent="0.25">
      <c r="A366" s="1">
        <v>44363</v>
      </c>
      <c r="B366">
        <v>5.2094200000000002E-6</v>
      </c>
    </row>
    <row r="367" spans="1:2" x14ac:dyDescent="0.25">
      <c r="A367" s="1">
        <v>44364</v>
      </c>
      <c r="B367">
        <v>7.5579999999999995E-6</v>
      </c>
    </row>
    <row r="368" spans="1:2" x14ac:dyDescent="0.25">
      <c r="A368" s="1">
        <v>44365</v>
      </c>
      <c r="B368">
        <v>7.4712099999999996E-6</v>
      </c>
    </row>
    <row r="369" spans="1:2" x14ac:dyDescent="0.25">
      <c r="A369" s="1">
        <v>44368</v>
      </c>
      <c r="B369">
        <v>7.65141E-6</v>
      </c>
    </row>
    <row r="370" spans="1:2" x14ac:dyDescent="0.25">
      <c r="A370" s="1">
        <v>44369</v>
      </c>
      <c r="B370">
        <v>7.9160500000000002E-6</v>
      </c>
    </row>
    <row r="371" spans="1:2" x14ac:dyDescent="0.25">
      <c r="A371" s="1">
        <v>44370</v>
      </c>
      <c r="B371">
        <v>8.1364999999999991E-6</v>
      </c>
    </row>
    <row r="372" spans="1:2" x14ac:dyDescent="0.25">
      <c r="A372" s="1">
        <v>44371</v>
      </c>
      <c r="B372">
        <v>8.1304799999999998E-6</v>
      </c>
    </row>
    <row r="373" spans="1:2" x14ac:dyDescent="0.25">
      <c r="A373" s="1">
        <v>44372</v>
      </c>
      <c r="B373">
        <v>7.7083000000000004E-6</v>
      </c>
    </row>
    <row r="374" spans="1:2" x14ac:dyDescent="0.25">
      <c r="A374" s="1">
        <v>44375</v>
      </c>
      <c r="B374">
        <v>8.0301900000000008E-6</v>
      </c>
    </row>
    <row r="375" spans="1:2" x14ac:dyDescent="0.25">
      <c r="A375" s="1">
        <v>44376</v>
      </c>
      <c r="B375">
        <v>8.4124600000000001E-6</v>
      </c>
    </row>
    <row r="376" spans="1:2" x14ac:dyDescent="0.25">
      <c r="A376" s="1">
        <v>44377</v>
      </c>
      <c r="B376">
        <v>9.9193899999999996E-6</v>
      </c>
    </row>
    <row r="377" spans="1:2" x14ac:dyDescent="0.25">
      <c r="A377" s="1">
        <v>44378</v>
      </c>
      <c r="B377">
        <v>7.4264700000000004E-6</v>
      </c>
    </row>
    <row r="378" spans="1:2" x14ac:dyDescent="0.25">
      <c r="A378" s="1">
        <v>44379</v>
      </c>
      <c r="B378">
        <v>7.3150400000000005E-6</v>
      </c>
    </row>
    <row r="379" spans="1:2" x14ac:dyDescent="0.25">
      <c r="A379" s="1">
        <v>44383</v>
      </c>
      <c r="B379">
        <v>7.7258100000000005E-6</v>
      </c>
    </row>
    <row r="380" spans="1:2" x14ac:dyDescent="0.25">
      <c r="A380" s="1">
        <v>44384</v>
      </c>
      <c r="B380">
        <v>7.8571999999999999E-6</v>
      </c>
    </row>
    <row r="381" spans="1:2" x14ac:dyDescent="0.25">
      <c r="A381" s="1">
        <v>44385</v>
      </c>
      <c r="B381">
        <v>7.9339899999999999E-6</v>
      </c>
    </row>
    <row r="382" spans="1:2" x14ac:dyDescent="0.25">
      <c r="A382" s="1">
        <v>44386</v>
      </c>
      <c r="B382">
        <v>7.8059600000000001E-6</v>
      </c>
    </row>
    <row r="383" spans="1:2" x14ac:dyDescent="0.25">
      <c r="A383" s="1">
        <v>44389</v>
      </c>
      <c r="B383">
        <v>7.7647200000000001E-6</v>
      </c>
    </row>
    <row r="384" spans="1:2" x14ac:dyDescent="0.25">
      <c r="A384" s="1">
        <v>44390</v>
      </c>
      <c r="B384">
        <v>7.9826700000000003E-6</v>
      </c>
    </row>
    <row r="385" spans="1:2" x14ac:dyDescent="0.25">
      <c r="A385" s="1">
        <v>44391</v>
      </c>
      <c r="B385">
        <v>8.5997500000000001E-6</v>
      </c>
    </row>
    <row r="386" spans="1:2" x14ac:dyDescent="0.25">
      <c r="A386" s="1">
        <v>44392</v>
      </c>
      <c r="B386">
        <v>7.7626099999999999E-6</v>
      </c>
    </row>
    <row r="387" spans="1:2" x14ac:dyDescent="0.25">
      <c r="A387" s="1">
        <v>44393</v>
      </c>
      <c r="B387">
        <v>8.1756600000000009E-6</v>
      </c>
    </row>
    <row r="388" spans="1:2" x14ac:dyDescent="0.25">
      <c r="A388" s="1">
        <v>44396</v>
      </c>
      <c r="B388">
        <v>8.6046799999999994E-6</v>
      </c>
    </row>
    <row r="389" spans="1:2" x14ac:dyDescent="0.25">
      <c r="A389" s="1">
        <v>44397</v>
      </c>
      <c r="B389">
        <v>8.4810200000000003E-6</v>
      </c>
    </row>
    <row r="390" spans="1:2" x14ac:dyDescent="0.25">
      <c r="A390" s="1">
        <v>44398</v>
      </c>
      <c r="B390">
        <v>8.86206E-6</v>
      </c>
    </row>
    <row r="391" spans="1:2" x14ac:dyDescent="0.25">
      <c r="A391" s="1">
        <v>44399</v>
      </c>
      <c r="B391">
        <v>8.9819699999999993E-6</v>
      </c>
    </row>
    <row r="392" spans="1:2" x14ac:dyDescent="0.25">
      <c r="A392" s="1">
        <v>44400</v>
      </c>
      <c r="B392">
        <v>8.7725100000000001E-6</v>
      </c>
    </row>
    <row r="393" spans="1:2" x14ac:dyDescent="0.25">
      <c r="A393" s="1">
        <v>44403</v>
      </c>
      <c r="B393">
        <v>8.9120299999999991E-6</v>
      </c>
    </row>
    <row r="394" spans="1:2" x14ac:dyDescent="0.25">
      <c r="A394" s="1">
        <v>44404</v>
      </c>
      <c r="B394">
        <v>9.2741899999999994E-6</v>
      </c>
    </row>
    <row r="395" spans="1:2" x14ac:dyDescent="0.25">
      <c r="A395" s="1">
        <v>44405</v>
      </c>
      <c r="B395">
        <v>9.6518899999999992E-6</v>
      </c>
    </row>
    <row r="396" spans="1:2" x14ac:dyDescent="0.25">
      <c r="A396" s="1">
        <v>44406</v>
      </c>
      <c r="B396">
        <v>9.8728300000000001E-6</v>
      </c>
    </row>
    <row r="397" spans="1:2" x14ac:dyDescent="0.25">
      <c r="A397" s="1">
        <v>44407</v>
      </c>
      <c r="B397">
        <v>1.039394E-5</v>
      </c>
    </row>
    <row r="398" spans="1:2" x14ac:dyDescent="0.25">
      <c r="A398" s="1">
        <v>44410</v>
      </c>
      <c r="B398">
        <v>9.2131699999999997E-6</v>
      </c>
    </row>
    <row r="399" spans="1:2" x14ac:dyDescent="0.25">
      <c r="A399" s="1">
        <v>44411</v>
      </c>
      <c r="B399">
        <v>9.0944200000000002E-6</v>
      </c>
    </row>
    <row r="400" spans="1:2" x14ac:dyDescent="0.25">
      <c r="A400" s="1">
        <v>44412</v>
      </c>
      <c r="B400">
        <v>9.3175500000000003E-6</v>
      </c>
    </row>
    <row r="401" spans="1:2" x14ac:dyDescent="0.25">
      <c r="A401" s="1">
        <v>44413</v>
      </c>
      <c r="B401">
        <v>9.44335E-6</v>
      </c>
    </row>
    <row r="402" spans="1:2" x14ac:dyDescent="0.25">
      <c r="A402" s="1">
        <v>44414</v>
      </c>
      <c r="B402">
        <v>9.5213400000000009E-6</v>
      </c>
    </row>
    <row r="403" spans="1:2" x14ac:dyDescent="0.25">
      <c r="A403" s="1">
        <v>44417</v>
      </c>
      <c r="B403">
        <v>9.8176499999999991E-6</v>
      </c>
    </row>
    <row r="404" spans="1:2" x14ac:dyDescent="0.25">
      <c r="A404" s="1">
        <v>44418</v>
      </c>
      <c r="B404">
        <v>9.9865399999999994E-6</v>
      </c>
    </row>
    <row r="405" spans="1:2" x14ac:dyDescent="0.25">
      <c r="A405" s="1">
        <v>44419</v>
      </c>
      <c r="B405">
        <v>1.0004600000000001E-5</v>
      </c>
    </row>
    <row r="406" spans="1:2" x14ac:dyDescent="0.25">
      <c r="A406" s="1">
        <v>44420</v>
      </c>
      <c r="B406">
        <v>1.0873420000000001E-5</v>
      </c>
    </row>
    <row r="407" spans="1:2" x14ac:dyDescent="0.25">
      <c r="A407" s="1">
        <v>44421</v>
      </c>
      <c r="B407">
        <v>1.050941E-5</v>
      </c>
    </row>
    <row r="408" spans="1:2" x14ac:dyDescent="0.25">
      <c r="A408" s="1">
        <v>44424</v>
      </c>
      <c r="B408">
        <v>1.0364179999999998E-5</v>
      </c>
    </row>
    <row r="409" spans="1:2" x14ac:dyDescent="0.25">
      <c r="A409" s="1">
        <v>44425</v>
      </c>
      <c r="B409">
        <v>1.053454E-5</v>
      </c>
    </row>
    <row r="410" spans="1:2" x14ac:dyDescent="0.25">
      <c r="A410" s="1">
        <v>44426</v>
      </c>
      <c r="B410">
        <v>1.115656E-5</v>
      </c>
    </row>
    <row r="411" spans="1:2" x14ac:dyDescent="0.25">
      <c r="A411" s="1">
        <v>44427</v>
      </c>
      <c r="B411">
        <v>1.1099380000000001E-5</v>
      </c>
    </row>
    <row r="412" spans="1:2" x14ac:dyDescent="0.25">
      <c r="A412" s="1">
        <v>44428</v>
      </c>
      <c r="B412">
        <v>1.111905E-5</v>
      </c>
    </row>
    <row r="413" spans="1:2" x14ac:dyDescent="0.25">
      <c r="A413" s="1">
        <v>44431</v>
      </c>
      <c r="B413">
        <v>1.1356969999999999E-5</v>
      </c>
    </row>
    <row r="414" spans="1:2" x14ac:dyDescent="0.25">
      <c r="A414" s="1">
        <v>44432</v>
      </c>
      <c r="B414">
        <v>1.1297370000000001E-5</v>
      </c>
    </row>
    <row r="415" spans="1:2" x14ac:dyDescent="0.25">
      <c r="A415" s="1">
        <v>44433</v>
      </c>
      <c r="B415">
        <v>1.147089E-5</v>
      </c>
    </row>
    <row r="416" spans="1:2" x14ac:dyDescent="0.25">
      <c r="A416" s="1">
        <v>44434</v>
      </c>
      <c r="B416">
        <v>1.0917919999999999E-5</v>
      </c>
    </row>
    <row r="417" spans="1:2" x14ac:dyDescent="0.25">
      <c r="A417" s="1">
        <v>44435</v>
      </c>
      <c r="B417">
        <v>1.1200150000000002E-5</v>
      </c>
    </row>
    <row r="418" spans="1:2" x14ac:dyDescent="0.25">
      <c r="A418" s="1">
        <v>44438</v>
      </c>
      <c r="B418">
        <v>1.140711E-5</v>
      </c>
    </row>
    <row r="419" spans="1:2" x14ac:dyDescent="0.25">
      <c r="A419" s="1">
        <v>44439</v>
      </c>
      <c r="B419">
        <v>1.189616E-5</v>
      </c>
    </row>
    <row r="420" spans="1:2" x14ac:dyDescent="0.25">
      <c r="A420" s="1">
        <v>44440</v>
      </c>
      <c r="B420">
        <v>1.084115E-5</v>
      </c>
    </row>
    <row r="421" spans="1:2" x14ac:dyDescent="0.25">
      <c r="A421" s="1">
        <v>44441</v>
      </c>
      <c r="B421">
        <v>1.0669870000000001E-5</v>
      </c>
    </row>
    <row r="422" spans="1:2" x14ac:dyDescent="0.25">
      <c r="A422" s="1">
        <v>44442</v>
      </c>
      <c r="B422">
        <v>1.074707E-5</v>
      </c>
    </row>
    <row r="423" spans="1:2" x14ac:dyDescent="0.25">
      <c r="A423" s="1">
        <v>44446</v>
      </c>
      <c r="B423">
        <v>1.0799449999999999E-5</v>
      </c>
    </row>
    <row r="424" spans="1:2" x14ac:dyDescent="0.25">
      <c r="A424" s="1">
        <v>44447</v>
      </c>
      <c r="B424">
        <v>1.1152290000000001E-5</v>
      </c>
    </row>
    <row r="425" spans="1:2" x14ac:dyDescent="0.25">
      <c r="A425" s="1">
        <v>44448</v>
      </c>
      <c r="B425">
        <v>1.1076590000000001E-5</v>
      </c>
    </row>
    <row r="426" spans="1:2" x14ac:dyDescent="0.25">
      <c r="A426" s="1">
        <v>44449</v>
      </c>
      <c r="B426">
        <v>1.099323E-5</v>
      </c>
    </row>
    <row r="427" spans="1:2" x14ac:dyDescent="0.25">
      <c r="A427" s="1">
        <v>44452</v>
      </c>
      <c r="B427">
        <v>1.087108E-5</v>
      </c>
    </row>
    <row r="428" spans="1:2" x14ac:dyDescent="0.25">
      <c r="A428" s="1">
        <v>44453</v>
      </c>
      <c r="B428">
        <v>1.1692799999999999E-5</v>
      </c>
    </row>
    <row r="429" spans="1:2" x14ac:dyDescent="0.25">
      <c r="A429" s="1">
        <v>44454</v>
      </c>
      <c r="B429">
        <v>1.081342E-5</v>
      </c>
    </row>
    <row r="430" spans="1:2" x14ac:dyDescent="0.25">
      <c r="A430" s="1">
        <v>44455</v>
      </c>
      <c r="B430">
        <v>1.1474939999999999E-5</v>
      </c>
    </row>
    <row r="431" spans="1:2" x14ac:dyDescent="0.25">
      <c r="A431" s="1">
        <v>44456</v>
      </c>
      <c r="B431">
        <v>1.218303E-5</v>
      </c>
    </row>
    <row r="432" spans="1:2" x14ac:dyDescent="0.25">
      <c r="A432" s="1">
        <v>44459</v>
      </c>
      <c r="B432">
        <v>1.224289E-5</v>
      </c>
    </row>
    <row r="433" spans="1:2" x14ac:dyDescent="0.25">
      <c r="A433" s="1">
        <v>44460</v>
      </c>
      <c r="B433">
        <v>1.240494E-5</v>
      </c>
    </row>
    <row r="434" spans="1:2" x14ac:dyDescent="0.25">
      <c r="A434" s="1">
        <v>44461</v>
      </c>
      <c r="B434">
        <v>1.2832809999999999E-5</v>
      </c>
    </row>
    <row r="435" spans="1:2" x14ac:dyDescent="0.25">
      <c r="A435" s="1">
        <v>44462</v>
      </c>
      <c r="B435">
        <v>1.352483E-5</v>
      </c>
    </row>
    <row r="436" spans="1:2" x14ac:dyDescent="0.25">
      <c r="A436" s="1">
        <v>44463</v>
      </c>
      <c r="B436">
        <v>1.3136569999999998E-5</v>
      </c>
    </row>
    <row r="437" spans="1:2" x14ac:dyDescent="0.25">
      <c r="A437" s="1">
        <v>44466</v>
      </c>
      <c r="B437">
        <v>1.2970499999999999E-5</v>
      </c>
    </row>
    <row r="438" spans="1:2" x14ac:dyDescent="0.25">
      <c r="A438" s="1">
        <v>44467</v>
      </c>
      <c r="B438">
        <v>1.3651849999999999E-5</v>
      </c>
    </row>
    <row r="439" spans="1:2" x14ac:dyDescent="0.25">
      <c r="A439" s="1">
        <v>44468</v>
      </c>
      <c r="B439">
        <v>1.41584E-5</v>
      </c>
    </row>
    <row r="440" spans="1:2" x14ac:dyDescent="0.25">
      <c r="A440" s="1">
        <v>44469</v>
      </c>
      <c r="B440">
        <v>1.6048810000000002E-5</v>
      </c>
    </row>
    <row r="441" spans="1:2" x14ac:dyDescent="0.25">
      <c r="A441" s="1">
        <v>44470</v>
      </c>
      <c r="B441">
        <v>1.385991E-5</v>
      </c>
    </row>
    <row r="442" spans="1:2" x14ac:dyDescent="0.25">
      <c r="A442" s="1">
        <v>44473</v>
      </c>
      <c r="B442">
        <v>1.3991730000000001E-5</v>
      </c>
    </row>
    <row r="443" spans="1:2" x14ac:dyDescent="0.25">
      <c r="A443" s="1">
        <v>44474</v>
      </c>
      <c r="B443">
        <v>1.4311800000000001E-5</v>
      </c>
    </row>
    <row r="444" spans="1:2" x14ac:dyDescent="0.25">
      <c r="A444" s="1">
        <v>44475</v>
      </c>
      <c r="B444">
        <v>1.4511749999999999E-5</v>
      </c>
    </row>
    <row r="445" spans="1:2" x14ac:dyDescent="0.25">
      <c r="A445" s="1">
        <v>44476</v>
      </c>
      <c r="B445">
        <v>1.3758630000000001E-5</v>
      </c>
    </row>
    <row r="446" spans="1:2" x14ac:dyDescent="0.25">
      <c r="A446" s="1">
        <v>44477</v>
      </c>
      <c r="B446">
        <v>1.371958E-5</v>
      </c>
    </row>
    <row r="447" spans="1:2" x14ac:dyDescent="0.25">
      <c r="A447" s="1">
        <v>44481</v>
      </c>
      <c r="B447">
        <v>1.367051E-5</v>
      </c>
    </row>
    <row r="448" spans="1:2" x14ac:dyDescent="0.25">
      <c r="A448" s="1">
        <v>44482</v>
      </c>
      <c r="B448">
        <v>1.3647010000000001E-5</v>
      </c>
    </row>
    <row r="449" spans="1:2" x14ac:dyDescent="0.25">
      <c r="A449" s="1">
        <v>44483</v>
      </c>
      <c r="B449">
        <v>1.4456600000000001E-5</v>
      </c>
    </row>
    <row r="450" spans="1:2" x14ac:dyDescent="0.25">
      <c r="A450" s="1">
        <v>44484</v>
      </c>
      <c r="B450">
        <v>1.462297E-5</v>
      </c>
    </row>
    <row r="451" spans="1:2" x14ac:dyDescent="0.25">
      <c r="A451" s="1">
        <v>44487</v>
      </c>
      <c r="B451">
        <v>1.4771140000000001E-5</v>
      </c>
    </row>
    <row r="452" spans="1:2" x14ac:dyDescent="0.25">
      <c r="A452" s="1">
        <v>44488</v>
      </c>
      <c r="B452">
        <v>1.470739E-5</v>
      </c>
    </row>
    <row r="453" spans="1:2" x14ac:dyDescent="0.25">
      <c r="A453" s="1">
        <v>44489</v>
      </c>
      <c r="B453">
        <v>1.4939610000000001E-5</v>
      </c>
    </row>
    <row r="454" spans="1:2" x14ac:dyDescent="0.25">
      <c r="A454" s="1">
        <v>44490</v>
      </c>
      <c r="B454">
        <v>1.4586050000000001E-5</v>
      </c>
    </row>
    <row r="455" spans="1:2" x14ac:dyDescent="0.25">
      <c r="A455" s="1">
        <v>44491</v>
      </c>
      <c r="B455">
        <v>1.40302E-5</v>
      </c>
    </row>
    <row r="456" spans="1:2" x14ac:dyDescent="0.25">
      <c r="A456" s="1">
        <v>44494</v>
      </c>
      <c r="B456">
        <v>1.4131880000000001E-5</v>
      </c>
    </row>
    <row r="457" spans="1:2" x14ac:dyDescent="0.25">
      <c r="A457" s="1">
        <v>44495</v>
      </c>
      <c r="B457">
        <v>1.4231980000000001E-5</v>
      </c>
    </row>
    <row r="458" spans="1:2" x14ac:dyDescent="0.25">
      <c r="A458" s="1">
        <v>44496</v>
      </c>
      <c r="B458">
        <v>1.43337E-5</v>
      </c>
    </row>
    <row r="459" spans="1:2" x14ac:dyDescent="0.25">
      <c r="A459" s="1">
        <v>44497</v>
      </c>
      <c r="B459">
        <v>1.384684E-5</v>
      </c>
    </row>
    <row r="460" spans="1:2" x14ac:dyDescent="0.25">
      <c r="A460" s="1">
        <v>44498</v>
      </c>
      <c r="B460">
        <v>1.5022960000000001E-5</v>
      </c>
    </row>
    <row r="461" spans="1:2" x14ac:dyDescent="0.25">
      <c r="A461" s="1">
        <v>44501</v>
      </c>
      <c r="B461">
        <v>1.3586059999999999E-5</v>
      </c>
    </row>
    <row r="462" spans="1:2" x14ac:dyDescent="0.25">
      <c r="A462" s="1">
        <v>44502</v>
      </c>
      <c r="B462">
        <v>1.329913E-5</v>
      </c>
    </row>
    <row r="463" spans="1:2" x14ac:dyDescent="0.25">
      <c r="A463" s="1">
        <v>44503</v>
      </c>
      <c r="B463">
        <v>1.343985E-5</v>
      </c>
    </row>
    <row r="464" spans="1:2" x14ac:dyDescent="0.25">
      <c r="A464" s="1">
        <v>44504</v>
      </c>
      <c r="B464">
        <v>1.3485390000000001E-5</v>
      </c>
    </row>
    <row r="465" spans="1:2" x14ac:dyDescent="0.25">
      <c r="A465" s="1">
        <v>44505</v>
      </c>
      <c r="B465">
        <v>1.354059E-5</v>
      </c>
    </row>
    <row r="466" spans="1:2" x14ac:dyDescent="0.25">
      <c r="A466" s="1">
        <v>44508</v>
      </c>
      <c r="B466">
        <v>1.354382E-5</v>
      </c>
    </row>
    <row r="467" spans="1:2" x14ac:dyDescent="0.25">
      <c r="A467" s="1">
        <v>44509</v>
      </c>
      <c r="B467">
        <v>1.3771969999999999E-5</v>
      </c>
    </row>
    <row r="468" spans="1:2" x14ac:dyDescent="0.25">
      <c r="A468" s="1">
        <v>44510</v>
      </c>
      <c r="B468">
        <v>1.4486230000000001E-5</v>
      </c>
    </row>
    <row r="469" spans="1:2" x14ac:dyDescent="0.25">
      <c r="A469" s="1">
        <v>44512</v>
      </c>
      <c r="B469">
        <v>1.4176430000000001E-5</v>
      </c>
    </row>
    <row r="470" spans="1:2" x14ac:dyDescent="0.25">
      <c r="A470" s="1">
        <v>44515</v>
      </c>
      <c r="B470">
        <v>1.3916569999999999E-5</v>
      </c>
    </row>
    <row r="471" spans="1:2" x14ac:dyDescent="0.25">
      <c r="A471" s="1">
        <v>44516</v>
      </c>
      <c r="B471">
        <v>1.466857E-5</v>
      </c>
    </row>
    <row r="472" spans="1:2" x14ac:dyDescent="0.25">
      <c r="A472" s="1">
        <v>44517</v>
      </c>
      <c r="B472">
        <v>1.52E-5</v>
      </c>
    </row>
    <row r="473" spans="1:2" x14ac:dyDescent="0.25">
      <c r="A473" s="1">
        <v>44518</v>
      </c>
      <c r="B473">
        <v>1.5840970000000001E-5</v>
      </c>
    </row>
    <row r="474" spans="1:2" x14ac:dyDescent="0.25">
      <c r="A474" s="1">
        <v>44519</v>
      </c>
      <c r="B474">
        <v>1.5753840000000001E-5</v>
      </c>
    </row>
    <row r="475" spans="1:2" x14ac:dyDescent="0.25">
      <c r="A475" s="1">
        <v>44522</v>
      </c>
      <c r="B475">
        <v>1.5737689999999999E-5</v>
      </c>
    </row>
    <row r="476" spans="1:2" x14ac:dyDescent="0.25">
      <c r="A476" s="1">
        <v>44523</v>
      </c>
      <c r="B476">
        <v>1.5719800000000002E-5</v>
      </c>
    </row>
    <row r="477" spans="1:2" x14ac:dyDescent="0.25">
      <c r="A477" s="1">
        <v>44524</v>
      </c>
      <c r="B477">
        <v>1.4528969999999999E-5</v>
      </c>
    </row>
    <row r="478" spans="1:2" x14ac:dyDescent="0.25">
      <c r="A478" s="1">
        <v>44526</v>
      </c>
      <c r="B478">
        <v>1.4511079999999999E-5</v>
      </c>
    </row>
    <row r="479" spans="1:2" x14ac:dyDescent="0.25">
      <c r="A479" s="1">
        <v>44529</v>
      </c>
      <c r="B479">
        <v>1.4593389999999999E-5</v>
      </c>
    </row>
    <row r="480" spans="1:2" x14ac:dyDescent="0.25">
      <c r="A480" s="1">
        <v>44530</v>
      </c>
      <c r="B480">
        <v>1.5179559999999998E-5</v>
      </c>
    </row>
    <row r="481" spans="1:2" x14ac:dyDescent="0.25">
      <c r="A481" s="1">
        <v>44531</v>
      </c>
      <c r="B481">
        <v>1.4273469999999999E-5</v>
      </c>
    </row>
    <row r="482" spans="1:2" x14ac:dyDescent="0.25">
      <c r="A482" s="1">
        <v>44532</v>
      </c>
      <c r="B482">
        <v>1.448585E-5</v>
      </c>
    </row>
    <row r="483" spans="1:2" x14ac:dyDescent="0.25">
      <c r="A483" s="1">
        <v>44533</v>
      </c>
      <c r="B483">
        <v>1.4754639999999999E-5</v>
      </c>
    </row>
    <row r="484" spans="1:2" x14ac:dyDescent="0.25">
      <c r="A484" s="1">
        <v>44536</v>
      </c>
      <c r="B484">
        <v>1.487996E-5</v>
      </c>
    </row>
    <row r="485" spans="1:2" x14ac:dyDescent="0.25">
      <c r="A485" s="1">
        <v>44537</v>
      </c>
      <c r="B485">
        <v>1.4550380000000001E-5</v>
      </c>
    </row>
    <row r="486" spans="1:2" x14ac:dyDescent="0.25">
      <c r="A486" s="1">
        <v>44538</v>
      </c>
      <c r="B486">
        <v>1.4841920000000001E-5</v>
      </c>
    </row>
    <row r="487" spans="1:2" x14ac:dyDescent="0.25">
      <c r="A487" s="1">
        <v>44539</v>
      </c>
      <c r="B487">
        <v>1.5000270000000001E-5</v>
      </c>
    </row>
    <row r="488" spans="1:2" x14ac:dyDescent="0.25">
      <c r="A488" s="1">
        <v>44540</v>
      </c>
      <c r="B488">
        <v>1.5071469999999999E-5</v>
      </c>
    </row>
    <row r="489" spans="1:2" x14ac:dyDescent="0.25">
      <c r="A489" s="1">
        <v>44543</v>
      </c>
      <c r="B489">
        <v>1.599768E-5</v>
      </c>
    </row>
    <row r="490" spans="1:2" x14ac:dyDescent="0.25">
      <c r="A490" s="1">
        <v>44544</v>
      </c>
      <c r="B490">
        <v>1.584488E-5</v>
      </c>
    </row>
    <row r="491" spans="1:2" x14ac:dyDescent="0.25">
      <c r="A491" s="1">
        <v>44545</v>
      </c>
      <c r="B491">
        <v>1.6210969999999999E-5</v>
      </c>
    </row>
    <row r="492" spans="1:2" x14ac:dyDescent="0.25">
      <c r="A492" s="1">
        <v>44546</v>
      </c>
      <c r="B492">
        <v>1.657626E-5</v>
      </c>
    </row>
    <row r="493" spans="1:2" x14ac:dyDescent="0.25">
      <c r="A493" s="1">
        <v>44547</v>
      </c>
      <c r="B493">
        <v>1.7045859999999999E-5</v>
      </c>
    </row>
    <row r="494" spans="1:2" x14ac:dyDescent="0.25">
      <c r="A494" s="1">
        <v>44550</v>
      </c>
      <c r="B494">
        <v>1.7580409999999999E-5</v>
      </c>
    </row>
    <row r="495" spans="1:2" x14ac:dyDescent="0.25">
      <c r="A495" s="1">
        <v>44551</v>
      </c>
      <c r="B495">
        <v>1.7482850000000002E-5</v>
      </c>
    </row>
    <row r="496" spans="1:2" x14ac:dyDescent="0.25">
      <c r="A496" s="1">
        <v>44552</v>
      </c>
      <c r="B496">
        <v>1.6992769999999999E-5</v>
      </c>
    </row>
    <row r="497" spans="1:2" x14ac:dyDescent="0.25">
      <c r="A497" s="1">
        <v>44553</v>
      </c>
      <c r="B497">
        <v>1.57778E-5</v>
      </c>
    </row>
    <row r="498" spans="1:2" x14ac:dyDescent="0.25">
      <c r="A498" s="1">
        <v>44557</v>
      </c>
      <c r="B498">
        <v>1.580347E-5</v>
      </c>
    </row>
    <row r="499" spans="1:2" x14ac:dyDescent="0.25">
      <c r="A499" s="1">
        <v>44558</v>
      </c>
      <c r="B499">
        <v>1.6370640000000002E-5</v>
      </c>
    </row>
    <row r="500" spans="1:2" x14ac:dyDescent="0.25">
      <c r="A500" s="1">
        <v>44559</v>
      </c>
      <c r="B500">
        <v>1.642506E-5</v>
      </c>
    </row>
    <row r="501" spans="1:2" x14ac:dyDescent="0.25">
      <c r="A501" s="1">
        <v>44560</v>
      </c>
      <c r="B501">
        <v>1.6964760000000001E-5</v>
      </c>
    </row>
    <row r="502" spans="1:2" x14ac:dyDescent="0.25">
      <c r="A502" s="1">
        <v>44561</v>
      </c>
      <c r="B502">
        <v>1.9045820000000001E-5</v>
      </c>
    </row>
    <row r="503" spans="1:2" x14ac:dyDescent="0.25">
      <c r="A503" s="1">
        <v>44564</v>
      </c>
      <c r="B503">
        <v>1.5795260000000002E-5</v>
      </c>
    </row>
    <row r="504" spans="1:2" x14ac:dyDescent="0.25">
      <c r="A504" s="1">
        <v>44565</v>
      </c>
      <c r="B504">
        <v>1.495692E-5</v>
      </c>
    </row>
    <row r="505" spans="1:2" x14ac:dyDescent="0.25">
      <c r="A505" s="1">
        <v>44566</v>
      </c>
      <c r="B505">
        <v>1.4927870000000001E-5</v>
      </c>
    </row>
    <row r="506" spans="1:2" x14ac:dyDescent="0.25">
      <c r="A506" s="1">
        <v>44567</v>
      </c>
      <c r="B506">
        <v>1.5105530000000002E-5</v>
      </c>
    </row>
    <row r="507" spans="1:2" x14ac:dyDescent="0.25">
      <c r="A507" s="1">
        <v>44568</v>
      </c>
      <c r="B507">
        <v>1.5300959999999999E-5</v>
      </c>
    </row>
    <row r="508" spans="1:2" x14ac:dyDescent="0.25">
      <c r="A508" s="1">
        <v>44571</v>
      </c>
      <c r="B508">
        <v>1.5604209999999999E-5</v>
      </c>
    </row>
    <row r="509" spans="1:2" x14ac:dyDescent="0.25">
      <c r="A509" s="1">
        <v>44572</v>
      </c>
      <c r="B509">
        <v>1.5270199999999998E-5</v>
      </c>
    </row>
    <row r="510" spans="1:2" x14ac:dyDescent="0.25">
      <c r="A510" s="1">
        <v>44573</v>
      </c>
      <c r="B510">
        <v>1.536981E-5</v>
      </c>
    </row>
    <row r="511" spans="1:2" x14ac:dyDescent="0.25">
      <c r="A511" s="1">
        <v>44574</v>
      </c>
      <c r="B511">
        <v>1.636742E-5</v>
      </c>
    </row>
    <row r="512" spans="1:2" x14ac:dyDescent="0.25">
      <c r="A512" s="1">
        <v>44575</v>
      </c>
      <c r="B512">
        <v>1.598887E-5</v>
      </c>
    </row>
    <row r="513" spans="1:2" x14ac:dyDescent="0.25">
      <c r="A513" s="1">
        <v>44579</v>
      </c>
      <c r="B513">
        <v>1.5971369999999999E-5</v>
      </c>
    </row>
    <row r="514" spans="1:2" x14ac:dyDescent="0.25">
      <c r="A514" s="1">
        <v>44580</v>
      </c>
      <c r="B514">
        <v>1.656576E-5</v>
      </c>
    </row>
    <row r="515" spans="1:2" x14ac:dyDescent="0.25">
      <c r="A515" s="1">
        <v>44581</v>
      </c>
      <c r="B515">
        <v>1.6789309999999999E-5</v>
      </c>
    </row>
    <row r="516" spans="1:2" x14ac:dyDescent="0.25">
      <c r="A516" s="1">
        <v>44582</v>
      </c>
      <c r="B516">
        <v>1.706127E-5</v>
      </c>
    </row>
    <row r="517" spans="1:2" x14ac:dyDescent="0.25">
      <c r="A517" s="1">
        <v>44585</v>
      </c>
      <c r="B517">
        <v>1.6140019999999999E-5</v>
      </c>
    </row>
    <row r="518" spans="1:2" x14ac:dyDescent="0.25">
      <c r="A518" s="1">
        <v>44586</v>
      </c>
      <c r="B518">
        <v>1.599502E-5</v>
      </c>
    </row>
    <row r="519" spans="1:2" x14ac:dyDescent="0.25">
      <c r="A519" s="1">
        <v>44587</v>
      </c>
      <c r="B519">
        <v>1.6130460000000001E-5</v>
      </c>
    </row>
    <row r="520" spans="1:2" x14ac:dyDescent="0.25">
      <c r="A520" s="1">
        <v>44588</v>
      </c>
      <c r="B520">
        <v>1.5838949999999999E-5</v>
      </c>
    </row>
    <row r="521" spans="1:2" x14ac:dyDescent="0.25">
      <c r="A521" s="1">
        <v>44589</v>
      </c>
      <c r="B521">
        <v>1.6150210000000001E-5</v>
      </c>
    </row>
    <row r="522" spans="1:2" x14ac:dyDescent="0.25">
      <c r="A522" s="1">
        <v>44592</v>
      </c>
      <c r="B522">
        <v>1.6548499999999999E-5</v>
      </c>
    </row>
    <row r="523" spans="1:2" x14ac:dyDescent="0.25">
      <c r="A523" s="1">
        <v>44593</v>
      </c>
      <c r="B523">
        <v>1.5841089999999999E-5</v>
      </c>
    </row>
    <row r="524" spans="1:2" x14ac:dyDescent="0.25">
      <c r="A524" s="1">
        <v>44594</v>
      </c>
      <c r="B524">
        <v>1.6268949999999999E-5</v>
      </c>
    </row>
    <row r="525" spans="1:2" x14ac:dyDescent="0.25">
      <c r="A525" s="1">
        <v>44595</v>
      </c>
      <c r="B525">
        <v>1.6403969999999999E-5</v>
      </c>
    </row>
    <row r="526" spans="1:2" x14ac:dyDescent="0.25">
      <c r="A526" s="1">
        <v>44596</v>
      </c>
      <c r="B526">
        <v>1.6428919999999999E-5</v>
      </c>
    </row>
    <row r="527" spans="1:2" x14ac:dyDescent="0.25">
      <c r="A527" s="1">
        <v>44599</v>
      </c>
      <c r="B527">
        <v>1.6799320000000002E-5</v>
      </c>
    </row>
    <row r="528" spans="1:2" x14ac:dyDescent="0.25">
      <c r="A528" s="1">
        <v>44600</v>
      </c>
      <c r="B528">
        <v>1.6746099999999999E-5</v>
      </c>
    </row>
    <row r="529" spans="1:2" x14ac:dyDescent="0.25">
      <c r="A529" s="1">
        <v>44601</v>
      </c>
      <c r="B529">
        <v>1.6531530000000001E-5</v>
      </c>
    </row>
    <row r="530" spans="1:2" x14ac:dyDescent="0.25">
      <c r="A530" s="1">
        <v>44602</v>
      </c>
      <c r="B530">
        <v>1.634146E-5</v>
      </c>
    </row>
    <row r="531" spans="1:2" x14ac:dyDescent="0.25">
      <c r="A531" s="1">
        <v>44603</v>
      </c>
      <c r="B531">
        <v>1.6358259999999999E-5</v>
      </c>
    </row>
    <row r="532" spans="1:2" x14ac:dyDescent="0.25">
      <c r="A532" s="1">
        <v>44606</v>
      </c>
      <c r="B532">
        <v>1.6662319999999999E-5</v>
      </c>
    </row>
    <row r="533" spans="1:2" x14ac:dyDescent="0.25">
      <c r="A533" s="1">
        <v>44607</v>
      </c>
      <c r="B533">
        <v>1.6084939999999998E-5</v>
      </c>
    </row>
    <row r="534" spans="1:2" x14ac:dyDescent="0.25">
      <c r="A534" s="1">
        <v>44608</v>
      </c>
      <c r="B534">
        <v>1.6441340000000001E-5</v>
      </c>
    </row>
    <row r="535" spans="1:2" x14ac:dyDescent="0.25">
      <c r="A535" s="1">
        <v>44609</v>
      </c>
      <c r="B535">
        <v>1.6472019999999999E-5</v>
      </c>
    </row>
    <row r="536" spans="1:2" x14ac:dyDescent="0.25">
      <c r="A536" s="1">
        <v>44610</v>
      </c>
      <c r="B536">
        <v>1.6749290000000002E-5</v>
      </c>
    </row>
    <row r="537" spans="1:2" x14ac:dyDescent="0.25">
      <c r="A537" s="1">
        <v>44614</v>
      </c>
      <c r="B537">
        <v>1.6994319999999999E-5</v>
      </c>
    </row>
    <row r="538" spans="1:2" x14ac:dyDescent="0.25">
      <c r="A538" s="1">
        <v>44615</v>
      </c>
      <c r="B538">
        <v>1.7383219999999998E-5</v>
      </c>
    </row>
    <row r="539" spans="1:2" x14ac:dyDescent="0.25">
      <c r="A539" s="1">
        <v>44616</v>
      </c>
      <c r="B539">
        <v>1.6503989999999999E-5</v>
      </c>
    </row>
    <row r="540" spans="1:2" x14ac:dyDescent="0.25">
      <c r="A540" s="1">
        <v>44617</v>
      </c>
      <c r="B540">
        <v>1.6033490000000001E-5</v>
      </c>
    </row>
    <row r="541" spans="1:2" x14ac:dyDescent="0.25">
      <c r="A541" s="1">
        <v>44620</v>
      </c>
      <c r="B541">
        <v>1.5960519999999999E-5</v>
      </c>
    </row>
    <row r="542" spans="1:2" x14ac:dyDescent="0.25">
      <c r="A542" s="1">
        <v>44621</v>
      </c>
      <c r="B542">
        <v>1.5529500000000001E-5</v>
      </c>
    </row>
    <row r="543" spans="1:2" x14ac:dyDescent="0.25">
      <c r="A543" s="1">
        <v>44622</v>
      </c>
      <c r="B543">
        <v>1.5262110000000002E-5</v>
      </c>
    </row>
    <row r="544" spans="1:2" x14ac:dyDescent="0.25">
      <c r="A544" s="1">
        <v>44623</v>
      </c>
      <c r="B544">
        <v>1.533992E-5</v>
      </c>
    </row>
    <row r="545" spans="1:2" x14ac:dyDescent="0.25">
      <c r="A545" s="1">
        <v>44624</v>
      </c>
      <c r="B545">
        <v>1.4830609999999999E-5</v>
      </c>
    </row>
    <row r="546" spans="1:2" x14ac:dyDescent="0.25">
      <c r="A546" s="1">
        <v>44627</v>
      </c>
      <c r="B546">
        <v>1.461227E-5</v>
      </c>
    </row>
    <row r="547" spans="1:2" x14ac:dyDescent="0.25">
      <c r="A547" s="1">
        <v>44628</v>
      </c>
      <c r="B547">
        <v>1.5250989999999999E-5</v>
      </c>
    </row>
    <row r="548" spans="1:2" x14ac:dyDescent="0.25">
      <c r="A548" s="1">
        <v>44629</v>
      </c>
      <c r="B548">
        <v>1.5425039999999998E-5</v>
      </c>
    </row>
    <row r="549" spans="1:2" x14ac:dyDescent="0.25">
      <c r="A549" s="1">
        <v>44630</v>
      </c>
      <c r="B549">
        <v>1.5687349999999998E-5</v>
      </c>
    </row>
    <row r="550" spans="1:2" x14ac:dyDescent="0.25">
      <c r="A550" s="1">
        <v>44631</v>
      </c>
      <c r="B550">
        <v>1.5578230000000001E-5</v>
      </c>
    </row>
    <row r="551" spans="1:2" x14ac:dyDescent="0.25">
      <c r="A551" s="1">
        <v>44634</v>
      </c>
      <c r="B551">
        <v>1.608021E-5</v>
      </c>
    </row>
    <row r="552" spans="1:2" x14ac:dyDescent="0.25">
      <c r="A552" s="1">
        <v>44635</v>
      </c>
      <c r="B552">
        <v>1.583471E-5</v>
      </c>
    </row>
    <row r="553" spans="1:2" x14ac:dyDescent="0.25">
      <c r="A553" s="1">
        <v>44636</v>
      </c>
      <c r="B553">
        <v>1.6136369999999998E-5</v>
      </c>
    </row>
    <row r="554" spans="1:2" x14ac:dyDescent="0.25">
      <c r="A554" s="1">
        <v>44637</v>
      </c>
      <c r="B554">
        <v>1.6599770000000001E-5</v>
      </c>
    </row>
    <row r="555" spans="1:2" x14ac:dyDescent="0.25">
      <c r="A555" s="1">
        <v>44638</v>
      </c>
      <c r="B555">
        <v>1.7151479999999999E-5</v>
      </c>
    </row>
    <row r="556" spans="1:2" x14ac:dyDescent="0.25">
      <c r="A556" s="1">
        <v>44641</v>
      </c>
      <c r="B556">
        <v>1.7288930000000002E-5</v>
      </c>
    </row>
    <row r="557" spans="1:2" x14ac:dyDescent="0.25">
      <c r="A557" s="1">
        <v>44642</v>
      </c>
      <c r="B557">
        <v>1.7631830000000002E-5</v>
      </c>
    </row>
    <row r="558" spans="1:2" x14ac:dyDescent="0.25">
      <c r="A558" s="1">
        <v>44643</v>
      </c>
      <c r="B558">
        <v>1.803186E-5</v>
      </c>
    </row>
    <row r="559" spans="1:2" x14ac:dyDescent="0.25">
      <c r="A559" s="1">
        <v>44644</v>
      </c>
      <c r="B559">
        <v>1.7076549999999998E-5</v>
      </c>
    </row>
    <row r="560" spans="1:2" x14ac:dyDescent="0.25">
      <c r="A560" s="1">
        <v>44645</v>
      </c>
      <c r="B560">
        <v>1.6769739999999999E-5</v>
      </c>
    </row>
    <row r="561" spans="1:2" x14ac:dyDescent="0.25">
      <c r="A561" s="1">
        <v>44648</v>
      </c>
      <c r="B561">
        <v>1.6886319999999999E-5</v>
      </c>
    </row>
    <row r="562" spans="1:2" x14ac:dyDescent="0.25">
      <c r="A562" s="1">
        <v>44649</v>
      </c>
      <c r="B562">
        <v>1.71887E-5</v>
      </c>
    </row>
    <row r="563" spans="1:2" x14ac:dyDescent="0.25">
      <c r="A563" s="1">
        <v>44650</v>
      </c>
      <c r="B563">
        <v>1.785939E-5</v>
      </c>
    </row>
    <row r="564" spans="1:2" x14ac:dyDescent="0.25">
      <c r="A564" s="1">
        <v>44651</v>
      </c>
      <c r="B564">
        <v>1.87197E-5</v>
      </c>
    </row>
    <row r="565" spans="1:2" x14ac:dyDescent="0.25">
      <c r="A565" s="1">
        <v>44652</v>
      </c>
      <c r="B565">
        <v>1.666063E-5</v>
      </c>
    </row>
    <row r="566" spans="1:2" x14ac:dyDescent="0.25">
      <c r="A566" s="1">
        <v>44655</v>
      </c>
      <c r="B566">
        <v>1.6929359999999998E-5</v>
      </c>
    </row>
    <row r="567" spans="1:2" x14ac:dyDescent="0.25">
      <c r="A567" s="1">
        <v>44656</v>
      </c>
      <c r="B567">
        <v>1.710834E-5</v>
      </c>
    </row>
    <row r="568" spans="1:2" x14ac:dyDescent="0.25">
      <c r="A568" s="1">
        <v>44657</v>
      </c>
      <c r="B568">
        <v>1.731472E-5</v>
      </c>
    </row>
    <row r="569" spans="1:2" x14ac:dyDescent="0.25">
      <c r="A569" s="1">
        <v>44658</v>
      </c>
      <c r="B569">
        <v>1.7344239999999998E-5</v>
      </c>
    </row>
    <row r="570" spans="1:2" x14ac:dyDescent="0.25">
      <c r="A570" s="1">
        <v>44659</v>
      </c>
      <c r="B570">
        <v>1.7504980000000001E-5</v>
      </c>
    </row>
    <row r="571" spans="1:2" x14ac:dyDescent="0.25">
      <c r="A571" s="1">
        <v>44662</v>
      </c>
      <c r="B571">
        <v>1.758958E-5</v>
      </c>
    </row>
    <row r="572" spans="1:2" x14ac:dyDescent="0.25">
      <c r="A572" s="1">
        <v>44663</v>
      </c>
      <c r="B572">
        <v>1.7104140000000001E-5</v>
      </c>
    </row>
    <row r="573" spans="1:2" x14ac:dyDescent="0.25">
      <c r="A573" s="1">
        <v>44664</v>
      </c>
      <c r="B573">
        <v>1.8155549999999999E-5</v>
      </c>
    </row>
    <row r="574" spans="1:2" x14ac:dyDescent="0.25">
      <c r="A574" s="1">
        <v>44665</v>
      </c>
      <c r="B574">
        <v>1.7069349999999999E-5</v>
      </c>
    </row>
    <row r="575" spans="1:2" x14ac:dyDescent="0.25">
      <c r="A575" s="1">
        <v>44669</v>
      </c>
      <c r="B575">
        <v>1.738379E-5</v>
      </c>
    </row>
    <row r="576" spans="1:2" x14ac:dyDescent="0.25">
      <c r="A576" s="1">
        <v>44670</v>
      </c>
      <c r="B576">
        <v>1.8172919999999998E-5</v>
      </c>
    </row>
    <row r="577" spans="1:2" x14ac:dyDescent="0.25">
      <c r="A577" s="1">
        <v>44671</v>
      </c>
      <c r="B577">
        <v>1.86656E-5</v>
      </c>
    </row>
    <row r="578" spans="1:2" x14ac:dyDescent="0.25">
      <c r="A578" s="1">
        <v>44672</v>
      </c>
      <c r="B578">
        <v>1.8547E-5</v>
      </c>
    </row>
    <row r="579" spans="1:2" x14ac:dyDescent="0.25">
      <c r="A579" s="1">
        <v>44673</v>
      </c>
      <c r="B579">
        <v>1.765031E-5</v>
      </c>
    </row>
    <row r="580" spans="1:2" x14ac:dyDescent="0.25">
      <c r="A580" s="1">
        <v>44676</v>
      </c>
      <c r="B580">
        <v>1.783609E-5</v>
      </c>
    </row>
    <row r="581" spans="1:2" x14ac:dyDescent="0.25">
      <c r="A581" s="1">
        <v>44677</v>
      </c>
      <c r="B581">
        <v>1.819343E-5</v>
      </c>
    </row>
    <row r="582" spans="1:2" x14ac:dyDescent="0.25">
      <c r="A582" s="1">
        <v>44678</v>
      </c>
      <c r="B582">
        <v>1.803162E-5</v>
      </c>
    </row>
    <row r="583" spans="1:2" x14ac:dyDescent="0.25">
      <c r="A583" s="1">
        <v>44679</v>
      </c>
      <c r="B583">
        <v>1.8184159999999998E-5</v>
      </c>
    </row>
    <row r="584" spans="1:2" x14ac:dyDescent="0.25">
      <c r="A584" s="1">
        <v>44680</v>
      </c>
      <c r="B584">
        <v>1.9068019999999999E-5</v>
      </c>
    </row>
    <row r="585" spans="1:2" x14ac:dyDescent="0.25">
      <c r="A585" s="1">
        <v>44683</v>
      </c>
      <c r="B585">
        <v>1.7963019999999999E-5</v>
      </c>
    </row>
    <row r="586" spans="1:2" x14ac:dyDescent="0.25">
      <c r="A586" s="1">
        <v>44684</v>
      </c>
      <c r="B586">
        <v>1.7962520000000001E-5</v>
      </c>
    </row>
    <row r="587" spans="1:2" x14ac:dyDescent="0.25">
      <c r="A587" s="1">
        <v>44685</v>
      </c>
      <c r="B587">
        <v>1.8156559999999999E-5</v>
      </c>
    </row>
    <row r="588" spans="1:2" x14ac:dyDescent="0.25">
      <c r="A588" s="1">
        <v>44686</v>
      </c>
      <c r="B588">
        <v>1.8447620000000001E-5</v>
      </c>
    </row>
    <row r="589" spans="1:2" x14ac:dyDescent="0.25">
      <c r="A589" s="1">
        <v>44687</v>
      </c>
      <c r="B589">
        <v>1.8618659999999999E-5</v>
      </c>
    </row>
    <row r="590" spans="1:2" x14ac:dyDescent="0.25">
      <c r="A590" s="1">
        <v>44690</v>
      </c>
      <c r="B590">
        <v>1.858995E-5</v>
      </c>
    </row>
    <row r="591" spans="1:2" x14ac:dyDescent="0.25">
      <c r="A591" s="1">
        <v>44691</v>
      </c>
      <c r="B591">
        <v>1.8642249999999999E-5</v>
      </c>
    </row>
    <row r="592" spans="1:2" x14ac:dyDescent="0.25">
      <c r="A592" s="1">
        <v>44692</v>
      </c>
      <c r="B592">
        <v>1.8761189999999998E-5</v>
      </c>
    </row>
    <row r="593" spans="1:2" x14ac:dyDescent="0.25">
      <c r="A593" s="1">
        <v>44693</v>
      </c>
      <c r="B593">
        <v>1.9000689999999998E-5</v>
      </c>
    </row>
    <row r="594" spans="1:2" x14ac:dyDescent="0.25">
      <c r="A594" s="1">
        <v>44694</v>
      </c>
      <c r="B594">
        <v>1.865287E-5</v>
      </c>
    </row>
    <row r="595" spans="1:2" x14ac:dyDescent="0.25">
      <c r="A595" s="1">
        <v>44697</v>
      </c>
      <c r="B595">
        <v>1.833152E-5</v>
      </c>
    </row>
    <row r="596" spans="1:2" x14ac:dyDescent="0.25">
      <c r="A596" s="1">
        <v>44698</v>
      </c>
      <c r="B596">
        <v>1.8774830000000001E-5</v>
      </c>
    </row>
    <row r="597" spans="1:2" x14ac:dyDescent="0.25">
      <c r="A597" s="1">
        <v>44699</v>
      </c>
      <c r="B597">
        <v>1.9733729999999999E-5</v>
      </c>
    </row>
    <row r="598" spans="1:2" x14ac:dyDescent="0.25">
      <c r="A598" s="1">
        <v>44700</v>
      </c>
      <c r="B598">
        <v>1.9810050000000002E-5</v>
      </c>
    </row>
    <row r="599" spans="1:2" x14ac:dyDescent="0.25">
      <c r="A599" s="1">
        <v>44701</v>
      </c>
      <c r="B599">
        <v>1.987987E-5</v>
      </c>
    </row>
    <row r="600" spans="1:2" x14ac:dyDescent="0.25">
      <c r="A600" s="1">
        <v>44704</v>
      </c>
      <c r="B600">
        <v>2.044658E-5</v>
      </c>
    </row>
    <row r="601" spans="1:2" x14ac:dyDescent="0.25">
      <c r="A601" s="1">
        <v>44705</v>
      </c>
      <c r="B601">
        <v>1.987865E-5</v>
      </c>
    </row>
    <row r="602" spans="1:2" x14ac:dyDescent="0.25">
      <c r="A602" s="1">
        <v>44706</v>
      </c>
      <c r="B602">
        <v>1.99575E-5</v>
      </c>
    </row>
    <row r="603" spans="1:2" x14ac:dyDescent="0.25">
      <c r="A603" s="1">
        <v>44707</v>
      </c>
      <c r="B603">
        <v>2.0077019999999999E-5</v>
      </c>
    </row>
    <row r="604" spans="1:2" x14ac:dyDescent="0.25">
      <c r="A604" s="1">
        <v>44708</v>
      </c>
      <c r="B604">
        <v>2.0066880000000001E-5</v>
      </c>
    </row>
    <row r="605" spans="1:2" x14ac:dyDescent="0.25">
      <c r="A605" s="1">
        <v>44712</v>
      </c>
      <c r="B605">
        <v>1.9785380000000001E-5</v>
      </c>
    </row>
    <row r="606" spans="1:2" x14ac:dyDescent="0.25">
      <c r="A606" s="1">
        <v>44713</v>
      </c>
      <c r="B606">
        <v>1.965015E-5</v>
      </c>
    </row>
    <row r="607" spans="1:2" x14ac:dyDescent="0.25">
      <c r="A607" s="1">
        <v>44714</v>
      </c>
      <c r="B607">
        <v>1.9852389999999999E-5</v>
      </c>
    </row>
    <row r="608" spans="1:2" x14ac:dyDescent="0.25">
      <c r="A608" s="1">
        <v>44715</v>
      </c>
      <c r="B608">
        <v>2.0312280000000001E-5</v>
      </c>
    </row>
    <row r="609" spans="1:2" x14ac:dyDescent="0.25">
      <c r="A609" s="1">
        <v>44718</v>
      </c>
      <c r="B609">
        <v>2.0400930000000002E-5</v>
      </c>
    </row>
    <row r="610" spans="1:2" x14ac:dyDescent="0.25">
      <c r="A610" s="1">
        <v>44719</v>
      </c>
      <c r="B610">
        <v>2.091395E-5</v>
      </c>
    </row>
    <row r="611" spans="1:2" x14ac:dyDescent="0.25">
      <c r="A611" s="1">
        <v>44720</v>
      </c>
      <c r="B611">
        <v>2.1402769999999999E-5</v>
      </c>
    </row>
    <row r="612" spans="1:2" x14ac:dyDescent="0.25">
      <c r="A612" s="1">
        <v>44721</v>
      </c>
      <c r="B612">
        <v>2.142318E-5</v>
      </c>
    </row>
    <row r="613" spans="1:2" x14ac:dyDescent="0.25">
      <c r="A613" s="1">
        <v>44722</v>
      </c>
      <c r="B613">
        <v>2.1628850000000002E-5</v>
      </c>
    </row>
    <row r="614" spans="1:2" x14ac:dyDescent="0.25">
      <c r="A614" s="1">
        <v>44725</v>
      </c>
      <c r="B614">
        <v>2.2126199999999998E-5</v>
      </c>
    </row>
    <row r="615" spans="1:2" x14ac:dyDescent="0.25">
      <c r="A615" s="1">
        <v>44726</v>
      </c>
      <c r="B615">
        <v>2.2238569999999999E-5</v>
      </c>
    </row>
    <row r="616" spans="1:2" x14ac:dyDescent="0.25">
      <c r="A616" s="1">
        <v>44727</v>
      </c>
      <c r="B616">
        <v>2.1629239999999999E-5</v>
      </c>
    </row>
    <row r="617" spans="1:2" x14ac:dyDescent="0.25">
      <c r="A617" s="1">
        <v>44728</v>
      </c>
      <c r="B617">
        <v>2.1783820000000001E-5</v>
      </c>
    </row>
    <row r="618" spans="1:2" x14ac:dyDescent="0.25">
      <c r="A618" s="1">
        <v>44729</v>
      </c>
      <c r="B618">
        <v>2.229279E-5</v>
      </c>
    </row>
    <row r="619" spans="1:2" x14ac:dyDescent="0.25">
      <c r="A619" s="1">
        <v>44733</v>
      </c>
      <c r="B619">
        <v>2.1886269999999999E-5</v>
      </c>
    </row>
    <row r="620" spans="1:2" x14ac:dyDescent="0.25">
      <c r="A620" s="1">
        <v>44734</v>
      </c>
      <c r="B620">
        <v>2.2594580000000001E-5</v>
      </c>
    </row>
    <row r="621" spans="1:2" x14ac:dyDescent="0.25">
      <c r="A621" s="1">
        <v>44735</v>
      </c>
      <c r="B621">
        <v>2.2854420000000001E-5</v>
      </c>
    </row>
    <row r="622" spans="1:2" x14ac:dyDescent="0.25">
      <c r="A622" s="1">
        <v>44736</v>
      </c>
      <c r="B622">
        <v>2.1809839999999999E-5</v>
      </c>
    </row>
    <row r="623" spans="1:2" x14ac:dyDescent="0.25">
      <c r="A623" s="1">
        <v>44739</v>
      </c>
      <c r="B623">
        <v>2.155942E-5</v>
      </c>
    </row>
    <row r="624" spans="1:2" x14ac:dyDescent="0.25">
      <c r="A624" s="1">
        <v>44740</v>
      </c>
      <c r="B624">
        <v>2.2137839999999999E-5</v>
      </c>
    </row>
    <row r="625" spans="1:2" x14ac:dyDescent="0.25">
      <c r="A625" s="1">
        <v>44741</v>
      </c>
      <c r="B625">
        <v>2.2269760000000002E-5</v>
      </c>
    </row>
    <row r="626" spans="1:2" x14ac:dyDescent="0.25">
      <c r="A626" s="1">
        <v>44742</v>
      </c>
      <c r="B626">
        <v>2.329743E-5</v>
      </c>
    </row>
    <row r="627" spans="1:2" x14ac:dyDescent="0.25">
      <c r="A627" s="1">
        <v>44743</v>
      </c>
      <c r="B627">
        <v>2.1670849999999999E-5</v>
      </c>
    </row>
    <row r="628" spans="1:2" x14ac:dyDescent="0.25">
      <c r="A628" s="1">
        <v>44747</v>
      </c>
      <c r="B628">
        <v>2.1382800000000001E-5</v>
      </c>
    </row>
    <row r="629" spans="1:2" x14ac:dyDescent="0.25">
      <c r="A629" s="1">
        <v>44748</v>
      </c>
      <c r="B629">
        <v>2.1680259999999997E-5</v>
      </c>
    </row>
    <row r="630" spans="1:2" x14ac:dyDescent="0.25">
      <c r="A630" s="1">
        <v>44749</v>
      </c>
      <c r="B630">
        <v>2.172457E-5</v>
      </c>
    </row>
    <row r="631" spans="1:2" x14ac:dyDescent="0.25">
      <c r="A631" s="1">
        <v>44750</v>
      </c>
      <c r="B631">
        <v>2.1449209999999999E-5</v>
      </c>
    </row>
    <row r="632" spans="1:2" x14ac:dyDescent="0.25">
      <c r="A632" s="1">
        <v>44753</v>
      </c>
      <c r="B632">
        <v>2.1642659999999999E-5</v>
      </c>
    </row>
    <row r="633" spans="1:2" x14ac:dyDescent="0.25">
      <c r="A633" s="1">
        <v>44754</v>
      </c>
      <c r="B633">
        <v>2.1461320000000002E-5</v>
      </c>
    </row>
    <row r="634" spans="1:2" x14ac:dyDescent="0.25">
      <c r="A634" s="1">
        <v>44755</v>
      </c>
      <c r="B634">
        <v>2.1552899999999998E-5</v>
      </c>
    </row>
    <row r="635" spans="1:2" x14ac:dyDescent="0.25">
      <c r="A635" s="1">
        <v>44756</v>
      </c>
      <c r="B635">
        <v>2.207121E-5</v>
      </c>
    </row>
    <row r="636" spans="1:2" x14ac:dyDescent="0.25">
      <c r="A636" s="1">
        <v>44757</v>
      </c>
      <c r="B636">
        <v>2.1537499999999998E-5</v>
      </c>
    </row>
    <row r="637" spans="1:2" x14ac:dyDescent="0.25">
      <c r="A637" s="1">
        <v>44760</v>
      </c>
      <c r="B637">
        <v>2.1903749999999998E-5</v>
      </c>
    </row>
    <row r="638" spans="1:2" x14ac:dyDescent="0.25">
      <c r="A638" s="1">
        <v>44761</v>
      </c>
      <c r="B638">
        <v>2.2118209999999998E-5</v>
      </c>
    </row>
    <row r="639" spans="1:2" x14ac:dyDescent="0.25">
      <c r="A639" s="1">
        <v>44762</v>
      </c>
      <c r="B639">
        <v>2.2402040000000003E-5</v>
      </c>
    </row>
    <row r="640" spans="1:2" x14ac:dyDescent="0.25">
      <c r="A640" s="1">
        <v>44763</v>
      </c>
      <c r="B640">
        <v>2.2717559999999998E-5</v>
      </c>
    </row>
    <row r="641" spans="1:2" x14ac:dyDescent="0.25">
      <c r="A641" s="1">
        <v>44764</v>
      </c>
      <c r="B641">
        <v>2.2289589999999997E-5</v>
      </c>
    </row>
    <row r="642" spans="1:2" x14ac:dyDescent="0.25">
      <c r="A642" s="1">
        <v>44767</v>
      </c>
      <c r="B642">
        <v>2.1923670000000003E-5</v>
      </c>
    </row>
    <row r="643" spans="1:2" x14ac:dyDescent="0.25">
      <c r="A643" s="1">
        <v>44768</v>
      </c>
      <c r="B643">
        <v>2.1894740000000002E-5</v>
      </c>
    </row>
    <row r="644" spans="1:2" x14ac:dyDescent="0.25">
      <c r="A644" s="1">
        <v>44769</v>
      </c>
      <c r="B644">
        <v>2.1889940000000001E-5</v>
      </c>
    </row>
    <row r="645" spans="1:2" x14ac:dyDescent="0.25">
      <c r="A645" s="1">
        <v>44770</v>
      </c>
      <c r="B645">
        <v>2.2398829999999998E-5</v>
      </c>
    </row>
    <row r="646" spans="1:2" x14ac:dyDescent="0.25">
      <c r="A646" s="1">
        <v>44771</v>
      </c>
      <c r="B646">
        <v>2.3001999999999998E-5</v>
      </c>
    </row>
    <row r="647" spans="1:2" x14ac:dyDescent="0.25">
      <c r="A647" s="1">
        <v>44774</v>
      </c>
      <c r="B647">
        <v>2.1618850000000001E-5</v>
      </c>
    </row>
    <row r="648" spans="1:2" x14ac:dyDescent="0.25">
      <c r="A648" s="1">
        <v>44775</v>
      </c>
      <c r="B648">
        <v>2.1560129999999999E-5</v>
      </c>
    </row>
    <row r="649" spans="1:2" x14ac:dyDescent="0.25">
      <c r="A649" s="1">
        <v>44776</v>
      </c>
      <c r="B649">
        <v>2.1822379999999998E-5</v>
      </c>
    </row>
    <row r="650" spans="1:2" x14ac:dyDescent="0.25">
      <c r="A650" s="1">
        <v>44777</v>
      </c>
      <c r="B650">
        <v>2.1915459999999998E-5</v>
      </c>
    </row>
    <row r="651" spans="1:2" x14ac:dyDescent="0.25">
      <c r="A651" s="1">
        <v>44778</v>
      </c>
      <c r="B651">
        <v>2.1949270000000001E-5</v>
      </c>
    </row>
    <row r="652" spans="1:2" x14ac:dyDescent="0.25">
      <c r="A652" s="1">
        <v>44781</v>
      </c>
      <c r="B652">
        <v>2.1956920000000001E-5</v>
      </c>
    </row>
    <row r="653" spans="1:2" x14ac:dyDescent="0.25">
      <c r="A653" s="1">
        <v>44782</v>
      </c>
      <c r="B653">
        <v>2.1865680000000002E-5</v>
      </c>
    </row>
    <row r="654" spans="1:2" x14ac:dyDescent="0.25">
      <c r="A654" s="1">
        <v>44783</v>
      </c>
      <c r="B654">
        <v>2.1776460000000001E-5</v>
      </c>
    </row>
    <row r="655" spans="1:2" x14ac:dyDescent="0.25">
      <c r="A655" s="1">
        <v>44784</v>
      </c>
      <c r="B655">
        <v>2.1992469999999998E-5</v>
      </c>
    </row>
    <row r="656" spans="1:2" x14ac:dyDescent="0.25">
      <c r="A656" s="1">
        <v>44785</v>
      </c>
      <c r="B656">
        <v>2.2131930000000003E-5</v>
      </c>
    </row>
    <row r="657" spans="1:2" x14ac:dyDescent="0.25">
      <c r="A657" s="1">
        <v>44788</v>
      </c>
      <c r="B657">
        <v>2.175857E-5</v>
      </c>
    </row>
    <row r="658" spans="1:2" x14ac:dyDescent="0.25">
      <c r="A658" s="1">
        <v>44789</v>
      </c>
      <c r="B658">
        <v>2.165332E-5</v>
      </c>
    </row>
    <row r="659" spans="1:2" x14ac:dyDescent="0.25">
      <c r="A659" s="1">
        <v>44790</v>
      </c>
      <c r="B659">
        <v>2.1996309999999999E-5</v>
      </c>
    </row>
    <row r="660" spans="1:2" x14ac:dyDescent="0.25">
      <c r="A660" s="1">
        <v>44791</v>
      </c>
      <c r="B660">
        <v>2.2181610000000002E-5</v>
      </c>
    </row>
    <row r="661" spans="1:2" x14ac:dyDescent="0.25">
      <c r="A661" s="1">
        <v>44792</v>
      </c>
      <c r="B661">
        <v>2.2216799999999997E-5</v>
      </c>
    </row>
    <row r="662" spans="1:2" x14ac:dyDescent="0.25">
      <c r="A662" s="1">
        <v>44795</v>
      </c>
      <c r="B662">
        <v>2.2356649999999999E-5</v>
      </c>
    </row>
    <row r="663" spans="1:2" x14ac:dyDescent="0.25">
      <c r="A663" s="1">
        <v>44796</v>
      </c>
      <c r="B663">
        <v>2.2507179999999999E-5</v>
      </c>
    </row>
    <row r="664" spans="1:2" x14ac:dyDescent="0.25">
      <c r="A664" s="1">
        <v>44797</v>
      </c>
      <c r="B664">
        <v>2.2370720000000001E-5</v>
      </c>
    </row>
    <row r="665" spans="1:2" x14ac:dyDescent="0.25">
      <c r="A665" s="1">
        <v>44798</v>
      </c>
      <c r="B665">
        <v>2.187907E-5</v>
      </c>
    </row>
    <row r="666" spans="1:2" x14ac:dyDescent="0.25">
      <c r="A666" s="1">
        <v>44799</v>
      </c>
      <c r="B666">
        <v>2.1824520000000002E-5</v>
      </c>
    </row>
    <row r="667" spans="1:2" x14ac:dyDescent="0.25">
      <c r="A667" s="1">
        <v>44802</v>
      </c>
      <c r="B667">
        <v>2.205188E-5</v>
      </c>
    </row>
    <row r="668" spans="1:2" x14ac:dyDescent="0.25">
      <c r="A668" s="1">
        <v>44803</v>
      </c>
      <c r="B668">
        <v>2.1889749999999998E-5</v>
      </c>
    </row>
    <row r="669" spans="1:2" x14ac:dyDescent="0.25">
      <c r="A669" s="1">
        <v>44804</v>
      </c>
      <c r="B669">
        <v>2.251025E-5</v>
      </c>
    </row>
    <row r="670" spans="1:2" x14ac:dyDescent="0.25">
      <c r="A670" s="1">
        <v>44805</v>
      </c>
      <c r="B670">
        <v>2.1731560000000001E-5</v>
      </c>
    </row>
    <row r="671" spans="1:2" x14ac:dyDescent="0.25">
      <c r="A671" s="1">
        <v>44806</v>
      </c>
      <c r="B671">
        <v>2.1734130000000001E-5</v>
      </c>
    </row>
    <row r="672" spans="1:2" x14ac:dyDescent="0.25">
      <c r="A672" s="1">
        <v>44810</v>
      </c>
      <c r="B672">
        <v>2.1887959999999998E-5</v>
      </c>
    </row>
    <row r="673" spans="1:2" x14ac:dyDescent="0.25">
      <c r="A673" s="1">
        <v>44811</v>
      </c>
      <c r="B673">
        <v>2.2069870000000002E-5</v>
      </c>
    </row>
    <row r="674" spans="1:2" x14ac:dyDescent="0.25">
      <c r="A674" s="1">
        <v>44812</v>
      </c>
      <c r="B674">
        <v>2.2104659999999999E-5</v>
      </c>
    </row>
    <row r="675" spans="1:2" x14ac:dyDescent="0.25">
      <c r="A675" s="1">
        <v>44813</v>
      </c>
      <c r="B675">
        <v>2.2097139999999998E-5</v>
      </c>
    </row>
    <row r="676" spans="1:2" x14ac:dyDescent="0.25">
      <c r="A676" s="1">
        <v>44816</v>
      </c>
      <c r="B676">
        <v>2.2185459999999997E-5</v>
      </c>
    </row>
    <row r="677" spans="1:2" x14ac:dyDescent="0.25">
      <c r="A677" s="1">
        <v>44817</v>
      </c>
      <c r="B677">
        <v>2.2027190000000001E-5</v>
      </c>
    </row>
    <row r="678" spans="1:2" x14ac:dyDescent="0.25">
      <c r="A678" s="1">
        <v>44818</v>
      </c>
      <c r="B678">
        <v>2.2255790000000001E-5</v>
      </c>
    </row>
    <row r="679" spans="1:2" x14ac:dyDescent="0.25">
      <c r="A679" s="1">
        <v>44819</v>
      </c>
      <c r="B679">
        <v>2.1761880000000001E-5</v>
      </c>
    </row>
    <row r="680" spans="1:2" x14ac:dyDescent="0.25">
      <c r="A680" s="1">
        <v>44820</v>
      </c>
      <c r="B680">
        <v>2.1868330000000001E-5</v>
      </c>
    </row>
    <row r="681" spans="1:2" x14ac:dyDescent="0.25">
      <c r="A681" s="1">
        <v>44823</v>
      </c>
      <c r="B681">
        <v>2.2175419999999999E-5</v>
      </c>
    </row>
    <row r="682" spans="1:2" x14ac:dyDescent="0.25">
      <c r="A682" s="1">
        <v>44824</v>
      </c>
      <c r="B682">
        <v>2.2388699999999998E-5</v>
      </c>
    </row>
    <row r="683" spans="1:2" x14ac:dyDescent="0.25">
      <c r="A683" s="1">
        <v>44825</v>
      </c>
      <c r="B683">
        <v>2.3159E-5</v>
      </c>
    </row>
    <row r="684" spans="1:2" x14ac:dyDescent="0.25">
      <c r="A684" s="1">
        <v>44826</v>
      </c>
      <c r="B684">
        <v>2.3592269999999999E-5</v>
      </c>
    </row>
    <row r="685" spans="1:2" x14ac:dyDescent="0.25">
      <c r="A685" s="1">
        <v>44827</v>
      </c>
      <c r="B685">
        <v>2.3193609999999998E-5</v>
      </c>
    </row>
    <row r="686" spans="1:2" x14ac:dyDescent="0.25">
      <c r="A686" s="1">
        <v>44830</v>
      </c>
      <c r="B686">
        <v>2.2990109999999999E-5</v>
      </c>
    </row>
    <row r="687" spans="1:2" x14ac:dyDescent="0.25">
      <c r="A687" s="1">
        <v>44831</v>
      </c>
      <c r="B687">
        <v>2.3271109999999999E-5</v>
      </c>
    </row>
    <row r="688" spans="1:2" x14ac:dyDescent="0.25">
      <c r="A688" s="1">
        <v>44832</v>
      </c>
      <c r="B688">
        <v>2.3667979999999996E-5</v>
      </c>
    </row>
    <row r="689" spans="1:2" x14ac:dyDescent="0.25">
      <c r="A689" s="1">
        <v>44833</v>
      </c>
      <c r="B689">
        <v>2.371763E-5</v>
      </c>
    </row>
    <row r="690" spans="1:2" x14ac:dyDescent="0.25">
      <c r="A690" s="1">
        <v>44834</v>
      </c>
      <c r="B690">
        <v>2.42591E-5</v>
      </c>
    </row>
    <row r="691" spans="1:2" x14ac:dyDescent="0.25">
      <c r="A691" s="1">
        <v>44837</v>
      </c>
      <c r="B691">
        <v>2.2525230000000001E-5</v>
      </c>
    </row>
    <row r="692" spans="1:2" x14ac:dyDescent="0.25">
      <c r="A692" s="1">
        <v>44838</v>
      </c>
      <c r="B692">
        <v>2.2336159999999999E-5</v>
      </c>
    </row>
    <row r="693" spans="1:2" x14ac:dyDescent="0.25">
      <c r="A693" s="1">
        <v>44839</v>
      </c>
      <c r="B693">
        <v>2.230799E-5</v>
      </c>
    </row>
    <row r="694" spans="1:2" x14ac:dyDescent="0.25">
      <c r="A694" s="1">
        <v>44840</v>
      </c>
      <c r="B694">
        <v>2.2328009999999998E-5</v>
      </c>
    </row>
    <row r="695" spans="1:2" x14ac:dyDescent="0.25">
      <c r="A695" s="1">
        <v>44841</v>
      </c>
      <c r="B695">
        <v>2.2269499999999997E-5</v>
      </c>
    </row>
    <row r="696" spans="1:2" x14ac:dyDescent="0.25">
      <c r="A696" s="1">
        <v>44845</v>
      </c>
      <c r="B696">
        <v>2.2224789999999997E-5</v>
      </c>
    </row>
    <row r="697" spans="1:2" x14ac:dyDescent="0.25">
      <c r="A697" s="1">
        <v>44846</v>
      </c>
      <c r="B697">
        <v>2.2472060000000002E-5</v>
      </c>
    </row>
    <row r="698" spans="1:2" x14ac:dyDescent="0.25">
      <c r="A698" s="1">
        <v>44847</v>
      </c>
      <c r="B698">
        <v>2.2440999999999997E-5</v>
      </c>
    </row>
    <row r="699" spans="1:2" x14ac:dyDescent="0.25">
      <c r="A699" s="1">
        <v>44848</v>
      </c>
      <c r="B699">
        <v>2.222052E-5</v>
      </c>
    </row>
    <row r="700" spans="1:2" x14ac:dyDescent="0.25">
      <c r="A700" s="1">
        <v>44851</v>
      </c>
      <c r="B700">
        <v>2.1723009999999999E-5</v>
      </c>
    </row>
    <row r="701" spans="1:2" x14ac:dyDescent="0.25">
      <c r="A701" s="1">
        <v>44852</v>
      </c>
      <c r="B701">
        <v>2.2267249999999999E-5</v>
      </c>
    </row>
    <row r="702" spans="1:2" x14ac:dyDescent="0.25">
      <c r="A702" s="1">
        <v>44853</v>
      </c>
      <c r="B702">
        <v>2.2418350000000002E-5</v>
      </c>
    </row>
    <row r="703" spans="1:2" x14ac:dyDescent="0.25">
      <c r="A703" s="1">
        <v>44854</v>
      </c>
      <c r="B703">
        <v>2.2340709999999998E-5</v>
      </c>
    </row>
    <row r="704" spans="1:2" x14ac:dyDescent="0.25">
      <c r="A704" s="1">
        <v>44855</v>
      </c>
      <c r="B704">
        <v>2.2658090000000002E-5</v>
      </c>
    </row>
    <row r="705" spans="1:2" x14ac:dyDescent="0.25">
      <c r="A705" s="1">
        <v>44858</v>
      </c>
      <c r="B705">
        <v>2.2420439999999999E-5</v>
      </c>
    </row>
    <row r="706" spans="1:2" x14ac:dyDescent="0.25">
      <c r="A706" s="1">
        <v>44859</v>
      </c>
      <c r="B706">
        <v>2.1956159999999999E-5</v>
      </c>
    </row>
    <row r="707" spans="1:2" x14ac:dyDescent="0.25">
      <c r="A707" s="1">
        <v>44860</v>
      </c>
      <c r="B707">
        <v>2.1868560000000003E-5</v>
      </c>
    </row>
    <row r="708" spans="1:2" x14ac:dyDescent="0.25">
      <c r="A708" s="1">
        <v>44861</v>
      </c>
      <c r="B708">
        <v>2.1524850000000001E-5</v>
      </c>
    </row>
    <row r="709" spans="1:2" x14ac:dyDescent="0.25">
      <c r="A709" s="1">
        <v>44862</v>
      </c>
      <c r="B709">
        <v>2.1832899999999999E-5</v>
      </c>
    </row>
    <row r="710" spans="1:2" x14ac:dyDescent="0.25">
      <c r="A710" s="1">
        <v>44865</v>
      </c>
      <c r="B710">
        <v>2.275459E-5</v>
      </c>
    </row>
    <row r="711" spans="1:2" x14ac:dyDescent="0.25">
      <c r="A711" s="1">
        <v>44866</v>
      </c>
      <c r="B711">
        <v>2.2005100000000004E-5</v>
      </c>
    </row>
    <row r="712" spans="1:2" x14ac:dyDescent="0.25">
      <c r="A712" s="1">
        <v>44867</v>
      </c>
      <c r="B712">
        <v>2.2298609999999998E-5</v>
      </c>
    </row>
    <row r="713" spans="1:2" x14ac:dyDescent="0.25">
      <c r="A713" s="1">
        <v>44868</v>
      </c>
      <c r="B713">
        <v>2.219791E-5</v>
      </c>
    </row>
    <row r="714" spans="1:2" x14ac:dyDescent="0.25">
      <c r="A714" s="1">
        <v>44869</v>
      </c>
      <c r="B714">
        <v>2.2308400000000001E-5</v>
      </c>
    </row>
    <row r="715" spans="1:2" x14ac:dyDescent="0.25">
      <c r="A715" s="1">
        <v>44872</v>
      </c>
      <c r="B715">
        <v>2.2413169999999999E-5</v>
      </c>
    </row>
    <row r="716" spans="1:2" x14ac:dyDescent="0.25">
      <c r="A716" s="1">
        <v>44873</v>
      </c>
      <c r="B716">
        <v>2.2325549999999998E-5</v>
      </c>
    </row>
    <row r="717" spans="1:2" x14ac:dyDescent="0.25">
      <c r="A717" s="1">
        <v>44874</v>
      </c>
      <c r="B717">
        <v>2.237812E-5</v>
      </c>
    </row>
    <row r="718" spans="1:2" x14ac:dyDescent="0.25">
      <c r="A718" s="1">
        <v>44875</v>
      </c>
      <c r="B718">
        <v>2.2005859999999999E-5</v>
      </c>
    </row>
    <row r="719" spans="1:2" x14ac:dyDescent="0.25">
      <c r="A719" s="1">
        <v>44879</v>
      </c>
      <c r="B719">
        <v>2.165018E-5</v>
      </c>
    </row>
    <row r="720" spans="1:2" x14ac:dyDescent="0.25">
      <c r="A720" s="1">
        <v>44880</v>
      </c>
      <c r="B720">
        <v>2.0865740000000002E-5</v>
      </c>
    </row>
    <row r="721" spans="1:2" x14ac:dyDescent="0.25">
      <c r="A721" s="1">
        <v>44881</v>
      </c>
      <c r="B721">
        <v>2.0990700000000002E-5</v>
      </c>
    </row>
    <row r="722" spans="1:2" x14ac:dyDescent="0.25">
      <c r="A722" s="1">
        <v>44882</v>
      </c>
      <c r="B722">
        <v>2.114439E-5</v>
      </c>
    </row>
    <row r="723" spans="1:2" x14ac:dyDescent="0.25">
      <c r="A723" s="1">
        <v>44883</v>
      </c>
      <c r="B723">
        <v>2.113413E-5</v>
      </c>
    </row>
    <row r="724" spans="1:2" x14ac:dyDescent="0.25">
      <c r="A724" s="1">
        <v>44886</v>
      </c>
      <c r="B724">
        <v>2.1254259999999998E-5</v>
      </c>
    </row>
    <row r="725" spans="1:2" x14ac:dyDescent="0.25">
      <c r="A725" s="1">
        <v>44887</v>
      </c>
      <c r="B725">
        <v>2.1039319999999998E-5</v>
      </c>
    </row>
    <row r="726" spans="1:2" x14ac:dyDescent="0.25">
      <c r="A726" s="1">
        <v>44888</v>
      </c>
      <c r="B726">
        <v>2.069174E-5</v>
      </c>
    </row>
    <row r="727" spans="1:2" x14ac:dyDescent="0.25">
      <c r="A727" s="1">
        <v>44890</v>
      </c>
      <c r="B727">
        <v>2.0310659999999999E-5</v>
      </c>
    </row>
    <row r="728" spans="1:2" x14ac:dyDescent="0.25">
      <c r="A728" s="1">
        <v>44893</v>
      </c>
      <c r="B728">
        <v>2.0549140000000002E-5</v>
      </c>
    </row>
    <row r="729" spans="1:2" x14ac:dyDescent="0.25">
      <c r="A729" s="1">
        <v>44894</v>
      </c>
      <c r="B729">
        <v>2.0643769999999998E-5</v>
      </c>
    </row>
    <row r="730" spans="1:2" x14ac:dyDescent="0.25">
      <c r="A730" s="1">
        <v>44895</v>
      </c>
      <c r="B730">
        <v>2.1159130000000001E-5</v>
      </c>
    </row>
    <row r="731" spans="1:2" x14ac:dyDescent="0.25">
      <c r="A731" s="1">
        <v>44896</v>
      </c>
      <c r="B731">
        <v>2.050286E-5</v>
      </c>
    </row>
    <row r="732" spans="1:2" x14ac:dyDescent="0.25">
      <c r="A732" s="1">
        <v>44897</v>
      </c>
      <c r="B732">
        <v>2.049763E-5</v>
      </c>
    </row>
    <row r="733" spans="1:2" x14ac:dyDescent="0.25">
      <c r="A733" s="1">
        <v>44900</v>
      </c>
      <c r="B733">
        <v>2.093647E-5</v>
      </c>
    </row>
    <row r="734" spans="1:2" x14ac:dyDescent="0.25">
      <c r="A734" s="1">
        <v>44901</v>
      </c>
      <c r="B734">
        <v>2.1114650000000003E-5</v>
      </c>
    </row>
    <row r="735" spans="1:2" x14ac:dyDescent="0.25">
      <c r="A735" s="1">
        <v>44902</v>
      </c>
      <c r="B735">
        <v>2.151549E-5</v>
      </c>
    </row>
    <row r="736" spans="1:2" x14ac:dyDescent="0.25">
      <c r="A736" s="1">
        <v>44903</v>
      </c>
      <c r="B736">
        <v>2.175973E-5</v>
      </c>
    </row>
    <row r="737" spans="1:2" x14ac:dyDescent="0.25">
      <c r="A737" s="1">
        <v>44904</v>
      </c>
      <c r="B737">
        <v>2.1467479999999999E-5</v>
      </c>
    </row>
    <row r="738" spans="1:2" x14ac:dyDescent="0.25">
      <c r="A738" s="1">
        <v>44907</v>
      </c>
      <c r="B738">
        <v>2.1585169999999999E-5</v>
      </c>
    </row>
    <row r="739" spans="1:2" x14ac:dyDescent="0.25">
      <c r="A739" s="1">
        <v>44908</v>
      </c>
      <c r="B739">
        <v>2.180676E-5</v>
      </c>
    </row>
    <row r="740" spans="1:2" x14ac:dyDescent="0.25">
      <c r="A740" s="1">
        <v>44909</v>
      </c>
      <c r="B740">
        <v>2.1928640000000002E-5</v>
      </c>
    </row>
    <row r="741" spans="1:2" x14ac:dyDescent="0.25">
      <c r="A741" s="1">
        <v>44910</v>
      </c>
      <c r="B741">
        <v>2.123995E-5</v>
      </c>
    </row>
    <row r="742" spans="1:2" x14ac:dyDescent="0.25">
      <c r="A742" s="1">
        <v>44911</v>
      </c>
      <c r="B742">
        <v>2.1265399999999998E-5</v>
      </c>
    </row>
    <row r="743" spans="1:2" x14ac:dyDescent="0.25">
      <c r="A743" s="1">
        <v>44914</v>
      </c>
      <c r="B743">
        <v>2.1347649999999999E-5</v>
      </c>
    </row>
    <row r="744" spans="1:2" x14ac:dyDescent="0.25">
      <c r="A744" s="1">
        <v>44915</v>
      </c>
      <c r="B744">
        <v>2.1594079999999999E-5</v>
      </c>
    </row>
    <row r="745" spans="1:2" x14ac:dyDescent="0.25">
      <c r="A745" s="1">
        <v>44916</v>
      </c>
      <c r="B745">
        <v>2.2069650000000003E-5</v>
      </c>
    </row>
    <row r="746" spans="1:2" x14ac:dyDescent="0.25">
      <c r="A746" s="1">
        <v>44917</v>
      </c>
      <c r="B746">
        <v>2.2228980000000002E-5</v>
      </c>
    </row>
    <row r="747" spans="1:2" x14ac:dyDescent="0.25">
      <c r="A747" s="1">
        <v>44918</v>
      </c>
      <c r="B747">
        <v>2.2163480000000001E-5</v>
      </c>
    </row>
    <row r="748" spans="1:2" x14ac:dyDescent="0.25">
      <c r="A748" s="1">
        <v>44922</v>
      </c>
      <c r="B748">
        <v>2.2212590000000001E-5</v>
      </c>
    </row>
    <row r="749" spans="1:2" x14ac:dyDescent="0.25">
      <c r="A749" s="1">
        <v>44923</v>
      </c>
      <c r="B749">
        <v>2.2930030000000001E-5</v>
      </c>
    </row>
    <row r="750" spans="1:2" x14ac:dyDescent="0.25">
      <c r="A750" s="1">
        <v>44924</v>
      </c>
      <c r="B750">
        <v>2.3083189999999999E-5</v>
      </c>
    </row>
    <row r="751" spans="1:2" x14ac:dyDescent="0.25">
      <c r="A751" s="1">
        <v>44925</v>
      </c>
      <c r="B751">
        <v>2.5537159999999997E-5</v>
      </c>
    </row>
    <row r="752" spans="1:2" x14ac:dyDescent="0.25">
      <c r="A752" s="1">
        <v>44929</v>
      </c>
      <c r="B752">
        <v>2.1882719999999998E-5</v>
      </c>
    </row>
    <row r="753" spans="1:2" x14ac:dyDescent="0.25">
      <c r="A753" s="1">
        <v>44930</v>
      </c>
      <c r="B753">
        <v>2.2295419999999998E-5</v>
      </c>
    </row>
    <row r="754" spans="1:2" x14ac:dyDescent="0.25">
      <c r="A754" s="1">
        <v>44931</v>
      </c>
      <c r="B754">
        <v>2.242486E-5</v>
      </c>
    </row>
    <row r="755" spans="1:2" x14ac:dyDescent="0.25">
      <c r="A755" s="1">
        <v>44932</v>
      </c>
      <c r="B755">
        <v>2.2082649999999998E-5</v>
      </c>
    </row>
    <row r="756" spans="1:2" x14ac:dyDescent="0.25">
      <c r="A756" s="1">
        <v>44935</v>
      </c>
      <c r="B756">
        <v>2.1991210000000001E-5</v>
      </c>
    </row>
    <row r="757" spans="1:2" x14ac:dyDescent="0.25">
      <c r="A757" s="1">
        <v>44936</v>
      </c>
      <c r="B757">
        <v>2.1929419999999998E-5</v>
      </c>
    </row>
    <row r="758" spans="1:2" x14ac:dyDescent="0.25">
      <c r="A758" s="1">
        <v>44937</v>
      </c>
      <c r="B758">
        <v>2.1991700000000002E-5</v>
      </c>
    </row>
    <row r="759" spans="1:2" x14ac:dyDescent="0.25">
      <c r="A759" s="1">
        <v>44938</v>
      </c>
      <c r="B759">
        <v>2.202989E-5</v>
      </c>
    </row>
    <row r="760" spans="1:2" x14ac:dyDescent="0.25">
      <c r="A760" s="1">
        <v>44939</v>
      </c>
      <c r="B760">
        <v>2.1797810000000001E-5</v>
      </c>
    </row>
    <row r="761" spans="1:2" x14ac:dyDescent="0.25">
      <c r="A761" s="1">
        <v>44943</v>
      </c>
      <c r="B761">
        <v>2.093328E-5</v>
      </c>
    </row>
    <row r="762" spans="1:2" x14ac:dyDescent="0.25">
      <c r="A762" s="1">
        <v>44944</v>
      </c>
      <c r="B762">
        <v>2.1316779999999998E-5</v>
      </c>
    </row>
    <row r="763" spans="1:2" x14ac:dyDescent="0.25">
      <c r="A763" s="1">
        <v>44945</v>
      </c>
      <c r="B763">
        <v>2.1101450000000001E-5</v>
      </c>
    </row>
    <row r="764" spans="1:2" x14ac:dyDescent="0.25">
      <c r="A764" s="1">
        <v>44946</v>
      </c>
      <c r="B764">
        <v>2.090523E-5</v>
      </c>
    </row>
    <row r="765" spans="1:2" x14ac:dyDescent="0.25">
      <c r="A765" s="1">
        <v>44949</v>
      </c>
      <c r="B765">
        <v>2.1354989999999997E-5</v>
      </c>
    </row>
    <row r="766" spans="1:2" x14ac:dyDescent="0.25">
      <c r="A766" s="1">
        <v>44950</v>
      </c>
      <c r="B766">
        <v>2.0483859999999999E-5</v>
      </c>
    </row>
    <row r="767" spans="1:2" x14ac:dyDescent="0.25">
      <c r="A767" s="1">
        <v>44951</v>
      </c>
      <c r="B767">
        <v>2.031561E-5</v>
      </c>
    </row>
    <row r="768" spans="1:2" x14ac:dyDescent="0.25">
      <c r="A768" s="1">
        <v>44952</v>
      </c>
      <c r="B768">
        <v>2.024069E-5</v>
      </c>
    </row>
    <row r="769" spans="1:2" x14ac:dyDescent="0.25">
      <c r="A769" s="1">
        <v>44953</v>
      </c>
      <c r="B769">
        <v>2.0036339999999999E-5</v>
      </c>
    </row>
    <row r="770" spans="1:2" x14ac:dyDescent="0.25">
      <c r="A770" s="1">
        <v>44956</v>
      </c>
      <c r="B770">
        <v>2.0487139999999998E-5</v>
      </c>
    </row>
    <row r="771" spans="1:2" x14ac:dyDescent="0.25">
      <c r="A771" s="1">
        <v>44957</v>
      </c>
      <c r="B771">
        <v>2.0615720000000001E-5</v>
      </c>
    </row>
    <row r="772" spans="1:2" x14ac:dyDescent="0.25">
      <c r="A772" s="1">
        <v>44958</v>
      </c>
      <c r="B772">
        <v>2.0382619999999998E-5</v>
      </c>
    </row>
    <row r="773" spans="1:2" x14ac:dyDescent="0.25">
      <c r="A773" s="1">
        <v>44959</v>
      </c>
      <c r="B773">
        <v>2.050063E-5</v>
      </c>
    </row>
    <row r="774" spans="1:2" x14ac:dyDescent="0.25">
      <c r="A774" s="1">
        <v>44960</v>
      </c>
      <c r="B774">
        <v>2.0412170000000002E-5</v>
      </c>
    </row>
    <row r="775" spans="1:2" x14ac:dyDescent="0.25">
      <c r="A775" s="1">
        <v>44963</v>
      </c>
      <c r="B775">
        <v>2.0722610000000001E-5</v>
      </c>
    </row>
    <row r="776" spans="1:2" x14ac:dyDescent="0.25">
      <c r="A776" s="1">
        <v>44964</v>
      </c>
      <c r="B776">
        <v>2.0579580000000001E-5</v>
      </c>
    </row>
    <row r="777" spans="1:2" x14ac:dyDescent="0.25">
      <c r="A777" s="1">
        <v>44965</v>
      </c>
      <c r="B777">
        <v>2.0596039999999997E-5</v>
      </c>
    </row>
    <row r="778" spans="1:2" x14ac:dyDescent="0.25">
      <c r="A778" s="1">
        <v>44966</v>
      </c>
      <c r="B778">
        <v>2.0589420000000001E-5</v>
      </c>
    </row>
    <row r="779" spans="1:2" x14ac:dyDescent="0.25">
      <c r="A779" s="1">
        <v>44967</v>
      </c>
      <c r="B779">
        <v>2.0428929999999999E-5</v>
      </c>
    </row>
    <row r="780" spans="1:2" x14ac:dyDescent="0.25">
      <c r="A780" s="1">
        <v>44970</v>
      </c>
      <c r="B780">
        <v>2.107775E-5</v>
      </c>
    </row>
    <row r="781" spans="1:2" x14ac:dyDescent="0.25">
      <c r="A781" s="1">
        <v>44971</v>
      </c>
      <c r="B781">
        <v>2.0765479999999998E-5</v>
      </c>
    </row>
    <row r="782" spans="1:2" x14ac:dyDescent="0.25">
      <c r="A782" s="1">
        <v>44972</v>
      </c>
      <c r="B782">
        <v>2.0119979999999999E-5</v>
      </c>
    </row>
    <row r="783" spans="1:2" x14ac:dyDescent="0.25">
      <c r="A783" s="1">
        <v>44973</v>
      </c>
      <c r="B783">
        <v>2.032457E-5</v>
      </c>
    </row>
    <row r="784" spans="1:2" x14ac:dyDescent="0.25">
      <c r="A784" s="1">
        <v>44974</v>
      </c>
      <c r="B784">
        <v>2.0596619999999997E-5</v>
      </c>
    </row>
    <row r="785" spans="1:2" x14ac:dyDescent="0.25">
      <c r="A785" s="1">
        <v>44978</v>
      </c>
      <c r="B785">
        <v>2.0460640000000001E-5</v>
      </c>
    </row>
    <row r="786" spans="1:2" x14ac:dyDescent="0.25">
      <c r="A786" s="1">
        <v>44979</v>
      </c>
      <c r="B786">
        <v>2.113849E-5</v>
      </c>
    </row>
    <row r="787" spans="1:2" x14ac:dyDescent="0.25">
      <c r="A787" s="1">
        <v>44980</v>
      </c>
      <c r="B787">
        <v>2.147417E-5</v>
      </c>
    </row>
    <row r="788" spans="1:2" x14ac:dyDescent="0.25">
      <c r="A788" s="1">
        <v>44981</v>
      </c>
      <c r="B788">
        <v>2.1421410000000002E-5</v>
      </c>
    </row>
    <row r="789" spans="1:2" x14ac:dyDescent="0.25">
      <c r="A789" s="1">
        <v>44984</v>
      </c>
      <c r="B789">
        <v>2.1624349999999999E-5</v>
      </c>
    </row>
    <row r="790" spans="1:2" x14ac:dyDescent="0.25">
      <c r="A790" s="1">
        <v>44985</v>
      </c>
      <c r="B790">
        <v>2.1880349999999998E-5</v>
      </c>
    </row>
    <row r="791" spans="1:2" x14ac:dyDescent="0.25">
      <c r="A791" s="1">
        <v>44986</v>
      </c>
      <c r="B791">
        <v>2.1339499999999998E-5</v>
      </c>
    </row>
    <row r="792" spans="1:2" x14ac:dyDescent="0.25">
      <c r="A792" s="1">
        <v>44987</v>
      </c>
      <c r="B792">
        <v>2.1923550000000001E-5</v>
      </c>
    </row>
    <row r="793" spans="1:2" x14ac:dyDescent="0.25">
      <c r="A793" s="1">
        <v>44988</v>
      </c>
      <c r="B793">
        <v>2.1861500000000001E-5</v>
      </c>
    </row>
    <row r="794" spans="1:2" x14ac:dyDescent="0.25">
      <c r="A794" s="1">
        <v>44991</v>
      </c>
      <c r="B794">
        <v>2.1907930000000003E-5</v>
      </c>
    </row>
    <row r="795" spans="1:2" x14ac:dyDescent="0.25">
      <c r="A795" s="1">
        <v>44992</v>
      </c>
      <c r="B795">
        <v>2.1701950000000003E-5</v>
      </c>
    </row>
    <row r="796" spans="1:2" x14ac:dyDescent="0.25">
      <c r="A796" s="1">
        <v>44993</v>
      </c>
      <c r="B796">
        <v>2.1932370000000002E-5</v>
      </c>
    </row>
    <row r="797" spans="1:2" x14ac:dyDescent="0.25">
      <c r="A797" s="1">
        <v>44994</v>
      </c>
      <c r="B797">
        <v>2.229623E-5</v>
      </c>
    </row>
    <row r="798" spans="1:2" x14ac:dyDescent="0.25">
      <c r="A798" s="1">
        <v>44995</v>
      </c>
      <c r="B798">
        <v>2.1883749999999999E-5</v>
      </c>
    </row>
    <row r="799" spans="1:2" x14ac:dyDescent="0.25">
      <c r="A799" s="1">
        <v>44998</v>
      </c>
      <c r="B799">
        <v>2.1266770000000002E-5</v>
      </c>
    </row>
    <row r="800" spans="1:2" x14ac:dyDescent="0.25">
      <c r="A800" s="1">
        <v>44999</v>
      </c>
      <c r="B800">
        <v>2.0425789999999999E-5</v>
      </c>
    </row>
    <row r="801" spans="1:2" x14ac:dyDescent="0.25">
      <c r="A801" s="1">
        <v>45000</v>
      </c>
      <c r="B801">
        <v>2.0558229999999998E-5</v>
      </c>
    </row>
    <row r="802" spans="1:2" x14ac:dyDescent="0.25">
      <c r="A802" s="1">
        <v>45001</v>
      </c>
      <c r="B802">
        <v>2.0663189999999998E-5</v>
      </c>
    </row>
    <row r="803" spans="1:2" x14ac:dyDescent="0.25">
      <c r="A803" s="1">
        <v>45002</v>
      </c>
      <c r="B803">
        <v>2.1061660000000003E-5</v>
      </c>
    </row>
    <row r="804" spans="1:2" x14ac:dyDescent="0.25">
      <c r="A804" s="1">
        <v>45005</v>
      </c>
      <c r="B804">
        <v>2.098393E-5</v>
      </c>
    </row>
    <row r="805" spans="1:2" x14ac:dyDescent="0.25">
      <c r="A805" s="1">
        <v>45006</v>
      </c>
      <c r="B805">
        <v>2.1946309999999998E-5</v>
      </c>
    </row>
    <row r="806" spans="1:2" x14ac:dyDescent="0.25">
      <c r="A806" s="1">
        <v>45007</v>
      </c>
      <c r="B806">
        <v>2.2796080000000002E-5</v>
      </c>
    </row>
    <row r="807" spans="1:2" x14ac:dyDescent="0.25">
      <c r="A807" s="1">
        <v>45008</v>
      </c>
      <c r="B807">
        <v>2.2339560000000003E-5</v>
      </c>
    </row>
    <row r="808" spans="1:2" x14ac:dyDescent="0.25">
      <c r="A808" s="1">
        <v>45009</v>
      </c>
      <c r="B808">
        <v>2.218458E-5</v>
      </c>
    </row>
    <row r="809" spans="1:2" x14ac:dyDescent="0.25">
      <c r="A809" s="1">
        <v>45012</v>
      </c>
      <c r="B809">
        <v>2.2201309999999998E-5</v>
      </c>
    </row>
    <row r="810" spans="1:2" x14ac:dyDescent="0.25">
      <c r="A810" s="1">
        <v>45013</v>
      </c>
      <c r="B810">
        <v>2.2317489999999997E-5</v>
      </c>
    </row>
    <row r="811" spans="1:2" x14ac:dyDescent="0.25">
      <c r="A811" s="1">
        <v>45014</v>
      </c>
      <c r="B811">
        <v>2.264862E-5</v>
      </c>
    </row>
    <row r="812" spans="1:2" x14ac:dyDescent="0.25">
      <c r="A812" s="1">
        <v>45015</v>
      </c>
      <c r="B812">
        <v>2.271531E-5</v>
      </c>
    </row>
    <row r="813" spans="1:2" x14ac:dyDescent="0.25">
      <c r="A813" s="1">
        <v>45016</v>
      </c>
      <c r="B813">
        <v>2.3751709999999999E-5</v>
      </c>
    </row>
    <row r="814" spans="1:2" x14ac:dyDescent="0.25">
      <c r="A814" s="1">
        <v>45019</v>
      </c>
      <c r="B814">
        <v>2.2210100000000003E-5</v>
      </c>
    </row>
    <row r="815" spans="1:2" x14ac:dyDescent="0.25">
      <c r="A815" s="1">
        <v>45020</v>
      </c>
      <c r="B815">
        <v>2.2193750000000001E-5</v>
      </c>
    </row>
    <row r="816" spans="1:2" x14ac:dyDescent="0.25">
      <c r="A816" s="1">
        <v>45021</v>
      </c>
      <c r="B816">
        <v>2.2430110000000001E-5</v>
      </c>
    </row>
    <row r="817" spans="1:2" x14ac:dyDescent="0.25">
      <c r="A817" s="1">
        <v>45022</v>
      </c>
      <c r="B817">
        <v>2.173663E-5</v>
      </c>
    </row>
    <row r="818" spans="1:2" x14ac:dyDescent="0.25">
      <c r="A818" s="1">
        <v>45026</v>
      </c>
      <c r="B818">
        <v>2.2396550000000002E-5</v>
      </c>
    </row>
    <row r="819" spans="1:2" x14ac:dyDescent="0.25">
      <c r="A819" s="1">
        <v>45027</v>
      </c>
      <c r="B819">
        <v>2.2972080000000002E-5</v>
      </c>
    </row>
    <row r="820" spans="1:2" x14ac:dyDescent="0.25">
      <c r="A820" s="1">
        <v>45028</v>
      </c>
      <c r="B820">
        <v>2.3038620000000001E-5</v>
      </c>
    </row>
    <row r="821" spans="1:2" x14ac:dyDescent="0.25">
      <c r="A821" s="1">
        <v>45029</v>
      </c>
      <c r="B821">
        <v>2.3216990000000001E-5</v>
      </c>
    </row>
    <row r="822" spans="1:2" x14ac:dyDescent="0.25">
      <c r="A822" s="1">
        <v>45030</v>
      </c>
      <c r="B822">
        <v>2.253786E-5</v>
      </c>
    </row>
    <row r="823" spans="1:2" x14ac:dyDescent="0.25">
      <c r="A823" s="1">
        <v>45033</v>
      </c>
      <c r="B823">
        <v>2.2568449999999999E-5</v>
      </c>
    </row>
    <row r="824" spans="1:2" x14ac:dyDescent="0.25">
      <c r="A824" s="1">
        <v>45034</v>
      </c>
      <c r="B824">
        <v>2.238994E-5</v>
      </c>
    </row>
    <row r="825" spans="1:2" x14ac:dyDescent="0.25">
      <c r="A825" s="1">
        <v>45035</v>
      </c>
      <c r="B825">
        <v>2.294677E-5</v>
      </c>
    </row>
    <row r="826" spans="1:2" x14ac:dyDescent="0.25">
      <c r="A826" s="1">
        <v>45036</v>
      </c>
      <c r="B826">
        <v>2.2772589999999999E-5</v>
      </c>
    </row>
    <row r="827" spans="1:2" x14ac:dyDescent="0.25">
      <c r="A827" s="1">
        <v>45037</v>
      </c>
      <c r="B827">
        <v>2.290023E-5</v>
      </c>
    </row>
    <row r="828" spans="1:2" x14ac:dyDescent="0.25">
      <c r="A828" s="1">
        <v>45040</v>
      </c>
      <c r="B828">
        <v>2.308538E-5</v>
      </c>
    </row>
    <row r="829" spans="1:2" x14ac:dyDescent="0.25">
      <c r="A829" s="1">
        <v>45041</v>
      </c>
      <c r="B829">
        <v>2.2754020000000001E-5</v>
      </c>
    </row>
    <row r="830" spans="1:2" x14ac:dyDescent="0.25">
      <c r="A830" s="1">
        <v>45042</v>
      </c>
      <c r="B830">
        <v>2.2795610000000003E-5</v>
      </c>
    </row>
    <row r="831" spans="1:2" x14ac:dyDescent="0.25">
      <c r="A831" s="1">
        <v>45043</v>
      </c>
      <c r="B831">
        <v>2.2739259999999998E-5</v>
      </c>
    </row>
    <row r="832" spans="1:2" x14ac:dyDescent="0.25">
      <c r="A832" s="1">
        <v>45044</v>
      </c>
      <c r="B832">
        <v>2.3254789999999999E-5</v>
      </c>
    </row>
    <row r="833" spans="1:2" x14ac:dyDescent="0.25">
      <c r="A833" s="1">
        <v>45047</v>
      </c>
      <c r="B833">
        <v>2.239866E-5</v>
      </c>
    </row>
    <row r="834" spans="1:2" x14ac:dyDescent="0.25">
      <c r="A834" s="1">
        <v>45048</v>
      </c>
      <c r="B834">
        <v>2.2671300000000001E-5</v>
      </c>
    </row>
    <row r="835" spans="1:2" x14ac:dyDescent="0.25">
      <c r="A835" s="1">
        <v>45049</v>
      </c>
      <c r="B835">
        <v>2.2582220000000003E-5</v>
      </c>
    </row>
    <row r="836" spans="1:2" x14ac:dyDescent="0.25">
      <c r="A836" s="1">
        <v>45050</v>
      </c>
      <c r="B836">
        <v>2.242399E-5</v>
      </c>
    </row>
    <row r="837" spans="1:2" x14ac:dyDescent="0.25">
      <c r="A837" s="1">
        <v>45051</v>
      </c>
      <c r="B837">
        <v>2.2074149999999999E-5</v>
      </c>
    </row>
    <row r="838" spans="1:2" x14ac:dyDescent="0.25">
      <c r="A838" s="1">
        <v>45054</v>
      </c>
      <c r="B838">
        <v>2.217601E-5</v>
      </c>
    </row>
    <row r="839" spans="1:2" x14ac:dyDescent="0.25">
      <c r="A839" s="1">
        <v>45055</v>
      </c>
      <c r="B839">
        <v>2.2228639999999999E-5</v>
      </c>
    </row>
    <row r="840" spans="1:2" x14ac:dyDescent="0.25">
      <c r="A840" s="1">
        <v>45056</v>
      </c>
      <c r="B840">
        <v>2.2331490000000001E-5</v>
      </c>
    </row>
    <row r="841" spans="1:2" x14ac:dyDescent="0.25">
      <c r="A841" s="1">
        <v>45057</v>
      </c>
      <c r="B841">
        <v>2.2422429999999999E-5</v>
      </c>
    </row>
    <row r="842" spans="1:2" x14ac:dyDescent="0.25">
      <c r="A842" s="1">
        <v>45058</v>
      </c>
      <c r="B842">
        <v>2.2291990000000002E-5</v>
      </c>
    </row>
    <row r="843" spans="1:2" x14ac:dyDescent="0.25">
      <c r="A843" s="1">
        <v>45061</v>
      </c>
      <c r="B843">
        <v>2.2209270000000002E-5</v>
      </c>
    </row>
    <row r="844" spans="1:2" x14ac:dyDescent="0.25">
      <c r="A844" s="1">
        <v>45062</v>
      </c>
      <c r="B844">
        <v>2.2032139999999998E-5</v>
      </c>
    </row>
    <row r="845" spans="1:2" x14ac:dyDescent="0.25">
      <c r="A845" s="1">
        <v>45063</v>
      </c>
      <c r="B845">
        <v>2.2136759999999998E-5</v>
      </c>
    </row>
    <row r="846" spans="1:2" x14ac:dyDescent="0.25">
      <c r="A846" s="1">
        <v>45064</v>
      </c>
      <c r="B846">
        <v>2.2382660000000002E-5</v>
      </c>
    </row>
    <row r="847" spans="1:2" x14ac:dyDescent="0.25">
      <c r="A847" s="1">
        <v>45065</v>
      </c>
      <c r="B847">
        <v>2.2767199999999998E-5</v>
      </c>
    </row>
    <row r="848" spans="1:2" x14ac:dyDescent="0.25">
      <c r="A848" s="1">
        <v>45068</v>
      </c>
      <c r="B848">
        <v>2.2753110000000001E-5</v>
      </c>
    </row>
    <row r="849" spans="1:2" x14ac:dyDescent="0.25">
      <c r="A849" s="1">
        <v>45069</v>
      </c>
      <c r="B849">
        <v>2.2566889999999998E-5</v>
      </c>
    </row>
    <row r="850" spans="1:2" x14ac:dyDescent="0.25">
      <c r="A850" s="1">
        <v>45070</v>
      </c>
      <c r="B850">
        <v>2.2507089999999999E-5</v>
      </c>
    </row>
    <row r="851" spans="1:2" x14ac:dyDescent="0.25">
      <c r="A851" s="1">
        <v>45071</v>
      </c>
      <c r="B851">
        <v>2.197638E-5</v>
      </c>
    </row>
    <row r="852" spans="1:2" x14ac:dyDescent="0.25">
      <c r="A852" s="1">
        <v>45072</v>
      </c>
      <c r="B852">
        <v>2.1896810000000001E-5</v>
      </c>
    </row>
    <row r="853" spans="1:2" x14ac:dyDescent="0.25">
      <c r="A853" s="1">
        <v>45076</v>
      </c>
      <c r="B853">
        <v>2.2004789999999999E-5</v>
      </c>
    </row>
    <row r="854" spans="1:2" x14ac:dyDescent="0.25">
      <c r="A854" s="1">
        <v>45077</v>
      </c>
      <c r="B854">
        <v>2.2548589999999999E-5</v>
      </c>
    </row>
    <row r="855" spans="1:2" x14ac:dyDescent="0.25">
      <c r="A855" s="1">
        <v>45078</v>
      </c>
      <c r="B855">
        <v>2.1600549999999998E-5</v>
      </c>
    </row>
    <row r="856" spans="1:2" x14ac:dyDescent="0.25">
      <c r="A856" s="1">
        <v>45079</v>
      </c>
      <c r="B856">
        <v>2.1421019999999998E-5</v>
      </c>
    </row>
    <row r="857" spans="1:2" x14ac:dyDescent="0.25">
      <c r="A857" s="1">
        <v>45082</v>
      </c>
      <c r="B857">
        <v>2.1314169999999998E-5</v>
      </c>
    </row>
    <row r="858" spans="1:2" x14ac:dyDescent="0.25">
      <c r="A858" s="1">
        <v>45083</v>
      </c>
      <c r="B858">
        <v>2.1346379999999998E-5</v>
      </c>
    </row>
    <row r="859" spans="1:2" x14ac:dyDescent="0.25">
      <c r="A859" s="1">
        <v>45084</v>
      </c>
      <c r="B859">
        <v>2.1615560000000001E-5</v>
      </c>
    </row>
    <row r="860" spans="1:2" x14ac:dyDescent="0.25">
      <c r="A860" s="1">
        <v>45085</v>
      </c>
      <c r="B860">
        <v>2.1417979999999999E-5</v>
      </c>
    </row>
    <row r="861" spans="1:2" x14ac:dyDescent="0.25">
      <c r="A861" s="1">
        <v>45086</v>
      </c>
      <c r="B861">
        <v>2.127652E-5</v>
      </c>
    </row>
    <row r="862" spans="1:2" x14ac:dyDescent="0.25">
      <c r="A862" s="1">
        <v>45089</v>
      </c>
      <c r="B862">
        <v>2.1268699999999998E-5</v>
      </c>
    </row>
    <row r="863" spans="1:2" x14ac:dyDescent="0.25">
      <c r="A863" s="1">
        <v>45090</v>
      </c>
      <c r="B863">
        <v>2.0745199999999999E-5</v>
      </c>
    </row>
    <row r="864" spans="1:2" x14ac:dyDescent="0.25">
      <c r="A864" s="1">
        <v>45091</v>
      </c>
      <c r="B864">
        <v>2.1091049999999999E-5</v>
      </c>
    </row>
    <row r="865" spans="1:2" x14ac:dyDescent="0.25">
      <c r="A865" s="1">
        <v>45092</v>
      </c>
      <c r="B865">
        <v>1.9921400000000002E-5</v>
      </c>
    </row>
    <row r="866" spans="1:2" x14ac:dyDescent="0.25">
      <c r="A866" s="1">
        <v>45093</v>
      </c>
      <c r="B866">
        <v>2.0115560000000002E-5</v>
      </c>
    </row>
    <row r="867" spans="1:2" x14ac:dyDescent="0.25">
      <c r="A867" s="1">
        <v>45097</v>
      </c>
      <c r="B867">
        <v>1.9894890000000001E-5</v>
      </c>
    </row>
    <row r="868" spans="1:2" x14ac:dyDescent="0.25">
      <c r="A868" s="1">
        <v>45098</v>
      </c>
      <c r="B868">
        <v>2.037102E-5</v>
      </c>
    </row>
    <row r="869" spans="1:2" x14ac:dyDescent="0.25">
      <c r="A869" s="1">
        <v>45099</v>
      </c>
      <c r="B869">
        <v>1.9947110000000002E-5</v>
      </c>
    </row>
    <row r="870" spans="1:2" x14ac:dyDescent="0.25">
      <c r="A870" s="1">
        <v>45100</v>
      </c>
      <c r="B870">
        <v>1.9693800000000001E-5</v>
      </c>
    </row>
    <row r="871" spans="1:2" x14ac:dyDescent="0.25">
      <c r="A871" s="1">
        <v>45103</v>
      </c>
      <c r="B871">
        <v>1.9610269999999999E-5</v>
      </c>
    </row>
    <row r="872" spans="1:2" x14ac:dyDescent="0.25">
      <c r="A872" s="1">
        <v>45104</v>
      </c>
      <c r="B872">
        <v>1.9510979999999999E-5</v>
      </c>
    </row>
    <row r="873" spans="1:2" x14ac:dyDescent="0.25">
      <c r="A873" s="1">
        <v>45105</v>
      </c>
      <c r="B873">
        <v>1.945211E-5</v>
      </c>
    </row>
    <row r="874" spans="1:2" x14ac:dyDescent="0.25">
      <c r="A874" s="1">
        <v>45106</v>
      </c>
      <c r="B874">
        <v>1.9346839999999999E-5</v>
      </c>
    </row>
    <row r="875" spans="1:2" x14ac:dyDescent="0.25">
      <c r="A875" s="1">
        <v>45107</v>
      </c>
      <c r="B875">
        <v>2.0343189999999998E-5</v>
      </c>
    </row>
    <row r="876" spans="1:2" x14ac:dyDescent="0.25">
      <c r="A876" s="1">
        <v>45110</v>
      </c>
      <c r="B876">
        <v>1.9096389999999998E-5</v>
      </c>
    </row>
    <row r="877" spans="1:2" x14ac:dyDescent="0.25">
      <c r="A877" s="1">
        <v>45112</v>
      </c>
      <c r="B877">
        <v>1.8670609999999998E-5</v>
      </c>
    </row>
    <row r="878" spans="1:2" x14ac:dyDescent="0.25">
      <c r="A878" s="1">
        <v>45113</v>
      </c>
      <c r="B878">
        <v>1.8542560000000002E-5</v>
      </c>
    </row>
    <row r="879" spans="1:2" x14ac:dyDescent="0.25">
      <c r="A879" s="1">
        <v>45114</v>
      </c>
      <c r="B879">
        <v>1.822303E-5</v>
      </c>
    </row>
    <row r="880" spans="1:2" x14ac:dyDescent="0.25">
      <c r="A880" s="1">
        <v>45117</v>
      </c>
      <c r="B880">
        <v>1.811981E-5</v>
      </c>
    </row>
    <row r="881" spans="1:2" x14ac:dyDescent="0.25">
      <c r="A881" s="1">
        <v>45118</v>
      </c>
      <c r="B881">
        <v>1.7757959999999999E-5</v>
      </c>
    </row>
    <row r="882" spans="1:2" x14ac:dyDescent="0.25">
      <c r="A882" s="1">
        <v>45119</v>
      </c>
      <c r="B882">
        <v>1.8201459999999999E-5</v>
      </c>
    </row>
    <row r="883" spans="1:2" x14ac:dyDescent="0.25">
      <c r="A883" s="1">
        <v>45120</v>
      </c>
      <c r="B883">
        <v>1.7674319999999999E-5</v>
      </c>
    </row>
    <row r="884" spans="1:2" x14ac:dyDescent="0.25">
      <c r="A884" s="1">
        <v>45121</v>
      </c>
      <c r="B884">
        <v>1.7407770000000001E-5</v>
      </c>
    </row>
    <row r="885" spans="1:2" x14ac:dyDescent="0.25">
      <c r="A885" s="1">
        <v>45124</v>
      </c>
      <c r="B885">
        <v>1.7283219999999999E-5</v>
      </c>
    </row>
    <row r="886" spans="1:2" x14ac:dyDescent="0.25">
      <c r="A886" s="1">
        <v>45125</v>
      </c>
      <c r="B886">
        <v>1.7168620000000002E-5</v>
      </c>
    </row>
    <row r="887" spans="1:2" x14ac:dyDescent="0.25">
      <c r="A887" s="1">
        <v>45126</v>
      </c>
      <c r="B887">
        <v>1.732804E-5</v>
      </c>
    </row>
    <row r="888" spans="1:2" x14ac:dyDescent="0.25">
      <c r="A888" s="1">
        <v>45127</v>
      </c>
      <c r="B888">
        <v>1.721001E-5</v>
      </c>
    </row>
    <row r="889" spans="1:2" x14ac:dyDescent="0.25">
      <c r="A889" s="1">
        <v>45128</v>
      </c>
      <c r="B889">
        <v>1.7707520000000001E-5</v>
      </c>
    </row>
    <row r="890" spans="1:2" x14ac:dyDescent="0.25">
      <c r="A890" s="1">
        <v>45131</v>
      </c>
      <c r="B890">
        <v>1.770867E-5</v>
      </c>
    </row>
    <row r="891" spans="1:2" x14ac:dyDescent="0.25">
      <c r="A891" s="1">
        <v>45132</v>
      </c>
      <c r="B891">
        <v>1.7207159999999997E-5</v>
      </c>
    </row>
    <row r="892" spans="1:2" x14ac:dyDescent="0.25">
      <c r="A892" s="1">
        <v>45133</v>
      </c>
      <c r="B892">
        <v>1.7497329999999998E-5</v>
      </c>
    </row>
    <row r="893" spans="1:2" x14ac:dyDescent="0.25">
      <c r="A893" s="1">
        <v>45134</v>
      </c>
      <c r="B893">
        <v>1.735783E-5</v>
      </c>
    </row>
    <row r="894" spans="1:2" x14ac:dyDescent="0.25">
      <c r="A894" s="1">
        <v>45135</v>
      </c>
      <c r="B894">
        <v>1.730227E-5</v>
      </c>
    </row>
    <row r="895" spans="1:2" x14ac:dyDescent="0.25">
      <c r="A895" s="1">
        <v>45138</v>
      </c>
      <c r="B895">
        <v>1.8211239999999999E-5</v>
      </c>
    </row>
    <row r="896" spans="1:2" x14ac:dyDescent="0.25">
      <c r="A896" s="1">
        <v>45139</v>
      </c>
      <c r="B896">
        <v>1.7395540000000003E-5</v>
      </c>
    </row>
    <row r="897" spans="1:2" x14ac:dyDescent="0.25">
      <c r="A897" s="1">
        <v>45140</v>
      </c>
      <c r="B897">
        <v>1.7701859999999998E-5</v>
      </c>
    </row>
    <row r="898" spans="1:2" x14ac:dyDescent="0.25">
      <c r="A898" s="1">
        <v>45141</v>
      </c>
      <c r="B898">
        <v>1.7767739999999999E-5</v>
      </c>
    </row>
    <row r="899" spans="1:2" x14ac:dyDescent="0.25">
      <c r="A899" s="1">
        <v>45142</v>
      </c>
      <c r="B899">
        <v>1.7938039999999999E-5</v>
      </c>
    </row>
    <row r="900" spans="1:2" x14ac:dyDescent="0.25">
      <c r="A900" s="1">
        <v>45145</v>
      </c>
      <c r="B900">
        <v>1.8105830000000001E-5</v>
      </c>
    </row>
    <row r="901" spans="1:2" x14ac:dyDescent="0.25">
      <c r="A901" s="1">
        <v>45146</v>
      </c>
      <c r="B901">
        <v>1.7783510000000001E-5</v>
      </c>
    </row>
    <row r="902" spans="1:2" x14ac:dyDescent="0.25">
      <c r="A902" s="1">
        <v>45147</v>
      </c>
      <c r="B902">
        <v>1.7965190000000001E-5</v>
      </c>
    </row>
    <row r="903" spans="1:2" x14ac:dyDescent="0.25">
      <c r="A903" s="1">
        <v>45148</v>
      </c>
      <c r="B903">
        <v>1.759897E-5</v>
      </c>
    </row>
    <row r="904" spans="1:2" x14ac:dyDescent="0.25">
      <c r="A904" s="1">
        <v>45149</v>
      </c>
      <c r="B904">
        <v>1.773236E-5</v>
      </c>
    </row>
    <row r="905" spans="1:2" x14ac:dyDescent="0.25">
      <c r="A905" s="1">
        <v>45152</v>
      </c>
      <c r="B905">
        <v>1.799311E-5</v>
      </c>
    </row>
    <row r="906" spans="1:2" x14ac:dyDescent="0.25">
      <c r="A906" s="1">
        <v>45153</v>
      </c>
      <c r="B906">
        <v>1.743784E-5</v>
      </c>
    </row>
    <row r="907" spans="1:2" x14ac:dyDescent="0.25">
      <c r="A907" s="1">
        <v>45154</v>
      </c>
      <c r="B907">
        <v>1.796725E-5</v>
      </c>
    </row>
    <row r="908" spans="1:2" x14ac:dyDescent="0.25">
      <c r="A908" s="1">
        <v>45155</v>
      </c>
      <c r="B908">
        <v>1.79412E-5</v>
      </c>
    </row>
    <row r="909" spans="1:2" x14ac:dyDescent="0.25">
      <c r="A909" s="1">
        <v>45156</v>
      </c>
      <c r="B909">
        <v>1.8192009999999999E-5</v>
      </c>
    </row>
    <row r="910" spans="1:2" x14ac:dyDescent="0.25">
      <c r="A910" s="1">
        <v>45159</v>
      </c>
      <c r="B910">
        <v>1.8247880000000001E-5</v>
      </c>
    </row>
    <row r="911" spans="1:2" x14ac:dyDescent="0.25">
      <c r="A911" s="1">
        <v>45160</v>
      </c>
      <c r="B911">
        <v>1.8122940000000002E-5</v>
      </c>
    </row>
    <row r="912" spans="1:2" x14ac:dyDescent="0.25">
      <c r="A912" s="1">
        <v>45161</v>
      </c>
      <c r="B912">
        <v>1.8165329999999999E-5</v>
      </c>
    </row>
    <row r="913" spans="1:2" x14ac:dyDescent="0.25">
      <c r="A913" s="1">
        <v>45162</v>
      </c>
      <c r="B913">
        <v>1.7316230000000001E-5</v>
      </c>
    </row>
    <row r="914" spans="1:2" x14ac:dyDescent="0.25">
      <c r="A914" s="1">
        <v>45163</v>
      </c>
      <c r="B914">
        <v>1.687379E-5</v>
      </c>
    </row>
    <row r="915" spans="1:2" x14ac:dyDescent="0.25">
      <c r="A915" s="1">
        <v>45166</v>
      </c>
      <c r="B915">
        <v>1.7086049999999999E-5</v>
      </c>
    </row>
    <row r="916" spans="1:2" x14ac:dyDescent="0.25">
      <c r="A916" s="1">
        <v>45167</v>
      </c>
      <c r="B916">
        <v>1.693278E-5</v>
      </c>
    </row>
    <row r="917" spans="1:2" x14ac:dyDescent="0.25">
      <c r="A917" s="1">
        <v>45168</v>
      </c>
      <c r="B917">
        <v>1.6968190000000001E-5</v>
      </c>
    </row>
    <row r="918" spans="1:2" x14ac:dyDescent="0.25">
      <c r="A918" s="1">
        <v>45169</v>
      </c>
      <c r="B918">
        <v>1.651602E-5</v>
      </c>
    </row>
    <row r="919" spans="1:2" x14ac:dyDescent="0.25">
      <c r="A919" s="1">
        <v>45170</v>
      </c>
      <c r="B919">
        <v>1.574065E-5</v>
      </c>
    </row>
    <row r="920" spans="1:2" x14ac:dyDescent="0.25">
      <c r="A920" s="1">
        <v>45174</v>
      </c>
      <c r="B920">
        <v>1.56849E-5</v>
      </c>
    </row>
    <row r="921" spans="1:2" x14ac:dyDescent="0.25">
      <c r="A921" s="1">
        <v>45175</v>
      </c>
      <c r="B921">
        <v>1.606244E-5</v>
      </c>
    </row>
    <row r="922" spans="1:2" x14ac:dyDescent="0.25">
      <c r="A922" s="1">
        <v>45176</v>
      </c>
      <c r="B922">
        <v>1.5352889999999999E-5</v>
      </c>
    </row>
    <row r="923" spans="1:2" x14ac:dyDescent="0.25">
      <c r="A923" s="1">
        <v>45177</v>
      </c>
      <c r="B923">
        <v>1.525403E-5</v>
      </c>
    </row>
    <row r="924" spans="1:2" x14ac:dyDescent="0.25">
      <c r="A924" s="1">
        <v>45180</v>
      </c>
      <c r="B924">
        <v>1.5491110000000002E-5</v>
      </c>
    </row>
    <row r="925" spans="1:2" x14ac:dyDescent="0.25">
      <c r="A925" s="1">
        <v>45181</v>
      </c>
      <c r="B925">
        <v>1.493781E-5</v>
      </c>
    </row>
    <row r="926" spans="1:2" x14ac:dyDescent="0.25">
      <c r="A926" s="1">
        <v>45182</v>
      </c>
      <c r="B926">
        <v>1.5462249999999999E-5</v>
      </c>
    </row>
    <row r="927" spans="1:2" x14ac:dyDescent="0.25">
      <c r="A927" s="1">
        <v>45183</v>
      </c>
      <c r="B927">
        <v>1.4924269999999998E-5</v>
      </c>
    </row>
    <row r="928" spans="1:2" x14ac:dyDescent="0.25">
      <c r="A928" s="1">
        <v>45184</v>
      </c>
      <c r="B928">
        <v>1.401403E-5</v>
      </c>
    </row>
    <row r="929" spans="1:2" x14ac:dyDescent="0.25">
      <c r="A929" s="1">
        <v>45187</v>
      </c>
      <c r="B929">
        <v>1.452942E-5</v>
      </c>
    </row>
    <row r="930" spans="1:2" x14ac:dyDescent="0.25">
      <c r="A930" s="1">
        <v>45188</v>
      </c>
      <c r="B930">
        <v>1.4533240000000001E-5</v>
      </c>
    </row>
    <row r="931" spans="1:2" x14ac:dyDescent="0.25">
      <c r="A931" s="1">
        <v>45189</v>
      </c>
      <c r="B931">
        <v>1.4869839999999999E-5</v>
      </c>
    </row>
    <row r="932" spans="1:2" x14ac:dyDescent="0.25">
      <c r="A932" s="1">
        <v>45190</v>
      </c>
      <c r="B932">
        <v>1.4541150000000001E-5</v>
      </c>
    </row>
    <row r="933" spans="1:2" x14ac:dyDescent="0.25">
      <c r="A933" s="1">
        <v>45191</v>
      </c>
      <c r="B933">
        <v>1.427575E-5</v>
      </c>
    </row>
    <row r="934" spans="1:2" x14ac:dyDescent="0.25">
      <c r="A934" s="1">
        <v>45194</v>
      </c>
      <c r="B934">
        <v>1.43731E-5</v>
      </c>
    </row>
    <row r="935" spans="1:2" x14ac:dyDescent="0.25">
      <c r="A935" s="1">
        <v>45195</v>
      </c>
      <c r="B935">
        <v>1.438301E-5</v>
      </c>
    </row>
    <row r="936" spans="1:2" x14ac:dyDescent="0.25">
      <c r="A936" s="1">
        <v>45196</v>
      </c>
      <c r="B936">
        <v>1.442805E-5</v>
      </c>
    </row>
    <row r="937" spans="1:2" x14ac:dyDescent="0.25">
      <c r="A937" s="1">
        <v>45197</v>
      </c>
      <c r="B937">
        <v>1.453366E-5</v>
      </c>
    </row>
    <row r="938" spans="1:2" x14ac:dyDescent="0.25">
      <c r="A938" s="1">
        <v>45198</v>
      </c>
      <c r="B938">
        <v>1.557569E-5</v>
      </c>
    </row>
    <row r="939" spans="1:2" x14ac:dyDescent="0.25">
      <c r="A939" s="1">
        <v>45201</v>
      </c>
      <c r="B939">
        <v>1.365739E-5</v>
      </c>
    </row>
    <row r="940" spans="1:2" x14ac:dyDescent="0.25">
      <c r="A940" s="1">
        <v>45202</v>
      </c>
      <c r="B940">
        <v>1.348465E-5</v>
      </c>
    </row>
    <row r="941" spans="1:2" x14ac:dyDescent="0.25">
      <c r="A941" s="1">
        <v>45203</v>
      </c>
      <c r="B941">
        <v>1.342031E-5</v>
      </c>
    </row>
    <row r="942" spans="1:2" x14ac:dyDescent="0.25">
      <c r="A942" s="1">
        <v>45204</v>
      </c>
      <c r="B942">
        <v>1.265132E-5</v>
      </c>
    </row>
    <row r="943" spans="1:2" x14ac:dyDescent="0.25">
      <c r="A943" s="1">
        <v>45205</v>
      </c>
      <c r="B943">
        <v>1.283461E-5</v>
      </c>
    </row>
    <row r="944" spans="1:2" x14ac:dyDescent="0.25">
      <c r="A944" s="1">
        <v>45209</v>
      </c>
      <c r="B944">
        <v>1.2224400000000001E-5</v>
      </c>
    </row>
    <row r="945" spans="1:2" x14ac:dyDescent="0.25">
      <c r="A945" s="1">
        <v>45210</v>
      </c>
      <c r="B945">
        <v>1.2393820000000001E-5</v>
      </c>
    </row>
    <row r="946" spans="1:2" x14ac:dyDescent="0.25">
      <c r="A946" s="1">
        <v>45211</v>
      </c>
      <c r="B946">
        <v>1.1573189999999999E-5</v>
      </c>
    </row>
    <row r="947" spans="1:2" x14ac:dyDescent="0.25">
      <c r="A947" s="1">
        <v>45212</v>
      </c>
      <c r="B947">
        <v>1.151818E-5</v>
      </c>
    </row>
    <row r="948" spans="1:2" x14ac:dyDescent="0.25">
      <c r="A948" s="1">
        <v>45215</v>
      </c>
      <c r="B948">
        <v>1.1088189999999999E-5</v>
      </c>
    </row>
    <row r="949" spans="1:2" x14ac:dyDescent="0.25">
      <c r="A949" s="1">
        <v>45216</v>
      </c>
      <c r="B949">
        <v>1.082502E-5</v>
      </c>
    </row>
    <row r="950" spans="1:2" x14ac:dyDescent="0.25">
      <c r="A950" s="1">
        <v>45217</v>
      </c>
      <c r="B950">
        <v>1.1507809999999999E-5</v>
      </c>
    </row>
    <row r="951" spans="1:2" x14ac:dyDescent="0.25">
      <c r="A951" s="1">
        <v>45218</v>
      </c>
      <c r="B951">
        <v>1.1141790000000002E-5</v>
      </c>
    </row>
    <row r="952" spans="1:2" x14ac:dyDescent="0.25">
      <c r="A952" s="1">
        <v>45219</v>
      </c>
      <c r="B952">
        <v>1.1387560000000001E-5</v>
      </c>
    </row>
    <row r="953" spans="1:2" x14ac:dyDescent="0.25">
      <c r="A953" s="1">
        <v>45222</v>
      </c>
      <c r="B953">
        <v>1.1579760000000001E-5</v>
      </c>
    </row>
    <row r="954" spans="1:2" x14ac:dyDescent="0.25">
      <c r="A954" s="1">
        <v>45223</v>
      </c>
      <c r="B954">
        <v>1.0978750000000001E-5</v>
      </c>
    </row>
    <row r="955" spans="1:2" x14ac:dyDescent="0.25">
      <c r="A955" s="1">
        <v>45224</v>
      </c>
      <c r="B955">
        <v>1.1006169999999999E-5</v>
      </c>
    </row>
    <row r="956" spans="1:2" x14ac:dyDescent="0.25">
      <c r="A956" s="1">
        <v>45225</v>
      </c>
      <c r="B956">
        <v>1.0898499999999999E-5</v>
      </c>
    </row>
    <row r="957" spans="1:2" x14ac:dyDescent="0.25">
      <c r="A957" s="1">
        <v>45226</v>
      </c>
      <c r="B957">
        <v>1.0918579999999999E-5</v>
      </c>
    </row>
    <row r="958" spans="1:2" x14ac:dyDescent="0.25">
      <c r="A958" s="1">
        <v>45229</v>
      </c>
      <c r="B958">
        <v>1.138035E-5</v>
      </c>
    </row>
    <row r="959" spans="1:2" x14ac:dyDescent="0.25">
      <c r="A959" s="1">
        <v>45230</v>
      </c>
      <c r="B959">
        <v>1.1376969999999999E-5</v>
      </c>
    </row>
    <row r="960" spans="1:2" x14ac:dyDescent="0.25">
      <c r="A960" s="1">
        <v>45231</v>
      </c>
      <c r="B960">
        <v>1.079462E-5</v>
      </c>
    </row>
    <row r="961" spans="1:2" x14ac:dyDescent="0.25">
      <c r="A961" s="1">
        <v>45232</v>
      </c>
      <c r="B961">
        <v>1.0549860000000001E-5</v>
      </c>
    </row>
    <row r="962" spans="1:2" x14ac:dyDescent="0.25">
      <c r="A962" s="1">
        <v>45233</v>
      </c>
      <c r="B962">
        <v>1.071139E-5</v>
      </c>
    </row>
    <row r="963" spans="1:2" x14ac:dyDescent="0.25">
      <c r="A963" s="1">
        <v>45236</v>
      </c>
      <c r="B963">
        <v>1.0628779999999999E-5</v>
      </c>
    </row>
    <row r="964" spans="1:2" x14ac:dyDescent="0.25">
      <c r="A964" s="1">
        <v>45237</v>
      </c>
      <c r="B964">
        <v>1.008685E-5</v>
      </c>
    </row>
    <row r="965" spans="1:2" x14ac:dyDescent="0.25">
      <c r="A965" s="1">
        <v>45238</v>
      </c>
      <c r="B965">
        <v>1.0244510000000001E-5</v>
      </c>
    </row>
    <row r="966" spans="1:2" x14ac:dyDescent="0.25">
      <c r="A966" s="1">
        <v>45239</v>
      </c>
      <c r="B966">
        <v>9.9331399999999992E-6</v>
      </c>
    </row>
    <row r="967" spans="1:2" x14ac:dyDescent="0.25">
      <c r="A967" s="1">
        <v>45240</v>
      </c>
      <c r="B967">
        <v>1.03272E-5</v>
      </c>
    </row>
    <row r="968" spans="1:2" x14ac:dyDescent="0.25">
      <c r="A968" s="1">
        <v>45243</v>
      </c>
      <c r="B968">
        <v>1.0202720000000001E-5</v>
      </c>
    </row>
    <row r="969" spans="1:2" x14ac:dyDescent="0.25">
      <c r="A969" s="1">
        <v>45244</v>
      </c>
      <c r="B969">
        <v>9.8829800000000004E-6</v>
      </c>
    </row>
    <row r="970" spans="1:2" x14ac:dyDescent="0.25">
      <c r="A970" s="1">
        <v>45245</v>
      </c>
      <c r="B970">
        <v>9.4424100000000003E-6</v>
      </c>
    </row>
    <row r="971" spans="1:2" x14ac:dyDescent="0.25">
      <c r="A971" s="1">
        <v>45246</v>
      </c>
      <c r="B971">
        <v>9.1200999999999993E-6</v>
      </c>
    </row>
    <row r="972" spans="1:2" x14ac:dyDescent="0.25">
      <c r="A972" s="1">
        <v>45247</v>
      </c>
      <c r="B972">
        <v>9.3580299999999996E-6</v>
      </c>
    </row>
    <row r="973" spans="1:2" x14ac:dyDescent="0.25">
      <c r="A973" s="1">
        <v>45250</v>
      </c>
      <c r="B973">
        <v>9.5308799999999991E-6</v>
      </c>
    </row>
    <row r="974" spans="1:2" x14ac:dyDescent="0.25">
      <c r="A974" s="1">
        <v>45251</v>
      </c>
      <c r="B974">
        <v>9.311549999999999E-6</v>
      </c>
    </row>
    <row r="975" spans="1:2" x14ac:dyDescent="0.25">
      <c r="A975" s="1">
        <v>45252</v>
      </c>
      <c r="B975">
        <v>9.3160399999999997E-6</v>
      </c>
    </row>
    <row r="976" spans="1:2" x14ac:dyDescent="0.25">
      <c r="A976" s="1">
        <v>45254</v>
      </c>
      <c r="B976">
        <v>8.6590700000000011E-6</v>
      </c>
    </row>
    <row r="977" spans="1:2" x14ac:dyDescent="0.25">
      <c r="A977" s="1">
        <v>45257</v>
      </c>
      <c r="B977">
        <v>8.6721999999999997E-6</v>
      </c>
    </row>
    <row r="978" spans="1:2" x14ac:dyDescent="0.25">
      <c r="A978" s="1">
        <v>45258</v>
      </c>
      <c r="B978">
        <v>8.7334400000000012E-6</v>
      </c>
    </row>
    <row r="979" spans="1:2" x14ac:dyDescent="0.25">
      <c r="A979" s="1">
        <v>45259</v>
      </c>
      <c r="B979">
        <v>9.141870000000001E-6</v>
      </c>
    </row>
    <row r="980" spans="1:2" x14ac:dyDescent="0.25">
      <c r="A980" s="1">
        <v>45260</v>
      </c>
      <c r="B980">
        <v>8.8782200000000005E-6</v>
      </c>
    </row>
    <row r="981" spans="1:2" x14ac:dyDescent="0.25">
      <c r="A981" s="1">
        <v>45261</v>
      </c>
      <c r="B981">
        <v>7.6854299999999997E-6</v>
      </c>
    </row>
    <row r="982" spans="1:2" x14ac:dyDescent="0.25">
      <c r="A982" s="1">
        <v>45264</v>
      </c>
      <c r="B982">
        <v>8.1584699999999995E-6</v>
      </c>
    </row>
    <row r="983" spans="1:2" x14ac:dyDescent="0.25">
      <c r="A983" s="1">
        <v>45265</v>
      </c>
      <c r="B983">
        <v>8.3442799999999993E-6</v>
      </c>
    </row>
    <row r="984" spans="1:2" x14ac:dyDescent="0.25">
      <c r="A984" s="1">
        <v>45266</v>
      </c>
      <c r="B984">
        <v>8.4649799999999997E-6</v>
      </c>
    </row>
    <row r="985" spans="1:2" x14ac:dyDescent="0.25">
      <c r="A985" s="1">
        <v>45267</v>
      </c>
      <c r="B985">
        <v>8.2573400000000008E-6</v>
      </c>
    </row>
    <row r="986" spans="1:2" x14ac:dyDescent="0.25">
      <c r="A986" s="1">
        <v>45268</v>
      </c>
      <c r="B986">
        <v>8.2140800000000001E-6</v>
      </c>
    </row>
    <row r="987" spans="1:2" x14ac:dyDescent="0.25">
      <c r="A987" s="1">
        <v>45271</v>
      </c>
      <c r="B987">
        <v>8.38507E-6</v>
      </c>
    </row>
    <row r="988" spans="1:2" x14ac:dyDescent="0.25">
      <c r="A988" s="1">
        <v>45272</v>
      </c>
      <c r="B988">
        <v>8.3780300000000005E-6</v>
      </c>
    </row>
    <row r="989" spans="1:2" x14ac:dyDescent="0.25">
      <c r="A989" s="1">
        <v>45273</v>
      </c>
      <c r="B989">
        <v>8.2332899999999989E-6</v>
      </c>
    </row>
    <row r="990" spans="1:2" x14ac:dyDescent="0.25">
      <c r="A990" s="1">
        <v>45274</v>
      </c>
      <c r="B990">
        <v>7.6934600000000007E-6</v>
      </c>
    </row>
    <row r="991" spans="1:2" x14ac:dyDescent="0.25">
      <c r="A991" s="1">
        <v>45275</v>
      </c>
      <c r="B991">
        <v>6.8325400000000005E-6</v>
      </c>
    </row>
    <row r="992" spans="1:2" x14ac:dyDescent="0.25">
      <c r="A992" s="1">
        <v>45278</v>
      </c>
      <c r="B992">
        <v>7.2470399999999997E-6</v>
      </c>
    </row>
    <row r="993" spans="1:2" x14ac:dyDescent="0.25">
      <c r="A993" s="1">
        <v>45279</v>
      </c>
      <c r="B993">
        <v>7.7308200000000003E-6</v>
      </c>
    </row>
    <row r="994" spans="1:2" x14ac:dyDescent="0.25">
      <c r="A994" s="1">
        <v>45280</v>
      </c>
      <c r="B994">
        <v>7.79143E-6</v>
      </c>
    </row>
    <row r="995" spans="1:2" x14ac:dyDescent="0.25">
      <c r="A995" s="1">
        <v>45281</v>
      </c>
      <c r="B995">
        <v>7.7840200000000001E-6</v>
      </c>
    </row>
    <row r="996" spans="1:2" x14ac:dyDescent="0.25">
      <c r="A996" s="1">
        <v>45282</v>
      </c>
      <c r="B996">
        <v>7.7225799999999998E-6</v>
      </c>
    </row>
    <row r="997" spans="1:2" x14ac:dyDescent="0.25">
      <c r="A997" s="1">
        <v>45286</v>
      </c>
      <c r="B997">
        <v>7.9393700000000002E-6</v>
      </c>
    </row>
    <row r="998" spans="1:2" x14ac:dyDescent="0.25">
      <c r="A998" s="1">
        <v>45287</v>
      </c>
      <c r="B998">
        <v>8.188690000000001E-6</v>
      </c>
    </row>
    <row r="999" spans="1:2" x14ac:dyDescent="0.25">
      <c r="A999" s="1">
        <v>45288</v>
      </c>
      <c r="B999">
        <v>8.2957299999999996E-6</v>
      </c>
    </row>
    <row r="1000" spans="1:2" x14ac:dyDescent="0.25">
      <c r="A1000" s="1">
        <v>45289</v>
      </c>
      <c r="B1000">
        <v>1.018483E-5</v>
      </c>
    </row>
    <row r="1001" spans="1:2" x14ac:dyDescent="0.25">
      <c r="A1001" s="1">
        <v>45293</v>
      </c>
      <c r="B1001">
        <v>7.04864E-6</v>
      </c>
    </row>
    <row r="1002" spans="1:2" x14ac:dyDescent="0.25">
      <c r="A1002" s="1">
        <v>45294</v>
      </c>
      <c r="B1002">
        <v>7.1989700000000005E-6</v>
      </c>
    </row>
    <row r="1003" spans="1:2" x14ac:dyDescent="0.25">
      <c r="A1003" s="1">
        <v>45295</v>
      </c>
      <c r="B1003">
        <v>6.6489900000000004E-6</v>
      </c>
    </row>
    <row r="1004" spans="1:2" x14ac:dyDescent="0.25">
      <c r="A1004" s="1">
        <v>45296</v>
      </c>
      <c r="B1004">
        <v>6.9447799999999994E-6</v>
      </c>
    </row>
    <row r="1005" spans="1:2" x14ac:dyDescent="0.25">
      <c r="A1005" s="1">
        <v>45299</v>
      </c>
      <c r="B1005">
        <v>6.9148500000000004E-6</v>
      </c>
    </row>
    <row r="1006" spans="1:2" x14ac:dyDescent="0.25">
      <c r="A1006" s="1">
        <v>45300</v>
      </c>
      <c r="B1006">
        <v>6.7604999999999999E-6</v>
      </c>
    </row>
    <row r="1007" spans="1:2" x14ac:dyDescent="0.25">
      <c r="A1007" s="1">
        <v>45301</v>
      </c>
      <c r="B1007">
        <v>6.7996099999999999E-6</v>
      </c>
    </row>
    <row r="1008" spans="1:2" x14ac:dyDescent="0.25">
      <c r="A1008" s="1">
        <v>45302</v>
      </c>
      <c r="B1008">
        <v>6.2636999999999998E-6</v>
      </c>
    </row>
    <row r="1009" spans="1:2" x14ac:dyDescent="0.25">
      <c r="A1009" s="1">
        <v>45303</v>
      </c>
      <c r="B1009">
        <v>6.0311599999999997E-6</v>
      </c>
    </row>
    <row r="1010" spans="1:2" x14ac:dyDescent="0.25">
      <c r="A1010" s="1">
        <v>45307</v>
      </c>
      <c r="B1010">
        <v>5.8310299999999993E-6</v>
      </c>
    </row>
    <row r="1011" spans="1:2" x14ac:dyDescent="0.25">
      <c r="A1011" s="1">
        <v>45308</v>
      </c>
      <c r="B1011">
        <v>5.90191E-6</v>
      </c>
    </row>
    <row r="1012" spans="1:2" x14ac:dyDescent="0.25">
      <c r="A1012" s="1">
        <v>45309</v>
      </c>
      <c r="B1012">
        <v>6.1823400000000003E-6</v>
      </c>
    </row>
    <row r="1013" spans="1:2" x14ac:dyDescent="0.25">
      <c r="A1013" s="1">
        <v>45310</v>
      </c>
      <c r="B1013">
        <v>6.2518200000000006E-6</v>
      </c>
    </row>
    <row r="1014" spans="1:2" x14ac:dyDescent="0.25">
      <c r="A1014" s="1">
        <v>45313</v>
      </c>
      <c r="B1014">
        <v>6.4710299999999991E-6</v>
      </c>
    </row>
    <row r="1015" spans="1:2" x14ac:dyDescent="0.25">
      <c r="A1015" s="1">
        <v>45314</v>
      </c>
      <c r="B1015">
        <v>6.2119500000000007E-6</v>
      </c>
    </row>
    <row r="1016" spans="1:2" x14ac:dyDescent="0.25">
      <c r="A1016" s="1">
        <v>45315</v>
      </c>
      <c r="B1016">
        <v>6.3955999999999994E-6</v>
      </c>
    </row>
    <row r="1017" spans="1:2" x14ac:dyDescent="0.25">
      <c r="A1017" s="1">
        <v>45316</v>
      </c>
      <c r="B1017">
        <v>5.5768700000000004E-6</v>
      </c>
    </row>
    <row r="1018" spans="1:2" x14ac:dyDescent="0.25">
      <c r="A1018" s="1">
        <v>45317</v>
      </c>
      <c r="B1018">
        <v>5.7082799999999995E-6</v>
      </c>
    </row>
    <row r="1019" spans="1:2" x14ac:dyDescent="0.25">
      <c r="A1019" s="1">
        <v>45320</v>
      </c>
      <c r="B1019">
        <v>5.8140999999999999E-6</v>
      </c>
    </row>
    <row r="1020" spans="1:2" x14ac:dyDescent="0.25">
      <c r="A1020" s="1">
        <v>45321</v>
      </c>
      <c r="B1020">
        <v>5.7775500000000003E-6</v>
      </c>
    </row>
    <row r="1021" spans="1:2" x14ac:dyDescent="0.25">
      <c r="A1021" s="1">
        <v>45322</v>
      </c>
      <c r="B1021">
        <v>6.1537900000000004E-6</v>
      </c>
    </row>
    <row r="1022" spans="1:2" x14ac:dyDescent="0.25">
      <c r="A1022" s="1">
        <v>45323</v>
      </c>
      <c r="B1022">
        <v>5.0354799999999998E-6</v>
      </c>
    </row>
    <row r="1023" spans="1:2" x14ac:dyDescent="0.25">
      <c r="A1023" s="1">
        <v>45324</v>
      </c>
      <c r="B1023">
        <v>5.1342200000000005E-6</v>
      </c>
    </row>
    <row r="1024" spans="1:2" x14ac:dyDescent="0.25">
      <c r="A1024" s="1">
        <v>45327</v>
      </c>
      <c r="B1024">
        <v>5.5228900000000002E-6</v>
      </c>
    </row>
    <row r="1025" spans="1:2" x14ac:dyDescent="0.25">
      <c r="A1025" s="1">
        <v>45328</v>
      </c>
      <c r="B1025">
        <v>5.3243899999999995E-6</v>
      </c>
    </row>
    <row r="1026" spans="1:2" x14ac:dyDescent="0.25">
      <c r="A1026" s="1">
        <v>45329</v>
      </c>
      <c r="B1026">
        <v>5.5305499999999991E-6</v>
      </c>
    </row>
    <row r="1027" spans="1:2" x14ac:dyDescent="0.25">
      <c r="A1027" s="1">
        <v>45330</v>
      </c>
      <c r="B1027">
        <v>5.3570500000000007E-6</v>
      </c>
    </row>
    <row r="1028" spans="1:2" x14ac:dyDescent="0.25">
      <c r="A1028" s="1">
        <v>45331</v>
      </c>
      <c r="B1028">
        <v>5.6917499999999993E-6</v>
      </c>
    </row>
    <row r="1029" spans="1:2" x14ac:dyDescent="0.25">
      <c r="A1029" s="1">
        <v>45334</v>
      </c>
      <c r="B1029">
        <v>5.8156799999999995E-6</v>
      </c>
    </row>
    <row r="1030" spans="1:2" x14ac:dyDescent="0.25">
      <c r="A1030" s="1">
        <v>45335</v>
      </c>
      <c r="B1030">
        <v>5.5368399999999995E-6</v>
      </c>
    </row>
    <row r="1031" spans="1:2" x14ac:dyDescent="0.25">
      <c r="A1031" s="1">
        <v>45336</v>
      </c>
      <c r="B1031">
        <v>5.7533200000000002E-6</v>
      </c>
    </row>
    <row r="1032" spans="1:2" x14ac:dyDescent="0.25">
      <c r="A1032" s="1">
        <v>45337</v>
      </c>
      <c r="B1032">
        <v>4.93065E-6</v>
      </c>
    </row>
    <row r="1033" spans="1:2" x14ac:dyDescent="0.25">
      <c r="A1033" s="1">
        <v>45338</v>
      </c>
      <c r="B1033">
        <v>5.3212500000000001E-6</v>
      </c>
    </row>
    <row r="1034" spans="1:2" x14ac:dyDescent="0.25">
      <c r="A1034" s="1">
        <v>45342</v>
      </c>
      <c r="B1034">
        <v>5.30879E-6</v>
      </c>
    </row>
    <row r="1035" spans="1:2" x14ac:dyDescent="0.25">
      <c r="A1035" s="1">
        <v>45343</v>
      </c>
      <c r="B1035">
        <v>5.7488199999999996E-6</v>
      </c>
    </row>
    <row r="1036" spans="1:2" x14ac:dyDescent="0.25">
      <c r="A1036" s="1">
        <v>45344</v>
      </c>
      <c r="B1036">
        <v>5.5324499999999999E-6</v>
      </c>
    </row>
    <row r="1037" spans="1:2" x14ac:dyDescent="0.25">
      <c r="A1037" s="1">
        <v>45345</v>
      </c>
      <c r="B1037">
        <v>5.2010699999999997E-6</v>
      </c>
    </row>
    <row r="1038" spans="1:2" x14ac:dyDescent="0.25">
      <c r="A1038" s="1">
        <v>45348</v>
      </c>
      <c r="B1038">
        <v>5.2495899999999998E-6</v>
      </c>
    </row>
    <row r="1039" spans="1:2" x14ac:dyDescent="0.25">
      <c r="A1039" s="1">
        <v>45349</v>
      </c>
      <c r="B1039">
        <v>5.1972500000000001E-6</v>
      </c>
    </row>
    <row r="1040" spans="1:2" x14ac:dyDescent="0.25">
      <c r="A1040" s="1">
        <v>45350</v>
      </c>
      <c r="B1040">
        <v>5.6985499999999998E-6</v>
      </c>
    </row>
    <row r="1041" spans="1:2" x14ac:dyDescent="0.25">
      <c r="A1041" s="1">
        <v>45351</v>
      </c>
      <c r="B1041">
        <v>5.0207400000000003E-6</v>
      </c>
    </row>
    <row r="1042" spans="1:2" x14ac:dyDescent="0.25">
      <c r="A1042" s="1">
        <v>45352</v>
      </c>
      <c r="B1042">
        <v>4.41265E-6</v>
      </c>
    </row>
    <row r="1043" spans="1:2" x14ac:dyDescent="0.25">
      <c r="A1043" s="1">
        <v>45355</v>
      </c>
      <c r="B1043">
        <v>4.3979300000000003E-6</v>
      </c>
    </row>
    <row r="1044" spans="1:2" x14ac:dyDescent="0.25">
      <c r="A1044" s="1">
        <v>45356</v>
      </c>
      <c r="B1044">
        <v>4.4447400000000002E-6</v>
      </c>
    </row>
    <row r="1045" spans="1:2" x14ac:dyDescent="0.25">
      <c r="A1045" s="1">
        <v>45357</v>
      </c>
      <c r="B1045">
        <v>4.56847E-6</v>
      </c>
    </row>
    <row r="1046" spans="1:2" x14ac:dyDescent="0.25">
      <c r="A1046" s="1">
        <v>45358</v>
      </c>
      <c r="B1046">
        <v>4.3675400000000004E-6</v>
      </c>
    </row>
    <row r="1047" spans="1:2" x14ac:dyDescent="0.25">
      <c r="A1047" s="1">
        <v>45359</v>
      </c>
      <c r="B1047">
        <v>4.44803E-6</v>
      </c>
    </row>
    <row r="1048" spans="1:2" x14ac:dyDescent="0.25">
      <c r="A1048" s="1">
        <v>45362</v>
      </c>
      <c r="B1048">
        <v>4.7872800000000002E-6</v>
      </c>
    </row>
    <row r="1049" spans="1:2" x14ac:dyDescent="0.25">
      <c r="A1049" s="1">
        <v>45363</v>
      </c>
      <c r="B1049">
        <v>4.7686200000000001E-6</v>
      </c>
    </row>
    <row r="1050" spans="1:2" x14ac:dyDescent="0.25">
      <c r="A1050" s="1">
        <v>45364</v>
      </c>
      <c r="B1050">
        <v>5.2173800000000005E-6</v>
      </c>
    </row>
    <row r="1051" spans="1:2" x14ac:dyDescent="0.25">
      <c r="A1051" s="1">
        <v>45365</v>
      </c>
      <c r="B1051">
        <v>4.8357299999999997E-6</v>
      </c>
    </row>
    <row r="1052" spans="1:2" x14ac:dyDescent="0.25">
      <c r="A1052" s="1">
        <v>45366</v>
      </c>
      <c r="B1052">
        <v>4.1387699999999997E-6</v>
      </c>
    </row>
    <row r="1053" spans="1:2" x14ac:dyDescent="0.25">
      <c r="A1053" s="1">
        <v>45369</v>
      </c>
      <c r="B1053">
        <v>4.4059600000000004E-6</v>
      </c>
    </row>
    <row r="1054" spans="1:2" x14ac:dyDescent="0.25">
      <c r="A1054" s="1">
        <v>45370</v>
      </c>
      <c r="B1054">
        <v>4.4697800000000003E-6</v>
      </c>
    </row>
    <row r="1055" spans="1:2" x14ac:dyDescent="0.25">
      <c r="A1055" s="1">
        <v>45371</v>
      </c>
      <c r="B1055">
        <v>4.9624500000000002E-6</v>
      </c>
    </row>
    <row r="1056" spans="1:2" x14ac:dyDescent="0.25">
      <c r="A1056" s="1">
        <v>45372</v>
      </c>
      <c r="B1056">
        <v>4.6063100000000001E-6</v>
      </c>
    </row>
    <row r="1057" spans="1:2" x14ac:dyDescent="0.25">
      <c r="A1057" s="1">
        <v>45373</v>
      </c>
      <c r="B1057">
        <v>4.7853100000000004E-6</v>
      </c>
    </row>
    <row r="1058" spans="1:2" x14ac:dyDescent="0.25">
      <c r="A1058" s="1">
        <v>45376</v>
      </c>
      <c r="B1058">
        <v>4.7378699999999996E-6</v>
      </c>
    </row>
    <row r="1059" spans="1:2" x14ac:dyDescent="0.25">
      <c r="A1059" s="1">
        <v>45377</v>
      </c>
      <c r="B1059">
        <v>4.9606200000000001E-6</v>
      </c>
    </row>
    <row r="1060" spans="1:2" x14ac:dyDescent="0.25">
      <c r="A1060" s="1">
        <v>45378</v>
      </c>
      <c r="B1060">
        <v>5.1835699999999994E-6</v>
      </c>
    </row>
    <row r="1061" spans="1:2" x14ac:dyDescent="0.25">
      <c r="A1061" s="1">
        <v>45379</v>
      </c>
      <c r="B1061">
        <v>5.9442800000000003E-6</v>
      </c>
    </row>
    <row r="1062" spans="1:2" x14ac:dyDescent="0.25">
      <c r="A1062" s="1">
        <v>45383</v>
      </c>
      <c r="B1062">
        <v>4.4190299999999999E-6</v>
      </c>
    </row>
    <row r="1063" spans="1:2" x14ac:dyDescent="0.25">
      <c r="A1063" s="1">
        <v>45384</v>
      </c>
      <c r="B1063">
        <v>4.4842399999999996E-6</v>
      </c>
    </row>
    <row r="1064" spans="1:2" x14ac:dyDescent="0.25">
      <c r="A1064" s="1">
        <v>45385</v>
      </c>
      <c r="B1064">
        <v>4.3663099999999999E-6</v>
      </c>
    </row>
    <row r="1065" spans="1:2" x14ac:dyDescent="0.25">
      <c r="A1065" s="1">
        <v>45386</v>
      </c>
      <c r="B1065">
        <v>4.3876400000000004E-6</v>
      </c>
    </row>
    <row r="1066" spans="1:2" x14ac:dyDescent="0.25">
      <c r="A1066" s="1">
        <v>45387</v>
      </c>
      <c r="B1066">
        <v>4.38319E-6</v>
      </c>
    </row>
    <row r="1067" spans="1:2" x14ac:dyDescent="0.25">
      <c r="A1067" s="1">
        <v>45390</v>
      </c>
      <c r="B1067">
        <v>4.4859699999999995E-6</v>
      </c>
    </row>
    <row r="1068" spans="1:2" x14ac:dyDescent="0.25">
      <c r="A1068" s="1">
        <v>45391</v>
      </c>
      <c r="B1068">
        <v>4.4179199999999994E-6</v>
      </c>
    </row>
    <row r="1069" spans="1:2" x14ac:dyDescent="0.25">
      <c r="A1069" s="1">
        <v>45392</v>
      </c>
      <c r="B1069">
        <v>4.4581599999999997E-6</v>
      </c>
    </row>
    <row r="1070" spans="1:2" x14ac:dyDescent="0.25">
      <c r="A1070" s="1">
        <v>45393</v>
      </c>
      <c r="B1070">
        <v>4.5536099999999998E-6</v>
      </c>
    </row>
    <row r="1071" spans="1:2" x14ac:dyDescent="0.25">
      <c r="A1071" s="1">
        <v>45394</v>
      </c>
      <c r="B1071">
        <v>4.0732199999999999E-6</v>
      </c>
    </row>
    <row r="1072" spans="1:2" x14ac:dyDescent="0.25">
      <c r="A1072" s="1">
        <v>45397</v>
      </c>
      <c r="B1072">
        <v>3.2706599999999996E-6</v>
      </c>
    </row>
    <row r="1073" spans="1:2" x14ac:dyDescent="0.25">
      <c r="A1073" s="1">
        <v>45398</v>
      </c>
      <c r="B1073">
        <v>3.7155399999999997E-6</v>
      </c>
    </row>
    <row r="1074" spans="1:2" x14ac:dyDescent="0.25">
      <c r="A1074" s="1">
        <v>45399</v>
      </c>
      <c r="B1074">
        <v>4.4050799999999998E-6</v>
      </c>
    </row>
    <row r="1075" spans="1:2" x14ac:dyDescent="0.25">
      <c r="A1075" s="1">
        <v>45400</v>
      </c>
      <c r="B1075">
        <v>4.33006E-6</v>
      </c>
    </row>
    <row r="1076" spans="1:2" x14ac:dyDescent="0.25">
      <c r="A1076" s="1">
        <v>45401</v>
      </c>
      <c r="B1076">
        <v>3.9723399999999995E-6</v>
      </c>
    </row>
    <row r="1077" spans="1:2" x14ac:dyDescent="0.25">
      <c r="A1077" s="1">
        <v>45404</v>
      </c>
      <c r="B1077">
        <v>4.0981599999999997E-6</v>
      </c>
    </row>
    <row r="1078" spans="1:2" x14ac:dyDescent="0.25">
      <c r="A1078" s="1">
        <v>45405</v>
      </c>
      <c r="B1078">
        <v>4.3587999999999997E-6</v>
      </c>
    </row>
    <row r="1079" spans="1:2" x14ac:dyDescent="0.25">
      <c r="A1079" s="1">
        <v>45406</v>
      </c>
      <c r="B1079">
        <v>4.4121499999999998E-6</v>
      </c>
    </row>
    <row r="1080" spans="1:2" x14ac:dyDescent="0.25">
      <c r="A1080" s="1">
        <v>45407</v>
      </c>
      <c r="B1080">
        <v>4.4392800000000003E-6</v>
      </c>
    </row>
    <row r="1081" spans="1:2" x14ac:dyDescent="0.25">
      <c r="A1081" s="1">
        <v>45408</v>
      </c>
      <c r="B1081">
        <v>4.6491199999999998E-6</v>
      </c>
    </row>
    <row r="1082" spans="1:2" x14ac:dyDescent="0.25">
      <c r="A1082" s="1">
        <v>45411</v>
      </c>
      <c r="B1082">
        <v>5.0552999999999997E-6</v>
      </c>
    </row>
    <row r="1083" spans="1:2" x14ac:dyDescent="0.25">
      <c r="A1083" s="1">
        <v>45412</v>
      </c>
      <c r="B1083">
        <v>5.3423400000000008E-6</v>
      </c>
    </row>
    <row r="1084" spans="1:2" x14ac:dyDescent="0.25">
      <c r="A1084" s="1">
        <v>45413</v>
      </c>
      <c r="B1084">
        <v>4.3814800000000006E-6</v>
      </c>
    </row>
    <row r="1085" spans="1:2" x14ac:dyDescent="0.25">
      <c r="A1085" s="1">
        <v>45414</v>
      </c>
      <c r="B1085">
        <v>4.2868000000000002E-6</v>
      </c>
    </row>
    <row r="1086" spans="1:2" x14ac:dyDescent="0.25">
      <c r="A1086" s="1">
        <v>45415</v>
      </c>
      <c r="B1086">
        <v>4.5016500000000003E-6</v>
      </c>
    </row>
    <row r="1087" spans="1:2" x14ac:dyDescent="0.25">
      <c r="A1087" s="1">
        <v>45418</v>
      </c>
      <c r="B1087">
        <v>4.6897000000000002E-6</v>
      </c>
    </row>
    <row r="1088" spans="1:2" x14ac:dyDescent="0.25">
      <c r="A1088" s="1">
        <v>45419</v>
      </c>
      <c r="B1088">
        <v>4.7532499999999998E-6</v>
      </c>
    </row>
    <row r="1089" spans="1:2" x14ac:dyDescent="0.25">
      <c r="A1089" s="1">
        <v>45420</v>
      </c>
      <c r="B1089">
        <v>4.9342699999999999E-6</v>
      </c>
    </row>
    <row r="1090" spans="1:2" x14ac:dyDescent="0.25">
      <c r="A1090" s="1">
        <v>45421</v>
      </c>
      <c r="B1090">
        <v>4.5855000000000004E-6</v>
      </c>
    </row>
    <row r="1091" spans="1:2" x14ac:dyDescent="0.25">
      <c r="A1091" s="1">
        <v>45422</v>
      </c>
      <c r="B1091">
        <v>4.8643400000000004E-6</v>
      </c>
    </row>
    <row r="1092" spans="1:2" x14ac:dyDescent="0.25">
      <c r="A1092" s="1">
        <v>45425</v>
      </c>
      <c r="B1092">
        <v>4.9206799999999996E-6</v>
      </c>
    </row>
    <row r="1093" spans="1:2" x14ac:dyDescent="0.25">
      <c r="A1093" s="1">
        <v>45426</v>
      </c>
      <c r="B1093">
        <v>4.6834400000000002E-6</v>
      </c>
    </row>
    <row r="1094" spans="1:2" x14ac:dyDescent="0.25">
      <c r="A1094" s="1">
        <v>45427</v>
      </c>
      <c r="B1094">
        <v>4.4377900000000002E-6</v>
      </c>
    </row>
    <row r="1095" spans="1:2" x14ac:dyDescent="0.25">
      <c r="A1095" s="1">
        <v>45428</v>
      </c>
      <c r="B1095">
        <v>4.1012099999999997E-6</v>
      </c>
    </row>
    <row r="1096" spans="1:2" x14ac:dyDescent="0.25">
      <c r="A1096" s="1">
        <v>45429</v>
      </c>
      <c r="B1096">
        <v>4.4937300000000003E-6</v>
      </c>
    </row>
    <row r="1097" spans="1:2" x14ac:dyDescent="0.25">
      <c r="A1097" s="1">
        <v>45432</v>
      </c>
      <c r="B1097">
        <v>4.89728E-6</v>
      </c>
    </row>
    <row r="1098" spans="1:2" x14ac:dyDescent="0.25">
      <c r="A1098" s="1">
        <v>45433</v>
      </c>
      <c r="B1098">
        <v>4.9172000000000001E-6</v>
      </c>
    </row>
    <row r="1099" spans="1:2" x14ac:dyDescent="0.25">
      <c r="A1099" s="1">
        <v>45434</v>
      </c>
      <c r="B1099">
        <v>4.9638200000000004E-6</v>
      </c>
    </row>
    <row r="1100" spans="1:2" x14ac:dyDescent="0.25">
      <c r="A1100" s="1">
        <v>45435</v>
      </c>
      <c r="B1100">
        <v>4.6739799999999999E-6</v>
      </c>
    </row>
    <row r="1101" spans="1:2" x14ac:dyDescent="0.25">
      <c r="A1101" s="1">
        <v>45436</v>
      </c>
      <c r="B1101">
        <v>4.3123899999999997E-6</v>
      </c>
    </row>
    <row r="1102" spans="1:2" x14ac:dyDescent="0.25">
      <c r="A1102" s="1">
        <v>45440</v>
      </c>
      <c r="B1102">
        <v>4.1783600000000003E-6</v>
      </c>
    </row>
    <row r="1103" spans="1:2" x14ac:dyDescent="0.25">
      <c r="A1103" s="1">
        <v>45441</v>
      </c>
      <c r="B1103">
        <v>4.5931400000000004E-6</v>
      </c>
    </row>
    <row r="1104" spans="1:2" x14ac:dyDescent="0.25">
      <c r="A1104" s="1">
        <v>45442</v>
      </c>
      <c r="B1104">
        <v>4.52034E-6</v>
      </c>
    </row>
    <row r="1105" spans="1:2" x14ac:dyDescent="0.25">
      <c r="A1105" s="1">
        <v>45443</v>
      </c>
      <c r="B1105">
        <v>4.39806E-6</v>
      </c>
    </row>
    <row r="1106" spans="1:2" x14ac:dyDescent="0.25">
      <c r="A1106" s="1">
        <v>45446</v>
      </c>
      <c r="B1106">
        <v>3.8706900000000002E-6</v>
      </c>
    </row>
    <row r="1107" spans="1:2" x14ac:dyDescent="0.25">
      <c r="A1107" s="1">
        <v>45447</v>
      </c>
      <c r="B1107">
        <v>3.7782499999999998E-6</v>
      </c>
    </row>
    <row r="1108" spans="1:2" x14ac:dyDescent="0.25">
      <c r="A1108" s="1">
        <v>45448</v>
      </c>
      <c r="B1108">
        <v>3.7184100000000001E-6</v>
      </c>
    </row>
    <row r="1109" spans="1:2" x14ac:dyDescent="0.25">
      <c r="A1109" s="1">
        <v>45449</v>
      </c>
      <c r="B1109">
        <v>3.78125E-6</v>
      </c>
    </row>
    <row r="1110" spans="1:2" x14ac:dyDescent="0.25">
      <c r="A1110" s="1">
        <v>45450</v>
      </c>
      <c r="B1110">
        <v>3.9546199999999999E-6</v>
      </c>
    </row>
    <row r="1111" spans="1:2" x14ac:dyDescent="0.25">
      <c r="A1111" s="1">
        <v>45453</v>
      </c>
      <c r="B1111">
        <v>4.1648100000000002E-6</v>
      </c>
    </row>
    <row r="1112" spans="1:2" x14ac:dyDescent="0.25">
      <c r="A1112" s="1">
        <v>45454</v>
      </c>
      <c r="B1112">
        <v>4.1044900000000004E-6</v>
      </c>
    </row>
    <row r="1113" spans="1:2" x14ac:dyDescent="0.25">
      <c r="A1113" s="1">
        <v>45455</v>
      </c>
      <c r="B1113">
        <v>4.4757400000000005E-6</v>
      </c>
    </row>
    <row r="1114" spans="1:2" x14ac:dyDescent="0.25">
      <c r="A1114" s="1">
        <v>45456</v>
      </c>
      <c r="B1114">
        <v>4.2986400000000001E-6</v>
      </c>
    </row>
    <row r="1115" spans="1:2" x14ac:dyDescent="0.25">
      <c r="A1115" s="1">
        <v>45457</v>
      </c>
      <c r="B1115">
        <v>3.8688500000000002E-6</v>
      </c>
    </row>
    <row r="1116" spans="1:2" x14ac:dyDescent="0.25">
      <c r="A1116" s="1">
        <v>45460</v>
      </c>
      <c r="B1116">
        <v>3.3342899999999997E-6</v>
      </c>
    </row>
    <row r="1117" spans="1:2" x14ac:dyDescent="0.25">
      <c r="A1117" s="1">
        <v>45461</v>
      </c>
      <c r="B1117">
        <v>3.7554199999999998E-6</v>
      </c>
    </row>
    <row r="1118" spans="1:2" x14ac:dyDescent="0.25">
      <c r="A1118" s="1">
        <v>45463</v>
      </c>
      <c r="B1118">
        <v>3.8884099999999998E-6</v>
      </c>
    </row>
    <row r="1119" spans="1:2" x14ac:dyDescent="0.25">
      <c r="A1119" s="1">
        <v>45464</v>
      </c>
      <c r="B1119">
        <v>4.2104000000000004E-6</v>
      </c>
    </row>
    <row r="1120" spans="1:2" x14ac:dyDescent="0.25">
      <c r="A1120" s="1">
        <v>45467</v>
      </c>
      <c r="B1120">
        <v>4.3591600000000003E-6</v>
      </c>
    </row>
    <row r="1121" spans="1:2" x14ac:dyDescent="0.25">
      <c r="A1121" s="1">
        <v>45468</v>
      </c>
      <c r="B1121">
        <v>4.6631000000000003E-6</v>
      </c>
    </row>
    <row r="1122" spans="1:2" x14ac:dyDescent="0.25">
      <c r="A1122" s="1">
        <v>45469</v>
      </c>
      <c r="B1122">
        <v>4.9015600000000004E-6</v>
      </c>
    </row>
    <row r="1123" spans="1:2" x14ac:dyDescent="0.25">
      <c r="A1123" s="1">
        <v>45470</v>
      </c>
      <c r="B1123">
        <v>5.3169200000000004E-6</v>
      </c>
    </row>
    <row r="1124" spans="1:2" x14ac:dyDescent="0.25">
      <c r="A1124" s="1">
        <v>45471</v>
      </c>
      <c r="B1124">
        <v>6.6457000000000006E-6</v>
      </c>
    </row>
    <row r="1125" spans="1:2" x14ac:dyDescent="0.25">
      <c r="A1125" s="1">
        <v>45474</v>
      </c>
      <c r="B1125">
        <v>4.5178299999999997E-6</v>
      </c>
    </row>
    <row r="1126" spans="1:2" x14ac:dyDescent="0.25">
      <c r="A1126" s="1">
        <v>45475</v>
      </c>
      <c r="B1126">
        <v>4.4336900000000006E-6</v>
      </c>
    </row>
    <row r="1127" spans="1:2" x14ac:dyDescent="0.25">
      <c r="A1127" s="1">
        <v>45476</v>
      </c>
      <c r="B1127">
        <v>4.2589800000000005E-6</v>
      </c>
    </row>
    <row r="1128" spans="1:2" x14ac:dyDescent="0.25">
      <c r="A1128" s="1">
        <v>45478</v>
      </c>
      <c r="B1128">
        <v>3.9063199999999999E-6</v>
      </c>
    </row>
    <row r="1129" spans="1:2" x14ac:dyDescent="0.25">
      <c r="A1129" s="1">
        <v>45481</v>
      </c>
      <c r="B1129">
        <v>4.1525700000000003E-6</v>
      </c>
    </row>
    <row r="1130" spans="1:2" x14ac:dyDescent="0.25">
      <c r="A1130" s="1">
        <v>45482</v>
      </c>
      <c r="B1130">
        <v>4.2315199999999998E-6</v>
      </c>
    </row>
    <row r="1131" spans="1:2" x14ac:dyDescent="0.25">
      <c r="A1131" s="1">
        <v>45483</v>
      </c>
      <c r="B1131">
        <v>4.2214699999999998E-6</v>
      </c>
    </row>
    <row r="1132" spans="1:2" x14ac:dyDescent="0.25">
      <c r="A1132" s="1">
        <v>45484</v>
      </c>
      <c r="B1132">
        <v>4.0370800000000001E-6</v>
      </c>
    </row>
    <row r="1133" spans="1:2" x14ac:dyDescent="0.25">
      <c r="A1133" s="1">
        <v>45485</v>
      </c>
      <c r="B1133">
        <v>4.0658999999999995E-6</v>
      </c>
    </row>
    <row r="1134" spans="1:2" x14ac:dyDescent="0.25">
      <c r="A1134" s="1">
        <v>45488</v>
      </c>
      <c r="B1134">
        <v>4.1327999999999996E-6</v>
      </c>
    </row>
    <row r="1135" spans="1:2" x14ac:dyDescent="0.25">
      <c r="A1135" s="1">
        <v>45489</v>
      </c>
      <c r="B1135">
        <v>4.0959400000000003E-6</v>
      </c>
    </row>
    <row r="1136" spans="1:2" x14ac:dyDescent="0.25">
      <c r="A1136" s="1">
        <v>45490</v>
      </c>
      <c r="B1136">
        <v>3.9940100000000001E-6</v>
      </c>
    </row>
    <row r="1137" spans="1:2" x14ac:dyDescent="0.25">
      <c r="A1137" s="1">
        <v>45491</v>
      </c>
      <c r="B1137">
        <v>3.9165200000000002E-6</v>
      </c>
    </row>
    <row r="1138" spans="1:2" x14ac:dyDescent="0.25">
      <c r="A1138" s="1">
        <v>45492</v>
      </c>
      <c r="B1138">
        <v>3.7980099999999997E-6</v>
      </c>
    </row>
    <row r="1139" spans="1:2" x14ac:dyDescent="0.25">
      <c r="A1139" s="1">
        <v>45495</v>
      </c>
      <c r="B1139">
        <v>3.9590100000000004E-6</v>
      </c>
    </row>
    <row r="1140" spans="1:2" x14ac:dyDescent="0.25">
      <c r="A1140" s="1">
        <v>45496</v>
      </c>
      <c r="B1140">
        <v>3.8983700000000003E-6</v>
      </c>
    </row>
    <row r="1141" spans="1:2" x14ac:dyDescent="0.25">
      <c r="A1141" s="1">
        <v>45497</v>
      </c>
      <c r="B1141">
        <v>3.9912099999999999E-6</v>
      </c>
    </row>
    <row r="1142" spans="1:2" x14ac:dyDescent="0.25">
      <c r="A1142" s="1">
        <v>45498</v>
      </c>
      <c r="B1142">
        <v>3.77433E-6</v>
      </c>
    </row>
    <row r="1143" spans="1:2" x14ac:dyDescent="0.25">
      <c r="A1143" s="1">
        <v>45499</v>
      </c>
      <c r="B1143">
        <v>3.8125700000000002E-6</v>
      </c>
    </row>
    <row r="1144" spans="1:2" x14ac:dyDescent="0.25">
      <c r="A1144" s="1">
        <v>45502</v>
      </c>
      <c r="B1144">
        <v>3.8528100000000005E-6</v>
      </c>
    </row>
    <row r="1145" spans="1:2" x14ac:dyDescent="0.25">
      <c r="A1145" s="1">
        <v>45503</v>
      </c>
      <c r="B1145">
        <v>3.6705399999999997E-6</v>
      </c>
    </row>
    <row r="1146" spans="1:2" x14ac:dyDescent="0.25">
      <c r="A1146" s="1">
        <v>45504</v>
      </c>
      <c r="B1146">
        <v>4.1319999999999996E-6</v>
      </c>
    </row>
    <row r="1147" spans="1:2" x14ac:dyDescent="0.25">
      <c r="A1147" s="1">
        <v>45505</v>
      </c>
      <c r="B1147">
        <v>3.4888500000000001E-6</v>
      </c>
    </row>
    <row r="1148" spans="1:2" x14ac:dyDescent="0.25">
      <c r="A1148" s="1">
        <v>45506</v>
      </c>
      <c r="B1148">
        <v>3.3847299999999999E-6</v>
      </c>
    </row>
    <row r="1149" spans="1:2" x14ac:dyDescent="0.25">
      <c r="A1149" s="1">
        <v>45509</v>
      </c>
      <c r="B1149">
        <v>3.16246E-6</v>
      </c>
    </row>
    <row r="1150" spans="1:2" x14ac:dyDescent="0.25">
      <c r="A1150" s="1">
        <v>45510</v>
      </c>
      <c r="B1150">
        <v>2.9195800000000003E-6</v>
      </c>
    </row>
    <row r="1151" spans="1:2" x14ac:dyDescent="0.25">
      <c r="A1151" s="1">
        <v>45511</v>
      </c>
      <c r="B1151">
        <v>2.8666000000000002E-6</v>
      </c>
    </row>
    <row r="1152" spans="1:2" x14ac:dyDescent="0.25">
      <c r="A1152" s="1">
        <v>45512</v>
      </c>
      <c r="B1152">
        <v>3.0315900000000001E-6</v>
      </c>
    </row>
    <row r="1153" spans="1:2" x14ac:dyDescent="0.25">
      <c r="A1153" s="1">
        <v>45513</v>
      </c>
      <c r="B1153">
        <v>3.1219799999999998E-6</v>
      </c>
    </row>
    <row r="1154" spans="1:2" x14ac:dyDescent="0.25">
      <c r="A1154" s="1">
        <v>45516</v>
      </c>
      <c r="B1154">
        <v>3.2864100000000003E-6</v>
      </c>
    </row>
    <row r="1155" spans="1:2" x14ac:dyDescent="0.25">
      <c r="A1155" s="1">
        <v>45517</v>
      </c>
      <c r="B1155">
        <v>3.2449400000000003E-6</v>
      </c>
    </row>
    <row r="1156" spans="1:2" x14ac:dyDescent="0.25">
      <c r="A1156" s="1">
        <v>45518</v>
      </c>
      <c r="B1156">
        <v>3.2847199999999998E-6</v>
      </c>
    </row>
    <row r="1157" spans="1:2" x14ac:dyDescent="0.25">
      <c r="A1157" s="1">
        <v>45519</v>
      </c>
      <c r="B1157">
        <v>3.0714100000000002E-6</v>
      </c>
    </row>
    <row r="1158" spans="1:2" x14ac:dyDescent="0.25">
      <c r="A1158" s="1">
        <v>45520</v>
      </c>
      <c r="B1158">
        <v>3.30317E-6</v>
      </c>
    </row>
    <row r="1159" spans="1:2" x14ac:dyDescent="0.25">
      <c r="A1159" s="1">
        <v>45523</v>
      </c>
      <c r="B1159">
        <v>3.3358300000000003E-6</v>
      </c>
    </row>
    <row r="1160" spans="1:2" x14ac:dyDescent="0.25">
      <c r="A1160" s="1">
        <v>45524</v>
      </c>
      <c r="B1160">
        <v>3.1081900000000003E-6</v>
      </c>
    </row>
    <row r="1161" spans="1:2" x14ac:dyDescent="0.25">
      <c r="A1161" s="1">
        <v>45525</v>
      </c>
      <c r="B1161">
        <v>3.2132899999999999E-6</v>
      </c>
    </row>
    <row r="1162" spans="1:2" x14ac:dyDescent="0.25">
      <c r="A1162" s="1">
        <v>45526</v>
      </c>
      <c r="B1162">
        <v>3.16777E-6</v>
      </c>
    </row>
    <row r="1163" spans="1:2" x14ac:dyDescent="0.25">
      <c r="A1163" s="1">
        <v>45527</v>
      </c>
      <c r="B1163">
        <v>3.1289600000000002E-6</v>
      </c>
    </row>
    <row r="1164" spans="1:2" x14ac:dyDescent="0.25">
      <c r="A1164" s="1">
        <v>45530</v>
      </c>
      <c r="B1164">
        <v>3.5355700000000001E-6</v>
      </c>
    </row>
    <row r="1165" spans="1:2" x14ac:dyDescent="0.25">
      <c r="A1165" s="1">
        <v>45531</v>
      </c>
      <c r="B1165">
        <v>3.4404500000000002E-6</v>
      </c>
    </row>
    <row r="1166" spans="1:2" x14ac:dyDescent="0.25">
      <c r="A1166" s="1">
        <v>45532</v>
      </c>
      <c r="B1166">
        <v>3.8889000000000002E-6</v>
      </c>
    </row>
    <row r="1167" spans="1:2" x14ac:dyDescent="0.25">
      <c r="A1167" s="1">
        <v>45533</v>
      </c>
      <c r="B1167">
        <v>3.8343400000000001E-6</v>
      </c>
    </row>
    <row r="1168" spans="1:2" x14ac:dyDescent="0.25">
      <c r="A1168" s="1">
        <v>45534</v>
      </c>
      <c r="B1168">
        <v>4.3313000000000004E-6</v>
      </c>
    </row>
    <row r="1169" spans="1:2" x14ac:dyDescent="0.25">
      <c r="A1169" s="1">
        <v>45538</v>
      </c>
      <c r="B1169">
        <v>3.4980799999999999E-6</v>
      </c>
    </row>
    <row r="1170" spans="1:2" x14ac:dyDescent="0.25">
      <c r="A1170" s="1">
        <v>45539</v>
      </c>
      <c r="B1170">
        <v>3.3731200000000001E-6</v>
      </c>
    </row>
    <row r="1171" spans="1:2" x14ac:dyDescent="0.25">
      <c r="A1171" s="1">
        <v>45540</v>
      </c>
      <c r="B1171">
        <v>2.9109100000000002E-6</v>
      </c>
    </row>
    <row r="1172" spans="1:2" x14ac:dyDescent="0.25">
      <c r="A1172" s="1">
        <v>45541</v>
      </c>
      <c r="B1172">
        <v>2.99271E-6</v>
      </c>
    </row>
    <row r="1173" spans="1:2" x14ac:dyDescent="0.25">
      <c r="A1173" s="1">
        <v>45544</v>
      </c>
      <c r="B1173">
        <v>2.92158E-6</v>
      </c>
    </row>
    <row r="1174" spans="1:2" x14ac:dyDescent="0.25">
      <c r="A1174" s="1">
        <v>45545</v>
      </c>
      <c r="B1174">
        <v>2.81392E-6</v>
      </c>
    </row>
    <row r="1175" spans="1:2" x14ac:dyDescent="0.25">
      <c r="A1175" s="1">
        <v>45546</v>
      </c>
      <c r="B1175">
        <v>2.7921499999999996E-6</v>
      </c>
    </row>
    <row r="1176" spans="1:2" x14ac:dyDescent="0.25">
      <c r="A1176" s="1">
        <v>45547</v>
      </c>
      <c r="B1176">
        <v>2.94464E-6</v>
      </c>
    </row>
    <row r="1177" spans="1:2" x14ac:dyDescent="0.25">
      <c r="A1177" s="1">
        <v>45548</v>
      </c>
      <c r="B1177">
        <v>2.8495100000000003E-6</v>
      </c>
    </row>
    <row r="1178" spans="1:2" x14ac:dyDescent="0.25">
      <c r="A1178" s="1">
        <v>45551</v>
      </c>
      <c r="B1178">
        <v>2.3938599999999998E-6</v>
      </c>
    </row>
    <row r="1179" spans="1:2" x14ac:dyDescent="0.25">
      <c r="A1179" s="1">
        <v>45552</v>
      </c>
      <c r="B1179">
        <v>2.5633699999999999E-6</v>
      </c>
    </row>
    <row r="1180" spans="1:2" x14ac:dyDescent="0.25">
      <c r="A1180" s="1">
        <v>45553</v>
      </c>
      <c r="B1180">
        <v>3.0583100000000003E-6</v>
      </c>
    </row>
    <row r="1181" spans="1:2" x14ac:dyDescent="0.25">
      <c r="A1181" s="1">
        <v>45554</v>
      </c>
      <c r="B1181">
        <v>3.1177700000000001E-6</v>
      </c>
    </row>
    <row r="1182" spans="1:2" x14ac:dyDescent="0.25">
      <c r="A1182" s="1">
        <v>45555</v>
      </c>
      <c r="B1182">
        <v>3.3931599999999997E-6</v>
      </c>
    </row>
    <row r="1183" spans="1:2" x14ac:dyDescent="0.25">
      <c r="A1183" s="1">
        <v>45558</v>
      </c>
      <c r="B1183">
        <v>3.8037200000000002E-6</v>
      </c>
    </row>
    <row r="1184" spans="1:2" x14ac:dyDescent="0.25">
      <c r="A1184" s="1">
        <v>45559</v>
      </c>
      <c r="B1184">
        <v>3.88977E-6</v>
      </c>
    </row>
    <row r="1185" spans="1:2" x14ac:dyDescent="0.25">
      <c r="A1185" s="1">
        <v>45560</v>
      </c>
      <c r="B1185">
        <v>4.1619299999999995E-6</v>
      </c>
    </row>
    <row r="1186" spans="1:2" x14ac:dyDescent="0.25">
      <c r="A1186" s="1">
        <v>45561</v>
      </c>
      <c r="B1186">
        <v>4.2491599999999996E-6</v>
      </c>
    </row>
    <row r="1187" spans="1:2" x14ac:dyDescent="0.25">
      <c r="A1187" s="1">
        <v>45562</v>
      </c>
      <c r="B1187">
        <v>4.3651799999999996E-6</v>
      </c>
    </row>
    <row r="1188" spans="1:2" x14ac:dyDescent="0.25">
      <c r="A1188" s="1">
        <v>45565</v>
      </c>
      <c r="B1188">
        <v>4.6563799999999995E-6</v>
      </c>
    </row>
    <row r="1189" spans="1:2" x14ac:dyDescent="0.25">
      <c r="A1189" s="1">
        <v>45566</v>
      </c>
      <c r="B1189">
        <v>3.7522100000000001E-6</v>
      </c>
    </row>
    <row r="1190" spans="1:2" x14ac:dyDescent="0.25">
      <c r="A1190" s="1">
        <v>45567</v>
      </c>
      <c r="B1190">
        <v>3.8339800000000003E-6</v>
      </c>
    </row>
    <row r="1191" spans="1:2" x14ac:dyDescent="0.25">
      <c r="A1191" s="1">
        <v>45568</v>
      </c>
      <c r="B1191">
        <v>3.4124799999999998E-6</v>
      </c>
    </row>
    <row r="1192" spans="1:2" x14ac:dyDescent="0.25">
      <c r="A1192" s="1">
        <v>45569</v>
      </c>
      <c r="B1192">
        <v>3.3001200000000001E-6</v>
      </c>
    </row>
    <row r="1193" spans="1:2" x14ac:dyDescent="0.25">
      <c r="A1193" s="1">
        <v>45572</v>
      </c>
      <c r="B1193">
        <v>3.2294799999999996E-6</v>
      </c>
    </row>
    <row r="1194" spans="1:2" x14ac:dyDescent="0.25">
      <c r="A1194" s="1">
        <v>45573</v>
      </c>
      <c r="B1194">
        <v>3.2535500000000004E-6</v>
      </c>
    </row>
    <row r="1195" spans="1:2" x14ac:dyDescent="0.25">
      <c r="A1195" s="1">
        <v>45574</v>
      </c>
      <c r="B1195">
        <v>3.4344799999999998E-6</v>
      </c>
    </row>
    <row r="1196" spans="1:2" x14ac:dyDescent="0.25">
      <c r="A1196" s="1">
        <v>45575</v>
      </c>
      <c r="B1196">
        <v>3.2258699999999999E-6</v>
      </c>
    </row>
    <row r="1197" spans="1:2" x14ac:dyDescent="0.25">
      <c r="A1197" s="1">
        <v>45576</v>
      </c>
      <c r="B1197">
        <v>3.3173500000000001E-6</v>
      </c>
    </row>
    <row r="1198" spans="1:2" x14ac:dyDescent="0.25">
      <c r="A1198" s="1">
        <v>45580</v>
      </c>
      <c r="B1198">
        <v>2.8639800000000003E-6</v>
      </c>
    </row>
    <row r="1199" spans="1:2" x14ac:dyDescent="0.25">
      <c r="A1199" s="1">
        <v>45581</v>
      </c>
      <c r="B1199">
        <v>2.7202800000000003E-6</v>
      </c>
    </row>
    <row r="1200" spans="1:2" x14ac:dyDescent="0.25">
      <c r="A1200" s="1">
        <v>45582</v>
      </c>
      <c r="B1200">
        <v>2.6220999999999998E-6</v>
      </c>
    </row>
    <row r="1201" spans="1:2" x14ac:dyDescent="0.25">
      <c r="A1201" s="1">
        <v>45583</v>
      </c>
      <c r="B1201">
        <v>2.5989199999999999E-6</v>
      </c>
    </row>
    <row r="1202" spans="1:2" x14ac:dyDescent="0.25">
      <c r="A1202" s="1">
        <v>45586</v>
      </c>
      <c r="B1202">
        <v>2.6104399999999999E-6</v>
      </c>
    </row>
    <row r="1203" spans="1:2" x14ac:dyDescent="0.25">
      <c r="A1203" s="1">
        <v>45587</v>
      </c>
      <c r="B1203">
        <v>2.3775999999999999E-6</v>
      </c>
    </row>
    <row r="1204" spans="1:2" x14ac:dyDescent="0.25">
      <c r="A1204" s="1">
        <v>45588</v>
      </c>
      <c r="B1204">
        <v>2.7083899999999999E-6</v>
      </c>
    </row>
    <row r="1205" spans="1:2" x14ac:dyDescent="0.25">
      <c r="A1205" s="1">
        <v>45589</v>
      </c>
      <c r="B1205">
        <v>2.0279800000000002E-6</v>
      </c>
    </row>
    <row r="1206" spans="1:2" x14ac:dyDescent="0.25">
      <c r="A1206" s="1">
        <v>45590</v>
      </c>
      <c r="B1206">
        <v>2.2699999999999999E-6</v>
      </c>
    </row>
    <row r="1207" spans="1:2" x14ac:dyDescent="0.25">
      <c r="A1207" s="1">
        <v>45593</v>
      </c>
      <c r="B1207">
        <v>2.51032E-6</v>
      </c>
    </row>
    <row r="1208" spans="1:2" x14ac:dyDescent="0.25">
      <c r="A1208" s="1">
        <v>45594</v>
      </c>
      <c r="B1208">
        <v>2.44841E-6</v>
      </c>
    </row>
    <row r="1209" spans="1:2" x14ac:dyDescent="0.25">
      <c r="A1209" s="1">
        <v>45595</v>
      </c>
      <c r="B1209">
        <v>2.28946E-6</v>
      </c>
    </row>
    <row r="1210" spans="1:2" x14ac:dyDescent="0.25">
      <c r="A1210" s="1">
        <v>45596</v>
      </c>
      <c r="B1210">
        <v>2.0127799999999999E-6</v>
      </c>
    </row>
    <row r="1211" spans="1:2" x14ac:dyDescent="0.25">
      <c r="A1211" s="1">
        <v>45597</v>
      </c>
      <c r="B1211">
        <v>1.5547600000000001E-6</v>
      </c>
    </row>
    <row r="1212" spans="1:2" x14ac:dyDescent="0.25">
      <c r="A1212" s="1">
        <v>45600</v>
      </c>
      <c r="B1212">
        <v>1.7188499999999999E-6</v>
      </c>
    </row>
    <row r="1213" spans="1:2" x14ac:dyDescent="0.25">
      <c r="A1213" s="1">
        <v>45601</v>
      </c>
      <c r="B1213">
        <v>1.4424299999999999E-6</v>
      </c>
    </row>
    <row r="1214" spans="1:2" x14ac:dyDescent="0.25">
      <c r="A1214" s="1">
        <v>45602</v>
      </c>
      <c r="B1214">
        <v>1.7787100000000001E-6</v>
      </c>
    </row>
    <row r="1215" spans="1:2" x14ac:dyDescent="0.25">
      <c r="A1215" s="1">
        <v>45603</v>
      </c>
      <c r="B1215">
        <v>1.5900200000000002E-6</v>
      </c>
    </row>
    <row r="1216" spans="1:2" x14ac:dyDescent="0.25">
      <c r="A1216" s="1">
        <v>45604</v>
      </c>
      <c r="B1216">
        <v>1.6362100000000002E-6</v>
      </c>
    </row>
    <row r="1217" spans="1:2" x14ac:dyDescent="0.25">
      <c r="A1217" s="1">
        <v>45608</v>
      </c>
      <c r="B1217">
        <v>1.7881399999999999E-6</v>
      </c>
    </row>
    <row r="1218" spans="1:2" x14ac:dyDescent="0.25">
      <c r="A1218" s="1">
        <v>45609</v>
      </c>
      <c r="B1218">
        <v>2.3810600000000001E-6</v>
      </c>
    </row>
    <row r="1219" spans="1:2" x14ac:dyDescent="0.25">
      <c r="A1219" s="1">
        <v>45610</v>
      </c>
      <c r="B1219">
        <v>2.1450899999999997E-6</v>
      </c>
    </row>
    <row r="1220" spans="1:2" x14ac:dyDescent="0.25">
      <c r="A1220" s="1">
        <v>45611</v>
      </c>
      <c r="B1220">
        <v>1.7240000000000001E-6</v>
      </c>
    </row>
    <row r="1221" spans="1:2" x14ac:dyDescent="0.25">
      <c r="A1221" s="1">
        <v>45614</v>
      </c>
      <c r="B1221">
        <v>2.0003000000000001E-6</v>
      </c>
    </row>
    <row r="1222" spans="1:2" x14ac:dyDescent="0.25">
      <c r="A1222" s="1">
        <v>45615</v>
      </c>
      <c r="B1222">
        <v>2.0066399999999998E-6</v>
      </c>
    </row>
    <row r="1223" spans="1:2" x14ac:dyDescent="0.25">
      <c r="A1223" s="1">
        <v>45616</v>
      </c>
      <c r="B1223">
        <v>2.1779299999999999E-6</v>
      </c>
    </row>
    <row r="1224" spans="1:2" x14ac:dyDescent="0.25">
      <c r="A1224" s="1">
        <v>45617</v>
      </c>
      <c r="B1224">
        <v>1.88567E-6</v>
      </c>
    </row>
    <row r="1225" spans="1:2" x14ac:dyDescent="0.25">
      <c r="A1225" s="1">
        <v>45618</v>
      </c>
      <c r="B1225">
        <v>2.0425399999999998E-6</v>
      </c>
    </row>
    <row r="1226" spans="1:2" x14ac:dyDescent="0.25">
      <c r="A1226" s="1">
        <v>45621</v>
      </c>
      <c r="B1226">
        <v>1.8674900000000001E-6</v>
      </c>
    </row>
    <row r="1227" spans="1:2" x14ac:dyDescent="0.25">
      <c r="A1227" s="1">
        <v>45622</v>
      </c>
      <c r="B1227">
        <v>1.48823E-6</v>
      </c>
    </row>
    <row r="1228" spans="1:2" x14ac:dyDescent="0.25">
      <c r="A1228" s="1">
        <v>45623</v>
      </c>
      <c r="B1228">
        <v>1.69815E-6</v>
      </c>
    </row>
    <row r="1229" spans="1:2" x14ac:dyDescent="0.25">
      <c r="A1229" s="1">
        <v>45625</v>
      </c>
      <c r="B1229">
        <v>1.9762700000000001E-6</v>
      </c>
    </row>
    <row r="1230" spans="1:2" x14ac:dyDescent="0.25">
      <c r="A1230" s="1">
        <v>45628</v>
      </c>
      <c r="B1230">
        <v>1.3585800000000001E-6</v>
      </c>
    </row>
    <row r="1231" spans="1:2" x14ac:dyDescent="0.25">
      <c r="A1231" s="1">
        <v>45629</v>
      </c>
      <c r="B1231">
        <v>1.61572E-6</v>
      </c>
    </row>
    <row r="1232" spans="1:2" x14ac:dyDescent="0.25">
      <c r="A1232" s="1">
        <v>45630</v>
      </c>
      <c r="B1232">
        <v>1.6286600000000001E-6</v>
      </c>
    </row>
    <row r="1233" spans="1:2" x14ac:dyDescent="0.25">
      <c r="A1233" s="1">
        <v>45631</v>
      </c>
      <c r="B1233">
        <v>1.3196400000000001E-6</v>
      </c>
    </row>
    <row r="1234" spans="1:2" x14ac:dyDescent="0.25">
      <c r="A1234" s="1">
        <v>45632</v>
      </c>
      <c r="B1234">
        <v>1.3001400000000001E-6</v>
      </c>
    </row>
    <row r="1235" spans="1:2" x14ac:dyDescent="0.25">
      <c r="A1235" s="1">
        <v>45635</v>
      </c>
      <c r="B1235">
        <v>1.5302899999999999E-6</v>
      </c>
    </row>
    <row r="1236" spans="1:2" x14ac:dyDescent="0.25">
      <c r="A1236" s="1">
        <v>45636</v>
      </c>
      <c r="B1236">
        <v>1.7484200000000002E-6</v>
      </c>
    </row>
    <row r="1237" spans="1:2" x14ac:dyDescent="0.25">
      <c r="A1237" s="1">
        <v>45637</v>
      </c>
      <c r="B1237">
        <v>1.8012E-6</v>
      </c>
    </row>
    <row r="1238" spans="1:2" x14ac:dyDescent="0.25">
      <c r="A1238" s="1">
        <v>45638</v>
      </c>
      <c r="B1238">
        <v>1.65025E-6</v>
      </c>
    </row>
    <row r="1239" spans="1:2" x14ac:dyDescent="0.25">
      <c r="A1239" s="1">
        <v>45639</v>
      </c>
      <c r="B1239">
        <v>1.35777E-6</v>
      </c>
    </row>
    <row r="1240" spans="1:2" x14ac:dyDescent="0.25">
      <c r="A1240" s="1">
        <v>45642</v>
      </c>
      <c r="B1240">
        <v>1.10753E-6</v>
      </c>
    </row>
    <row r="1241" spans="1:2" x14ac:dyDescent="0.25">
      <c r="A1241" s="1">
        <v>45643</v>
      </c>
      <c r="B1241">
        <v>1.18093E-6</v>
      </c>
    </row>
    <row r="1242" spans="1:2" x14ac:dyDescent="0.25">
      <c r="A1242" s="1">
        <v>45644</v>
      </c>
      <c r="B1242">
        <v>1.3165100000000001E-6</v>
      </c>
    </row>
    <row r="1243" spans="1:2" x14ac:dyDescent="0.25">
      <c r="A1243" s="1">
        <v>45645</v>
      </c>
      <c r="B1243">
        <v>1.12417E-6</v>
      </c>
    </row>
    <row r="1244" spans="1:2" x14ac:dyDescent="0.25">
      <c r="A1244" s="1">
        <v>45646</v>
      </c>
      <c r="B1244">
        <v>9.8355999999999995E-7</v>
      </c>
    </row>
    <row r="1245" spans="1:2" x14ac:dyDescent="0.25">
      <c r="A1245" s="1">
        <v>45649</v>
      </c>
      <c r="B1245">
        <v>1.16004E-6</v>
      </c>
    </row>
    <row r="1246" spans="1:2" x14ac:dyDescent="0.25">
      <c r="A1246" s="1">
        <v>45650</v>
      </c>
      <c r="B1246">
        <v>1.80989E-6</v>
      </c>
    </row>
    <row r="1247" spans="1:2" x14ac:dyDescent="0.25">
      <c r="A1247" s="1">
        <v>45652</v>
      </c>
      <c r="B1247">
        <v>1.9681799999999999E-6</v>
      </c>
    </row>
    <row r="1248" spans="1:2" x14ac:dyDescent="0.25">
      <c r="A1248" s="1">
        <v>45653</v>
      </c>
      <c r="B1248">
        <v>2.6873899999999996E-6</v>
      </c>
    </row>
    <row r="1249" spans="1:2" x14ac:dyDescent="0.25">
      <c r="A1249" s="1">
        <v>45656</v>
      </c>
      <c r="B1249">
        <v>2.6074299999999998E-6</v>
      </c>
    </row>
    <row r="1250" spans="1:2" x14ac:dyDescent="0.25">
      <c r="A1250" s="1">
        <v>45657</v>
      </c>
      <c r="B1250">
        <v>4.7345999999999995E-6</v>
      </c>
    </row>
    <row r="1251" spans="1:2" x14ac:dyDescent="0.25">
      <c r="A1251" s="1">
        <v>45659</v>
      </c>
      <c r="B1251">
        <v>2.3985800000000001E-6</v>
      </c>
    </row>
    <row r="1252" spans="1:2" x14ac:dyDescent="0.25">
      <c r="A1252" s="1">
        <v>45660</v>
      </c>
      <c r="B1252">
        <v>2.3737700000000001E-6</v>
      </c>
    </row>
    <row r="1253" spans="1:2" x14ac:dyDescent="0.25">
      <c r="A1253" s="1">
        <v>45663</v>
      </c>
      <c r="B1253">
        <v>2.3192599999999997E-6</v>
      </c>
    </row>
    <row r="1254" spans="1:2" x14ac:dyDescent="0.25">
      <c r="A1254" s="1">
        <v>45664</v>
      </c>
      <c r="B1254">
        <v>2.08296E-6</v>
      </c>
    </row>
    <row r="1255" spans="1:2" x14ac:dyDescent="0.25">
      <c r="A1255" s="1">
        <v>45665</v>
      </c>
      <c r="B1255">
        <v>1.85144E-6</v>
      </c>
    </row>
    <row r="1256" spans="1:2" x14ac:dyDescent="0.25">
      <c r="A1256" s="1">
        <v>45666</v>
      </c>
      <c r="B1256">
        <v>1.6822499999999999E-6</v>
      </c>
    </row>
    <row r="1257" spans="1:2" x14ac:dyDescent="0.25">
      <c r="A1257" s="1">
        <v>45667</v>
      </c>
      <c r="B1257">
        <v>1.7880000000000001E-6</v>
      </c>
    </row>
    <row r="1258" spans="1:2" x14ac:dyDescent="0.25">
      <c r="A1258" s="1">
        <v>45670</v>
      </c>
      <c r="B1258">
        <v>1.8366900000000001E-6</v>
      </c>
    </row>
    <row r="1259" spans="1:2" x14ac:dyDescent="0.25">
      <c r="A1259" s="1">
        <v>45671</v>
      </c>
      <c r="B1259">
        <v>1.60219E-6</v>
      </c>
    </row>
    <row r="1260" spans="1:2" x14ac:dyDescent="0.25">
      <c r="A1260" s="1">
        <v>45672</v>
      </c>
      <c r="B1260">
        <v>1.1997699999999999E-6</v>
      </c>
    </row>
    <row r="1261" spans="1:2" x14ac:dyDescent="0.25">
      <c r="A1261" s="1">
        <v>45673</v>
      </c>
      <c r="B1261">
        <v>9.4489000000000009E-7</v>
      </c>
    </row>
    <row r="1262" spans="1:2" x14ac:dyDescent="0.25">
      <c r="A1262" s="1">
        <v>45674</v>
      </c>
      <c r="B1262">
        <v>1.18327E-6</v>
      </c>
    </row>
    <row r="1263" spans="1:2" x14ac:dyDescent="0.25">
      <c r="A1263" s="1">
        <v>45678</v>
      </c>
      <c r="B1263">
        <v>9.6015000000000003E-7</v>
      </c>
    </row>
    <row r="1264" spans="1:2" x14ac:dyDescent="0.25">
      <c r="A1264" s="1">
        <v>45679</v>
      </c>
      <c r="B1264">
        <v>1.23981E-6</v>
      </c>
    </row>
    <row r="1265" spans="1:2" x14ac:dyDescent="0.25">
      <c r="A1265" s="1">
        <v>45680</v>
      </c>
      <c r="B1265">
        <v>1.3203100000000002E-6</v>
      </c>
    </row>
    <row r="1266" spans="1:2" x14ac:dyDescent="0.25">
      <c r="A1266" s="1">
        <v>45681</v>
      </c>
      <c r="B1266">
        <v>1.04972E-6</v>
      </c>
    </row>
    <row r="1267" spans="1:2" x14ac:dyDescent="0.25">
      <c r="A1267" s="1">
        <v>45684</v>
      </c>
      <c r="B1267">
        <v>9.2862999999999997E-7</v>
      </c>
    </row>
    <row r="1268" spans="1:2" x14ac:dyDescent="0.25">
      <c r="A1268" s="1">
        <v>45685</v>
      </c>
      <c r="B1268">
        <v>1.1276E-6</v>
      </c>
    </row>
    <row r="1269" spans="1:2" x14ac:dyDescent="0.25">
      <c r="A1269" s="1">
        <v>45686</v>
      </c>
      <c r="B1269">
        <v>1.21842E-6</v>
      </c>
    </row>
    <row r="1270" spans="1:2" x14ac:dyDescent="0.25">
      <c r="A1270" s="1">
        <v>45687</v>
      </c>
      <c r="B1270">
        <v>1.2596500000000001E-6</v>
      </c>
    </row>
    <row r="1271" spans="1:2" x14ac:dyDescent="0.25">
      <c r="A1271" s="1">
        <v>45688</v>
      </c>
      <c r="B1271">
        <v>1.8791300000000001E-6</v>
      </c>
    </row>
    <row r="1272" spans="1:2" x14ac:dyDescent="0.25">
      <c r="A1272" s="1">
        <v>45691</v>
      </c>
      <c r="B1272">
        <v>9.7781000000000005E-7</v>
      </c>
    </row>
    <row r="1273" spans="1:2" x14ac:dyDescent="0.25">
      <c r="A1273" s="1">
        <v>45692</v>
      </c>
      <c r="B1273">
        <v>8.5653999999999991E-7</v>
      </c>
    </row>
    <row r="1274" spans="1:2" x14ac:dyDescent="0.25">
      <c r="A1274" s="1">
        <v>45693</v>
      </c>
      <c r="B1274">
        <v>7.8787999999999998E-7</v>
      </c>
    </row>
    <row r="1275" spans="1:2" x14ac:dyDescent="0.25">
      <c r="A1275" s="1">
        <v>45694</v>
      </c>
      <c r="B1275">
        <v>7.9983000000000004E-7</v>
      </c>
    </row>
    <row r="1276" spans="1:2" x14ac:dyDescent="0.25">
      <c r="A1276" s="1">
        <v>45695</v>
      </c>
      <c r="B1276">
        <v>9.5248000000000007E-7</v>
      </c>
    </row>
    <row r="1277" spans="1:2" x14ac:dyDescent="0.25">
      <c r="A1277" s="1">
        <v>45698</v>
      </c>
      <c r="B1277">
        <v>9.965300000000001E-7</v>
      </c>
    </row>
    <row r="1278" spans="1:2" x14ac:dyDescent="0.25">
      <c r="A1278" s="1">
        <v>45699</v>
      </c>
      <c r="B1278">
        <v>7.6446E-7</v>
      </c>
    </row>
    <row r="1279" spans="1:2" x14ac:dyDescent="0.25">
      <c r="A1279" s="1">
        <v>45700</v>
      </c>
      <c r="B1279">
        <v>6.7670000000000002E-7</v>
      </c>
    </row>
    <row r="1280" spans="1:2" x14ac:dyDescent="0.25">
      <c r="A1280" s="1">
        <v>45701</v>
      </c>
      <c r="B1280">
        <v>6.7819999999999992E-7</v>
      </c>
    </row>
    <row r="1281" spans="1:2" x14ac:dyDescent="0.25">
      <c r="A1281" s="1">
        <v>45702</v>
      </c>
      <c r="B1281">
        <v>5.877E-7</v>
      </c>
    </row>
    <row r="1282" spans="1:2" x14ac:dyDescent="0.25">
      <c r="A1282" s="1">
        <v>45706</v>
      </c>
      <c r="B1282">
        <v>7.7816999999999993E-7</v>
      </c>
    </row>
    <row r="1283" spans="1:2" x14ac:dyDescent="0.25">
      <c r="A1283" s="1">
        <v>45707</v>
      </c>
      <c r="B1283">
        <v>7.3196E-7</v>
      </c>
    </row>
    <row r="1284" spans="1:2" x14ac:dyDescent="0.25">
      <c r="A1284" s="1">
        <v>45708</v>
      </c>
      <c r="B1284">
        <v>6.3206999999999997E-7</v>
      </c>
    </row>
    <row r="1285" spans="1:2" x14ac:dyDescent="0.25">
      <c r="A1285" s="1">
        <v>45709</v>
      </c>
      <c r="B1285">
        <v>6.8983000000000003E-7</v>
      </c>
    </row>
    <row r="1286" spans="1:2" x14ac:dyDescent="0.25">
      <c r="A1286" s="1">
        <v>45712</v>
      </c>
      <c r="B1286">
        <v>7.6817999999999999E-7</v>
      </c>
    </row>
    <row r="1287" spans="1:2" x14ac:dyDescent="0.25">
      <c r="A1287" s="1">
        <v>45713</v>
      </c>
      <c r="B1287">
        <v>9.5999999999999991E-7</v>
      </c>
    </row>
    <row r="1288" spans="1:2" x14ac:dyDescent="0.25">
      <c r="A1288" s="1">
        <v>45714</v>
      </c>
      <c r="B1288">
        <v>1.2605800000000001E-6</v>
      </c>
    </row>
    <row r="1289" spans="1:2" x14ac:dyDescent="0.25">
      <c r="A1289" s="1">
        <v>45715</v>
      </c>
      <c r="B1289">
        <v>1.8214799999999999E-6</v>
      </c>
    </row>
    <row r="1290" spans="1:2" x14ac:dyDescent="0.25">
      <c r="A1290" s="1">
        <v>45716</v>
      </c>
      <c r="B1290">
        <v>2.3442200000000001E-6</v>
      </c>
    </row>
    <row r="1291" spans="1:2" x14ac:dyDescent="0.25">
      <c r="A1291" s="1">
        <v>45719</v>
      </c>
      <c r="B1291">
        <v>1.19987E-6</v>
      </c>
    </row>
    <row r="1292" spans="1:2" x14ac:dyDescent="0.25">
      <c r="A1292" s="1">
        <v>45720</v>
      </c>
      <c r="B1292">
        <v>1.35257E-6</v>
      </c>
    </row>
    <row r="1293" spans="1:2" x14ac:dyDescent="0.25">
      <c r="A1293" s="1">
        <v>45721</v>
      </c>
      <c r="B1293">
        <v>1.39493E-6</v>
      </c>
    </row>
    <row r="1294" spans="1:2" x14ac:dyDescent="0.25">
      <c r="A1294" s="1">
        <v>45722</v>
      </c>
      <c r="B1294">
        <v>1.2926900000000001E-6</v>
      </c>
    </row>
    <row r="1295" spans="1:2" x14ac:dyDescent="0.25">
      <c r="A1295" s="1">
        <v>45723</v>
      </c>
      <c r="B1295">
        <v>1.36305E-6</v>
      </c>
    </row>
    <row r="1296" spans="1:2" x14ac:dyDescent="0.25">
      <c r="A1296" s="1">
        <v>45726</v>
      </c>
      <c r="B1296">
        <v>1.29054E-6</v>
      </c>
    </row>
    <row r="1297" spans="1:2" x14ac:dyDescent="0.25">
      <c r="A1297" s="1">
        <v>45727</v>
      </c>
      <c r="B1297">
        <v>1.3731E-6</v>
      </c>
    </row>
    <row r="1298" spans="1:2" x14ac:dyDescent="0.25">
      <c r="A1298" s="1">
        <v>45728</v>
      </c>
      <c r="B1298">
        <v>1.3105500000000001E-6</v>
      </c>
    </row>
    <row r="1299" spans="1:2" x14ac:dyDescent="0.25">
      <c r="A1299" s="1">
        <v>45729</v>
      </c>
      <c r="B1299">
        <v>1.13435E-6</v>
      </c>
    </row>
    <row r="1300" spans="1:2" x14ac:dyDescent="0.25">
      <c r="A1300" s="1">
        <v>45730</v>
      </c>
      <c r="B1300">
        <v>1.26234E-6</v>
      </c>
    </row>
    <row r="1301" spans="1:2" x14ac:dyDescent="0.25">
      <c r="A1301" s="1">
        <v>45733</v>
      </c>
      <c r="B1301">
        <v>8.9495999999999996E-7</v>
      </c>
    </row>
    <row r="1302" spans="1:2" x14ac:dyDescent="0.25">
      <c r="A1302" s="1">
        <v>45734</v>
      </c>
      <c r="B1302">
        <v>1.4950299999999999E-6</v>
      </c>
    </row>
    <row r="1303" spans="1:2" x14ac:dyDescent="0.25">
      <c r="A1303" s="1">
        <v>45735</v>
      </c>
      <c r="B1303">
        <v>1.9337799999999999E-6</v>
      </c>
    </row>
    <row r="1304" spans="1:2" x14ac:dyDescent="0.25">
      <c r="A1304" s="1">
        <v>45736</v>
      </c>
      <c r="B1304">
        <v>1.9263999999999999E-6</v>
      </c>
    </row>
    <row r="1305" spans="1:2" x14ac:dyDescent="0.25">
      <c r="A1305" s="1">
        <v>45737</v>
      </c>
      <c r="B1305">
        <v>2.0084999999999999E-6</v>
      </c>
    </row>
    <row r="1306" spans="1:2" x14ac:dyDescent="0.25">
      <c r="A1306" s="1">
        <v>45740</v>
      </c>
      <c r="B1306">
        <v>1.96565E-6</v>
      </c>
    </row>
    <row r="1307" spans="1:2" x14ac:dyDescent="0.25">
      <c r="A1307" s="1">
        <v>45741</v>
      </c>
      <c r="B1307">
        <v>2.14786E-6</v>
      </c>
    </row>
    <row r="1308" spans="1:2" x14ac:dyDescent="0.25">
      <c r="A1308" s="1">
        <v>45742</v>
      </c>
      <c r="B1308">
        <v>2.4137100000000001E-6</v>
      </c>
    </row>
    <row r="1309" spans="1:2" x14ac:dyDescent="0.25">
      <c r="A1309" s="1">
        <v>45743</v>
      </c>
      <c r="B1309">
        <v>2.9178500000000004E-6</v>
      </c>
    </row>
    <row r="1310" spans="1:2" x14ac:dyDescent="0.25">
      <c r="A1310" s="1">
        <v>45744</v>
      </c>
      <c r="B1310">
        <v>2.86575E-6</v>
      </c>
    </row>
    <row r="1311" spans="1:2" x14ac:dyDescent="0.25">
      <c r="A1311" s="1">
        <v>45747</v>
      </c>
      <c r="B1311">
        <v>3.9916699999999998E-6</v>
      </c>
    </row>
    <row r="1312" spans="1:2" x14ac:dyDescent="0.25">
      <c r="A1312" s="1">
        <v>45748</v>
      </c>
      <c r="B1312">
        <v>2.30063E-6</v>
      </c>
    </row>
    <row r="1313" spans="1:2" x14ac:dyDescent="0.25">
      <c r="A1313" s="1">
        <v>45749</v>
      </c>
      <c r="B1313">
        <v>2.3348800000000002E-6</v>
      </c>
    </row>
    <row r="1314" spans="1:2" x14ac:dyDescent="0.25">
      <c r="A1314" s="1">
        <v>45750</v>
      </c>
      <c r="B1314">
        <v>1.9626499999999998E-6</v>
      </c>
    </row>
    <row r="1315" spans="1:2" x14ac:dyDescent="0.25">
      <c r="A1315" s="1">
        <v>45751</v>
      </c>
      <c r="B1315">
        <v>1.8449899999999998E-6</v>
      </c>
    </row>
    <row r="1316" spans="1:2" x14ac:dyDescent="0.25">
      <c r="A1316" s="1">
        <v>45754</v>
      </c>
      <c r="B1316">
        <v>1.4814599999999999E-6</v>
      </c>
    </row>
    <row r="1317" spans="1:2" x14ac:dyDescent="0.25">
      <c r="A1317" s="1">
        <v>45755</v>
      </c>
      <c r="B1317">
        <v>1.56911E-6</v>
      </c>
    </row>
    <row r="1318" spans="1:2" x14ac:dyDescent="0.25">
      <c r="A1318" s="1">
        <v>45756</v>
      </c>
      <c r="B1318">
        <v>1.68115E-6</v>
      </c>
    </row>
    <row r="1319" spans="1:2" x14ac:dyDescent="0.25">
      <c r="A1319" s="1">
        <v>45757</v>
      </c>
      <c r="B1319">
        <v>1.2994999999999998E-6</v>
      </c>
    </row>
    <row r="1320" spans="1:2" x14ac:dyDescent="0.25">
      <c r="A1320" s="1">
        <v>45758</v>
      </c>
      <c r="B1320">
        <v>9.8530999999999997E-7</v>
      </c>
    </row>
    <row r="1321" spans="1:2" x14ac:dyDescent="0.25">
      <c r="A1321" s="1">
        <v>45761</v>
      </c>
      <c r="B1321">
        <v>1.0283799999999998E-6</v>
      </c>
    </row>
    <row r="1322" spans="1:2" x14ac:dyDescent="0.25">
      <c r="A1322" s="1">
        <v>45762</v>
      </c>
      <c r="B1322">
        <v>8.8878000000000005E-7</v>
      </c>
    </row>
    <row r="1323" spans="1:2" x14ac:dyDescent="0.25">
      <c r="A1323" s="1">
        <v>45763</v>
      </c>
      <c r="B1323">
        <v>5.4771999999999998E-7</v>
      </c>
    </row>
    <row r="1324" spans="1:2" x14ac:dyDescent="0.25">
      <c r="A1324" s="1">
        <v>45764</v>
      </c>
      <c r="B1324">
        <v>5.8599999999999998E-7</v>
      </c>
    </row>
    <row r="1325" spans="1:2" x14ac:dyDescent="0.25">
      <c r="A1325" s="1">
        <v>45768</v>
      </c>
      <c r="B1325">
        <v>1.14114E-6</v>
      </c>
    </row>
    <row r="1326" spans="1:2" x14ac:dyDescent="0.25">
      <c r="A1326" s="1">
        <v>45769</v>
      </c>
      <c r="B1326">
        <v>1.3795099999999999E-6</v>
      </c>
    </row>
    <row r="1327" spans="1:2" x14ac:dyDescent="0.25">
      <c r="A1327" s="1">
        <v>45770</v>
      </c>
      <c r="B1327">
        <v>1.7178000000000001E-6</v>
      </c>
    </row>
    <row r="1328" spans="1:2" x14ac:dyDescent="0.25">
      <c r="A1328" s="1">
        <v>45771</v>
      </c>
      <c r="B1328">
        <v>1.3000399999999999E-6</v>
      </c>
    </row>
    <row r="1329" spans="1:2" x14ac:dyDescent="0.25">
      <c r="A1329" s="1">
        <v>45772</v>
      </c>
      <c r="B1329">
        <v>9.4020999999999997E-7</v>
      </c>
    </row>
    <row r="1330" spans="1:2" x14ac:dyDescent="0.25">
      <c r="A1330" s="1">
        <v>45775</v>
      </c>
      <c r="B1330">
        <v>1.48649E-6</v>
      </c>
    </row>
    <row r="1331" spans="1:2" x14ac:dyDescent="0.25">
      <c r="A1331" s="1">
        <v>45776</v>
      </c>
      <c r="B1331">
        <v>1.57537E-6</v>
      </c>
    </row>
    <row r="1332" spans="1:2" x14ac:dyDescent="0.25">
      <c r="A1332" s="1">
        <v>45777</v>
      </c>
      <c r="B1332">
        <v>2.5060100000000001E-6</v>
      </c>
    </row>
    <row r="1333" spans="1:2" x14ac:dyDescent="0.25">
      <c r="A1333" s="1">
        <v>45778</v>
      </c>
      <c r="B1333">
        <v>1.57353E-6</v>
      </c>
    </row>
    <row r="1334" spans="1:2" x14ac:dyDescent="0.25">
      <c r="A1334" s="1">
        <v>45779</v>
      </c>
      <c r="B1334">
        <v>1.4788200000000001E-6</v>
      </c>
    </row>
    <row r="1335" spans="1:2" x14ac:dyDescent="0.25">
      <c r="A1335" s="1">
        <v>45782</v>
      </c>
      <c r="B1335">
        <v>1.2469000000000001E-6</v>
      </c>
    </row>
    <row r="1336" spans="1:2" x14ac:dyDescent="0.25">
      <c r="A1336" s="1">
        <v>45783</v>
      </c>
      <c r="B1336">
        <v>1.29858E-6</v>
      </c>
    </row>
    <row r="1337" spans="1:2" x14ac:dyDescent="0.25">
      <c r="A1337" s="1">
        <v>45784</v>
      </c>
      <c r="B1337">
        <v>1.54859E-6</v>
      </c>
    </row>
    <row r="1338" spans="1:2" x14ac:dyDescent="0.25">
      <c r="A1338" s="1">
        <v>45785</v>
      </c>
      <c r="B1338">
        <v>1.3976800000000001E-6</v>
      </c>
    </row>
    <row r="1339" spans="1:2" x14ac:dyDescent="0.25">
      <c r="A1339" s="1">
        <v>45786</v>
      </c>
      <c r="B1339">
        <v>1.4227199999999999E-6</v>
      </c>
    </row>
    <row r="1340" spans="1:2" x14ac:dyDescent="0.25">
      <c r="A1340" s="1">
        <v>45789</v>
      </c>
      <c r="B1340">
        <v>1.47505E-6</v>
      </c>
    </row>
    <row r="1341" spans="1:2" x14ac:dyDescent="0.25">
      <c r="A1341" s="1">
        <v>45790</v>
      </c>
      <c r="B1341">
        <v>1.44214E-6</v>
      </c>
    </row>
    <row r="1342" spans="1:2" x14ac:dyDescent="0.25">
      <c r="A1342" s="1">
        <v>45791</v>
      </c>
      <c r="B1342">
        <v>1.6502399999999999E-6</v>
      </c>
    </row>
    <row r="1343" spans="1:2" x14ac:dyDescent="0.25">
      <c r="A1343" s="1">
        <v>45792</v>
      </c>
      <c r="B1343">
        <v>1.09436E-6</v>
      </c>
    </row>
    <row r="1344" spans="1:2" x14ac:dyDescent="0.25">
      <c r="A1344" s="1">
        <v>45793</v>
      </c>
      <c r="B1344">
        <v>1.36799E-6</v>
      </c>
    </row>
    <row r="1345" spans="1:2" x14ac:dyDescent="0.25">
      <c r="A1345" s="1">
        <v>45796</v>
      </c>
      <c r="B1345">
        <v>1.80417E-6</v>
      </c>
    </row>
    <row r="1346" spans="1:2" x14ac:dyDescent="0.25">
      <c r="A1346" s="1">
        <v>45797</v>
      </c>
      <c r="B1346">
        <v>1.3603299999999999E-6</v>
      </c>
    </row>
    <row r="1347" spans="1:2" x14ac:dyDescent="0.25">
      <c r="A1347" s="1">
        <v>45798</v>
      </c>
      <c r="B1347">
        <v>1.6280199999999998E-6</v>
      </c>
    </row>
    <row r="1348" spans="1:2" x14ac:dyDescent="0.25">
      <c r="A1348" s="1">
        <v>45799</v>
      </c>
      <c r="B1348">
        <v>1.7301800000000001E-6</v>
      </c>
    </row>
    <row r="1349" spans="1:2" x14ac:dyDescent="0.25">
      <c r="A1349" s="1">
        <v>45800</v>
      </c>
      <c r="B1349">
        <v>1.5484100000000001E-6</v>
      </c>
    </row>
    <row r="1350" spans="1:2" x14ac:dyDescent="0.25">
      <c r="A1350" s="1">
        <v>45804</v>
      </c>
      <c r="B1350">
        <v>1.3806599999999999E-6</v>
      </c>
    </row>
    <row r="1351" spans="1:2" x14ac:dyDescent="0.25">
      <c r="A1351" s="1">
        <v>45805</v>
      </c>
      <c r="B1351">
        <v>1.7364099999999999E-6</v>
      </c>
    </row>
    <row r="1352" spans="1:2" x14ac:dyDescent="0.25">
      <c r="A1352" s="1">
        <v>45806</v>
      </c>
      <c r="B1352">
        <v>1.6565999999999999E-6</v>
      </c>
    </row>
    <row r="1353" spans="1:2" x14ac:dyDescent="0.25">
      <c r="A1353" s="1">
        <v>45807</v>
      </c>
      <c r="B1353">
        <v>3.15657E-6</v>
      </c>
    </row>
    <row r="1354" spans="1:2" x14ac:dyDescent="0.25">
      <c r="A1354" s="1">
        <v>45810</v>
      </c>
      <c r="B1354">
        <v>1.3584100000000001E-6</v>
      </c>
    </row>
    <row r="1355" spans="1:2" x14ac:dyDescent="0.25">
      <c r="A1355" s="1">
        <v>45811</v>
      </c>
      <c r="B1355">
        <v>1.5317699999999999E-6</v>
      </c>
    </row>
    <row r="1356" spans="1:2" x14ac:dyDescent="0.25">
      <c r="A1356" s="1">
        <v>45812</v>
      </c>
      <c r="B1356">
        <v>1.68882E-6</v>
      </c>
    </row>
    <row r="1357" spans="1:2" x14ac:dyDescent="0.25">
      <c r="A1357" s="1">
        <v>45813</v>
      </c>
      <c r="B1357">
        <v>1.52727E-6</v>
      </c>
    </row>
    <row r="1358" spans="1:2" x14ac:dyDescent="0.25">
      <c r="A1358" s="1">
        <v>45814</v>
      </c>
      <c r="B1358">
        <v>1.49284E-6</v>
      </c>
    </row>
    <row r="1359" spans="1:2" x14ac:dyDescent="0.25">
      <c r="A1359" s="1">
        <v>45817</v>
      </c>
      <c r="B1359">
        <v>1.7931499999999999E-6</v>
      </c>
    </row>
    <row r="1360" spans="1:2" x14ac:dyDescent="0.25">
      <c r="A1360" s="1">
        <v>45818</v>
      </c>
      <c r="B1360">
        <v>1.82725E-6</v>
      </c>
    </row>
    <row r="1361" spans="1:2" x14ac:dyDescent="0.25">
      <c r="A1361" s="1">
        <v>45819</v>
      </c>
      <c r="B1361">
        <v>2.0462500000000001E-6</v>
      </c>
    </row>
    <row r="1362" spans="1:2" x14ac:dyDescent="0.25">
      <c r="A1362" s="1">
        <v>45820</v>
      </c>
      <c r="B1362">
        <v>1.8141699999999999E-6</v>
      </c>
    </row>
    <row r="1363" spans="1:2" x14ac:dyDescent="0.25">
      <c r="A1363" s="1">
        <v>45821</v>
      </c>
      <c r="B1363">
        <v>1.6864500000000002E-6</v>
      </c>
    </row>
    <row r="1364" spans="1:2" x14ac:dyDescent="0.25">
      <c r="A1364" s="1">
        <v>45824</v>
      </c>
      <c r="B1364">
        <v>1.4075899999999998E-6</v>
      </c>
    </row>
    <row r="1365" spans="1:2" x14ac:dyDescent="0.25">
      <c r="A1365" s="1">
        <v>45825</v>
      </c>
      <c r="B1365">
        <v>1.68939E-6</v>
      </c>
    </row>
    <row r="1366" spans="1:2" x14ac:dyDescent="0.25">
      <c r="A1366" s="1">
        <v>45826</v>
      </c>
      <c r="B1366">
        <v>2.0505000000000001E-6</v>
      </c>
    </row>
    <row r="1367" spans="1:2" x14ac:dyDescent="0.25">
      <c r="A1367" s="1">
        <v>45828</v>
      </c>
      <c r="B1367">
        <v>1.3828299999999999E-6</v>
      </c>
    </row>
    <row r="1368" spans="1:2" x14ac:dyDescent="0.25">
      <c r="A1368" s="1">
        <v>45831</v>
      </c>
      <c r="B1368">
        <v>1.6531899999999998E-6</v>
      </c>
    </row>
    <row r="1369" spans="1:2" x14ac:dyDescent="0.25">
      <c r="A1369" s="1">
        <v>45832</v>
      </c>
      <c r="B1369">
        <v>1.87367E-6</v>
      </c>
    </row>
    <row r="1370" spans="1:2" x14ac:dyDescent="0.25">
      <c r="A1370" s="1">
        <v>45833</v>
      </c>
      <c r="B1370">
        <v>2.1087899999999998E-6</v>
      </c>
    </row>
    <row r="1371" spans="1:2" x14ac:dyDescent="0.25">
      <c r="A1371" s="1">
        <v>45834</v>
      </c>
      <c r="B1371">
        <v>2.5243199999999998E-6</v>
      </c>
    </row>
    <row r="1372" spans="1:2" x14ac:dyDescent="0.25">
      <c r="A1372" s="1">
        <v>45835</v>
      </c>
      <c r="B1372">
        <v>2.8574200000000001E-6</v>
      </c>
    </row>
    <row r="1373" spans="1:2" x14ac:dyDescent="0.25">
      <c r="A1373" s="1">
        <v>45838</v>
      </c>
      <c r="B1373">
        <v>4.6073099999999998E-6</v>
      </c>
    </row>
    <row r="1374" spans="1:2" x14ac:dyDescent="0.25">
      <c r="A1374" s="1">
        <v>45839</v>
      </c>
      <c r="B1374">
        <v>2.4553E-6</v>
      </c>
    </row>
    <row r="1375" spans="1:2" x14ac:dyDescent="0.25">
      <c r="A1375" s="1">
        <v>45840</v>
      </c>
      <c r="B1375">
        <v>2.3730699999999998E-6</v>
      </c>
    </row>
    <row r="1376" spans="1:2" x14ac:dyDescent="0.25">
      <c r="A1376" s="1">
        <v>45841</v>
      </c>
      <c r="B1376">
        <v>2.14665E-6</v>
      </c>
    </row>
    <row r="1377" spans="1:2" x14ac:dyDescent="0.25">
      <c r="A1377" s="1">
        <v>45845</v>
      </c>
      <c r="B1377">
        <v>2.1803000000000001E-6</v>
      </c>
    </row>
    <row r="1378" spans="1:2" x14ac:dyDescent="0.25">
      <c r="A1378" s="1">
        <v>45846</v>
      </c>
      <c r="B1378">
        <v>2.19415E-6</v>
      </c>
    </row>
    <row r="1379" spans="1:2" x14ac:dyDescent="0.25">
      <c r="A1379" s="1">
        <v>45847</v>
      </c>
      <c r="B1379">
        <v>2.2727299999999998E-6</v>
      </c>
    </row>
    <row r="1380" spans="1:2" x14ac:dyDescent="0.25">
      <c r="A1380" s="1">
        <v>45848</v>
      </c>
      <c r="B1380">
        <v>1.83339E-6</v>
      </c>
    </row>
    <row r="1381" spans="1:2" x14ac:dyDescent="0.25">
      <c r="A1381" s="1">
        <v>45849</v>
      </c>
      <c r="B1381">
        <v>1.8163699999999999E-6</v>
      </c>
    </row>
    <row r="1382" spans="1:2" x14ac:dyDescent="0.25">
      <c r="A1382" s="1">
        <v>45852</v>
      </c>
      <c r="B1382">
        <v>2.17841E-6</v>
      </c>
    </row>
    <row r="1383" spans="1:2" x14ac:dyDescent="0.25">
      <c r="A1383" s="1">
        <v>45853</v>
      </c>
      <c r="B1383">
        <v>1.9827699999999999E-6</v>
      </c>
    </row>
    <row r="1384" spans="1:2" x14ac:dyDescent="0.25">
      <c r="A1384" s="1">
        <v>45854</v>
      </c>
      <c r="B1384">
        <v>1.9708600000000002E-6</v>
      </c>
    </row>
    <row r="1385" spans="1:2" x14ac:dyDescent="0.25">
      <c r="A1385" s="1">
        <v>45855</v>
      </c>
      <c r="B1385">
        <v>1.9365999999999998E-6</v>
      </c>
    </row>
    <row r="1386" spans="1:2" x14ac:dyDescent="0.25">
      <c r="A1386" s="1">
        <v>45856</v>
      </c>
      <c r="B1386">
        <v>1.9929800000000001E-6</v>
      </c>
    </row>
    <row r="1387" spans="1:2" x14ac:dyDescent="0.25">
      <c r="A1387" s="1">
        <v>45859</v>
      </c>
      <c r="B1387">
        <v>2.13666E-6</v>
      </c>
    </row>
    <row r="1388" spans="1:2" x14ac:dyDescent="0.25">
      <c r="A1388" s="1">
        <v>45860</v>
      </c>
      <c r="B1388">
        <v>1.9637399999999998E-6</v>
      </c>
    </row>
    <row r="1389" spans="1:2" x14ac:dyDescent="0.25">
      <c r="A1389" s="1">
        <v>45861</v>
      </c>
      <c r="B1389">
        <v>1.8963200000000001E-6</v>
      </c>
    </row>
    <row r="1390" spans="1:2" x14ac:dyDescent="0.25">
      <c r="A1390" s="1">
        <v>45862</v>
      </c>
      <c r="B1390">
        <v>1.3218600000000002E-6</v>
      </c>
    </row>
    <row r="1391" spans="1:2" x14ac:dyDescent="0.25">
      <c r="A1391" s="1">
        <v>45863</v>
      </c>
      <c r="B1391">
        <v>1.5050899999999999E-6</v>
      </c>
    </row>
    <row r="1392" spans="1:2" x14ac:dyDescent="0.25">
      <c r="A1392" s="1">
        <v>45866</v>
      </c>
      <c r="B1392">
        <v>1.7046299999999999E-6</v>
      </c>
    </row>
    <row r="1393" spans="1:2" x14ac:dyDescent="0.25">
      <c r="A1393" s="1">
        <v>45867</v>
      </c>
      <c r="B1393">
        <v>1.71018E-6</v>
      </c>
    </row>
    <row r="1394" spans="1:2" x14ac:dyDescent="0.25">
      <c r="A1394" s="1">
        <v>45868</v>
      </c>
      <c r="B1394">
        <v>1.55481E-6</v>
      </c>
    </row>
    <row r="1395" spans="1:2" x14ac:dyDescent="0.25">
      <c r="A1395" s="1">
        <v>45869</v>
      </c>
      <c r="B1395">
        <v>2.1444499999999999E-6</v>
      </c>
    </row>
    <row r="1396" spans="1:2" x14ac:dyDescent="0.25">
      <c r="A1396" s="1">
        <v>45870</v>
      </c>
      <c r="B1396">
        <v>9.742600000000001E-7</v>
      </c>
    </row>
    <row r="1397" spans="1:2" x14ac:dyDescent="0.25">
      <c r="A1397" s="1">
        <v>45873</v>
      </c>
      <c r="B1397">
        <v>1.2573E-6</v>
      </c>
    </row>
    <row r="1398" spans="1:2" x14ac:dyDescent="0.25">
      <c r="A1398" s="1">
        <v>45874</v>
      </c>
      <c r="B1398">
        <v>8.4355999999999991E-7</v>
      </c>
    </row>
    <row r="1399" spans="1:2" x14ac:dyDescent="0.25">
      <c r="A1399" s="1">
        <v>45875</v>
      </c>
      <c r="B1399">
        <v>9.1965999999999991E-7</v>
      </c>
    </row>
    <row r="1400" spans="1:2" x14ac:dyDescent="0.25">
      <c r="A1400" s="1">
        <v>45876</v>
      </c>
      <c r="B1400">
        <v>7.7960999999999998E-7</v>
      </c>
    </row>
    <row r="1401" spans="1:2" x14ac:dyDescent="0.25">
      <c r="A1401" s="1">
        <v>45877</v>
      </c>
      <c r="B1401">
        <v>8.0302999999999996E-7</v>
      </c>
    </row>
    <row r="1402" spans="1:2" x14ac:dyDescent="0.25">
      <c r="A1402" s="1">
        <v>45880</v>
      </c>
      <c r="B1402">
        <v>8.2213999999999998E-7</v>
      </c>
    </row>
    <row r="1403" spans="1:2" x14ac:dyDescent="0.25">
      <c r="A1403" s="1">
        <v>45881</v>
      </c>
      <c r="B1403">
        <v>5.7492000000000002E-7</v>
      </c>
    </row>
    <row r="1404" spans="1:2" x14ac:dyDescent="0.25">
      <c r="A1404" s="1">
        <v>45882</v>
      </c>
      <c r="B1404">
        <v>5.7202000000000001E-7</v>
      </c>
    </row>
    <row r="1405" spans="1:2" x14ac:dyDescent="0.25">
      <c r="A1405" s="1">
        <v>45883</v>
      </c>
      <c r="B1405">
        <v>2.8818000000000003E-7</v>
      </c>
    </row>
    <row r="1406" spans="1:2" x14ac:dyDescent="0.25">
      <c r="A1406" s="1">
        <v>45884</v>
      </c>
      <c r="B1406">
        <v>3.3756999999999997E-7</v>
      </c>
    </row>
    <row r="1407" spans="1:2" x14ac:dyDescent="0.25">
      <c r="A1407" s="1">
        <v>45887</v>
      </c>
      <c r="B1407">
        <v>3.8240000000000004E-7</v>
      </c>
    </row>
    <row r="1408" spans="1:2" x14ac:dyDescent="0.25">
      <c r="A1408" s="1">
        <v>45888</v>
      </c>
      <c r="B1408">
        <v>2.2344000000000002E-7</v>
      </c>
    </row>
    <row r="1409" spans="1:2" x14ac:dyDescent="0.25">
      <c r="A1409" s="1">
        <v>45889</v>
      </c>
      <c r="B1409">
        <v>3.4999000000000003E-7</v>
      </c>
    </row>
    <row r="1410" spans="1:2" x14ac:dyDescent="0.25">
      <c r="A1410" s="1">
        <v>45890</v>
      </c>
      <c r="B1410">
        <v>2.5358000000000002E-7</v>
      </c>
    </row>
    <row r="1411" spans="1:2" x14ac:dyDescent="0.25">
      <c r="A1411" s="1">
        <v>45891</v>
      </c>
      <c r="B1411">
        <v>3.6274999999999999E-7</v>
      </c>
    </row>
    <row r="1412" spans="1:2" x14ac:dyDescent="0.25">
      <c r="A1412" s="1">
        <v>45894</v>
      </c>
      <c r="B1412">
        <v>4.7567000000000002E-7</v>
      </c>
    </row>
    <row r="1413" spans="1:2" x14ac:dyDescent="0.25">
      <c r="A1413" s="1">
        <v>45895</v>
      </c>
      <c r="B1413">
        <v>2.8574000000000002E-7</v>
      </c>
    </row>
    <row r="1414" spans="1:2" x14ac:dyDescent="0.25">
      <c r="A1414" s="1">
        <v>45896</v>
      </c>
      <c r="B1414">
        <v>3.4743999999999999E-7</v>
      </c>
    </row>
    <row r="1415" spans="1:2" x14ac:dyDescent="0.25">
      <c r="A1415" s="1">
        <v>45897</v>
      </c>
      <c r="B1415">
        <v>3.1965999999999999E-7</v>
      </c>
    </row>
    <row r="1416" spans="1:2" x14ac:dyDescent="0.25">
      <c r="A1416" s="1">
        <v>45898</v>
      </c>
      <c r="B1416">
        <v>7.7897999999999995E-7</v>
      </c>
    </row>
    <row r="1417" spans="1:2" x14ac:dyDescent="0.25">
      <c r="A1417" s="1">
        <v>45902</v>
      </c>
      <c r="B1417">
        <v>2.1065999999999998E-7</v>
      </c>
    </row>
    <row r="1418" spans="1:2" x14ac:dyDescent="0.25">
      <c r="A1418" s="1">
        <v>45903</v>
      </c>
      <c r="B1418">
        <v>1.7922999999999997E-7</v>
      </c>
    </row>
    <row r="1419" spans="1:2" x14ac:dyDescent="0.25">
      <c r="A1419" s="1">
        <v>45904</v>
      </c>
      <c r="B1419">
        <v>2.0128000000000001E-7</v>
      </c>
    </row>
    <row r="1420" spans="1:2" x14ac:dyDescent="0.25">
      <c r="A1420" s="1">
        <v>45905</v>
      </c>
      <c r="B1420">
        <v>2.0996999999999999E-7</v>
      </c>
    </row>
    <row r="1421" spans="1:2" x14ac:dyDescent="0.25">
      <c r="A1421" s="1">
        <v>45908</v>
      </c>
      <c r="B1421">
        <v>1.9416000000000001E-7</v>
      </c>
    </row>
    <row r="1422" spans="1:2" x14ac:dyDescent="0.25">
      <c r="A1422" s="1">
        <v>45909</v>
      </c>
      <c r="B1422">
        <v>2.2914999999999998E-7</v>
      </c>
    </row>
    <row r="1423" spans="1:2" x14ac:dyDescent="0.25">
      <c r="A1423" s="1">
        <v>45910</v>
      </c>
      <c r="B1423">
        <v>2.9400000000000001E-7</v>
      </c>
    </row>
    <row r="1424" spans="1:2" x14ac:dyDescent="0.25">
      <c r="A1424" s="1">
        <v>45911</v>
      </c>
      <c r="B1424">
        <v>2.6897000000000001E-7</v>
      </c>
    </row>
    <row r="1425" spans="1:2" x14ac:dyDescent="0.25">
      <c r="A1425" s="1">
        <v>45912</v>
      </c>
      <c r="B1425">
        <v>1.7331000000000001E-7</v>
      </c>
    </row>
    <row r="1426" spans="1:2" x14ac:dyDescent="0.25">
      <c r="A1426" s="1">
        <v>45915</v>
      </c>
      <c r="B1426">
        <v>1.6953999999999999E-7</v>
      </c>
    </row>
    <row r="1427" spans="1:2" x14ac:dyDescent="0.25">
      <c r="A1427" s="1">
        <v>45916</v>
      </c>
      <c r="B1427">
        <v>1.8817E-7</v>
      </c>
    </row>
    <row r="1428" spans="1:2" x14ac:dyDescent="0.25">
      <c r="A1428" s="1">
        <v>45917</v>
      </c>
      <c r="B1428">
        <v>1.3962999999999999E-7</v>
      </c>
    </row>
    <row r="1429" spans="1:2" x14ac:dyDescent="0.25">
      <c r="A1429" s="1">
        <v>45918</v>
      </c>
      <c r="B1429">
        <v>1.3707E-7</v>
      </c>
    </row>
    <row r="1430" spans="1:2" x14ac:dyDescent="0.25">
      <c r="A1430" s="1">
        <v>45919</v>
      </c>
      <c r="B1430">
        <v>1.1362999999999999E-7</v>
      </c>
    </row>
    <row r="1431" spans="1:2" x14ac:dyDescent="0.25">
      <c r="A1431" s="1">
        <v>45922</v>
      </c>
      <c r="B1431">
        <v>1.4173000000000001E-7</v>
      </c>
    </row>
    <row r="1432" spans="1:2" x14ac:dyDescent="0.25">
      <c r="A1432" s="1">
        <v>45923</v>
      </c>
      <c r="B1432">
        <v>1.4401999999999999E-7</v>
      </c>
    </row>
    <row r="1433" spans="1:2" x14ac:dyDescent="0.25">
      <c r="A1433" s="1">
        <v>45924</v>
      </c>
      <c r="B1433">
        <v>2.9172000000000002E-7</v>
      </c>
    </row>
    <row r="1434" spans="1:2" x14ac:dyDescent="0.25">
      <c r="A1434" s="1">
        <v>45925</v>
      </c>
      <c r="B1434">
        <v>2.5368999999999999E-7</v>
      </c>
    </row>
    <row r="1435" spans="1:2" x14ac:dyDescent="0.25">
      <c r="A1435" s="1">
        <v>45926</v>
      </c>
      <c r="B1435">
        <v>4.8072999999999999E-7</v>
      </c>
    </row>
    <row r="1436" spans="1:2" x14ac:dyDescent="0.25">
      <c r="A1436" s="1">
        <v>45929</v>
      </c>
      <c r="B1436">
        <v>5.6219999999999999E-7</v>
      </c>
    </row>
    <row r="1437" spans="1:2" x14ac:dyDescent="0.25">
      <c r="A1437" s="1">
        <v>45930</v>
      </c>
      <c r="B1437">
        <v>4.9070999999999998E-7</v>
      </c>
    </row>
    <row r="1438" spans="1:2" x14ac:dyDescent="0.25">
      <c r="A1438" s="1">
        <v>45931</v>
      </c>
      <c r="B1438">
        <v>1.0179E-7</v>
      </c>
    </row>
    <row r="1439" spans="1:2" x14ac:dyDescent="0.25">
      <c r="A1439" s="1">
        <v>45932</v>
      </c>
      <c r="B1439">
        <v>8.4359999999999996E-8</v>
      </c>
    </row>
    <row r="1440" spans="1:2" x14ac:dyDescent="0.25">
      <c r="A1440" s="1">
        <v>45933</v>
      </c>
      <c r="B1440">
        <v>2.5391999999999999E-7</v>
      </c>
    </row>
    <row r="1441" spans="1:2" x14ac:dyDescent="0.25">
      <c r="A1441" s="1">
        <v>45936</v>
      </c>
      <c r="B1441">
        <v>2.1775999999999999E-7</v>
      </c>
    </row>
    <row r="1442" spans="1:2" x14ac:dyDescent="0.25">
      <c r="A1442" s="1">
        <v>45937</v>
      </c>
      <c r="B1442">
        <v>4.622E-8</v>
      </c>
    </row>
    <row r="1443" spans="1:2" x14ac:dyDescent="0.25">
      <c r="A1443" s="1">
        <v>45938</v>
      </c>
      <c r="B1443">
        <v>5.2309999999999997E-8</v>
      </c>
    </row>
    <row r="1444" spans="1:2" x14ac:dyDescent="0.25">
      <c r="A1444" s="1">
        <v>45939</v>
      </c>
      <c r="B1444">
        <v>4.4960000000000007E-8</v>
      </c>
    </row>
    <row r="1445" spans="1:2" x14ac:dyDescent="0.25">
      <c r="A1445" s="1">
        <v>45940</v>
      </c>
      <c r="B1445">
        <v>4.1239999999999997E-8</v>
      </c>
    </row>
    <row r="1446" spans="1:2" x14ac:dyDescent="0.25">
      <c r="A1446" s="1">
        <v>45944</v>
      </c>
      <c r="B1446">
        <v>3.5159999999999999E-8</v>
      </c>
    </row>
    <row r="1447" spans="1:2" x14ac:dyDescent="0.25">
      <c r="A1447" s="1">
        <v>45945</v>
      </c>
      <c r="B1447">
        <v>5.484E-8</v>
      </c>
    </row>
    <row r="1448" spans="1:2" x14ac:dyDescent="0.25">
      <c r="A1448" s="1">
        <v>45946</v>
      </c>
      <c r="B1448">
        <v>6.9600000000000001E-8</v>
      </c>
    </row>
    <row r="1449" spans="1:2" x14ac:dyDescent="0.25">
      <c r="A1449" s="1">
        <v>45947</v>
      </c>
      <c r="B1449">
        <v>4.1020000000000006E-8</v>
      </c>
    </row>
    <row r="1450" spans="1:2" x14ac:dyDescent="0.25">
      <c r="A1450" s="1">
        <v>45950</v>
      </c>
      <c r="B1450">
        <v>5.931E-8</v>
      </c>
    </row>
    <row r="1451" spans="1:2" x14ac:dyDescent="0.25">
      <c r="A1451" s="1">
        <v>45951</v>
      </c>
      <c r="B1451">
        <v>4.6989999999999999E-8</v>
      </c>
    </row>
    <row r="1452" spans="1:2" x14ac:dyDescent="0.25">
      <c r="A1452" s="1">
        <v>45952</v>
      </c>
      <c r="B1452">
        <v>4.0049999999999998E-8</v>
      </c>
    </row>
    <row r="1453" spans="1:2" x14ac:dyDescent="0.25">
      <c r="A1453" s="1">
        <v>45953</v>
      </c>
      <c r="B1453">
        <v>6.9409999999999998E-8</v>
      </c>
    </row>
    <row r="1454" spans="1:2" x14ac:dyDescent="0.25">
      <c r="A1454" s="1">
        <v>45954</v>
      </c>
      <c r="B1454">
        <v>2.435E-8</v>
      </c>
    </row>
    <row r="1455" spans="1:2" x14ac:dyDescent="0.25">
      <c r="A1455" s="1">
        <v>45957</v>
      </c>
      <c r="B1455">
        <v>1.0642E-7</v>
      </c>
    </row>
    <row r="1456" spans="1:2" x14ac:dyDescent="0.25">
      <c r="A1456" s="1">
        <v>45958</v>
      </c>
      <c r="B1456">
        <v>1.4096000000000001E-7</v>
      </c>
    </row>
    <row r="1457" spans="1:2" x14ac:dyDescent="0.25">
      <c r="A1457" s="1">
        <v>45959</v>
      </c>
      <c r="B1457">
        <v>1.9504E-7</v>
      </c>
    </row>
    <row r="1458" spans="1:2" x14ac:dyDescent="0.25">
      <c r="A1458" s="1">
        <v>45960</v>
      </c>
      <c r="B1458">
        <v>1.9166000000000001E-7</v>
      </c>
    </row>
    <row r="1459" spans="1:2" x14ac:dyDescent="0.25">
      <c r="A1459" s="1">
        <v>45961</v>
      </c>
      <c r="B1459">
        <v>5.1801999999999998E-7</v>
      </c>
    </row>
    <row r="1460" spans="1:2" x14ac:dyDescent="0.25">
      <c r="A1460" s="1">
        <v>45964</v>
      </c>
      <c r="B1460">
        <v>2.3792000000000003E-7</v>
      </c>
    </row>
    <row r="1461" spans="1:2" x14ac:dyDescent="0.25">
      <c r="A1461" s="1">
        <v>45965</v>
      </c>
      <c r="B1461">
        <v>1.6983000000000001E-7</v>
      </c>
    </row>
    <row r="1462" spans="1:2" x14ac:dyDescent="0.25">
      <c r="A1462" s="1">
        <v>45966</v>
      </c>
      <c r="B1462">
        <v>1.2814000000000001E-7</v>
      </c>
    </row>
    <row r="1463" spans="1:2" x14ac:dyDescent="0.25">
      <c r="A1463" s="1">
        <v>45967</v>
      </c>
      <c r="B1463">
        <v>1.0754E-7</v>
      </c>
    </row>
    <row r="1464" spans="1:2" x14ac:dyDescent="0.25">
      <c r="A1464" s="1">
        <v>45968</v>
      </c>
      <c r="B1464">
        <v>4.9029999999999996E-8</v>
      </c>
    </row>
    <row r="1465" spans="1:2" x14ac:dyDescent="0.25">
      <c r="A1465" s="1">
        <v>45971</v>
      </c>
      <c r="B1465">
        <v>7.1520000000000008E-8</v>
      </c>
    </row>
    <row r="1466" spans="1:2" x14ac:dyDescent="0.25">
      <c r="A1466" s="1">
        <v>45973</v>
      </c>
      <c r="B1466">
        <v>5.8859999999999999E-8</v>
      </c>
    </row>
    <row r="1467" spans="1:2" x14ac:dyDescent="0.25">
      <c r="A1467" s="1">
        <v>45974</v>
      </c>
      <c r="B1467">
        <v>3.7610000000000004E-8</v>
      </c>
    </row>
    <row r="1468" spans="1:2" x14ac:dyDescent="0.25">
      <c r="A1468" s="1">
        <v>45975</v>
      </c>
      <c r="B1468">
        <v>1.5589999999999999E-8</v>
      </c>
    </row>
    <row r="1469" spans="1:2" x14ac:dyDescent="0.25">
      <c r="A1469" s="1">
        <v>45978</v>
      </c>
      <c r="B1469">
        <v>3.1720000000000002E-8</v>
      </c>
    </row>
    <row r="1470" spans="1:2" x14ac:dyDescent="0.25">
      <c r="A1470" s="1">
        <v>45979</v>
      </c>
      <c r="B1470">
        <v>9.05E-9</v>
      </c>
    </row>
    <row r="1471" spans="1:2" x14ac:dyDescent="0.25">
      <c r="A1471" s="1">
        <v>45980</v>
      </c>
      <c r="B1471">
        <v>1.1290000000000001E-8</v>
      </c>
    </row>
    <row r="1472" spans="1:2" x14ac:dyDescent="0.25">
      <c r="A1472" s="1">
        <v>45981</v>
      </c>
      <c r="B1472">
        <v>6.5200000000000001E-8</v>
      </c>
    </row>
    <row r="1473" spans="1:2" x14ac:dyDescent="0.25">
      <c r="A1473" s="1">
        <v>45982</v>
      </c>
      <c r="B1473">
        <v>2.503E-8</v>
      </c>
    </row>
    <row r="1474" spans="1:2" x14ac:dyDescent="0.25">
      <c r="A1474" s="1">
        <v>45985</v>
      </c>
      <c r="B1474">
        <v>1.077E-8</v>
      </c>
    </row>
    <row r="1475" spans="1:2" x14ac:dyDescent="0.25">
      <c r="A1475" s="1">
        <v>45986</v>
      </c>
      <c r="B1475">
        <v>2.3140000000000001E-8</v>
      </c>
    </row>
    <row r="1476" spans="1:2" x14ac:dyDescent="0.25">
      <c r="A1476" s="1">
        <v>45987</v>
      </c>
      <c r="B1476">
        <v>2.2169999999999999E-8</v>
      </c>
    </row>
    <row r="1477" spans="1:2" x14ac:dyDescent="0.25">
      <c r="A1477" s="1">
        <v>45989</v>
      </c>
      <c r="B1477">
        <v>7.561E-8</v>
      </c>
    </row>
    <row r="1478" spans="1:2" x14ac:dyDescent="0.25">
      <c r="A1478" s="1">
        <v>45992</v>
      </c>
      <c r="B1478">
        <v>3.2399999999999999E-8</v>
      </c>
    </row>
    <row r="1479" spans="1:2" x14ac:dyDescent="0.25">
      <c r="A1479" s="1">
        <v>45993</v>
      </c>
      <c r="B1479">
        <v>5.62E-8</v>
      </c>
    </row>
    <row r="1480" spans="1:2" x14ac:dyDescent="0.25">
      <c r="A1480" s="1">
        <v>45994</v>
      </c>
      <c r="B1480">
        <v>2.5139999999999999E-8</v>
      </c>
    </row>
    <row r="1481" spans="1:2" x14ac:dyDescent="0.25">
      <c r="A1481" s="1">
        <v>45995</v>
      </c>
      <c r="B1481">
        <v>2.2330000000000002E-8</v>
      </c>
    </row>
    <row r="1482" spans="1:2" x14ac:dyDescent="0.25">
      <c r="A1482" s="1">
        <v>45996</v>
      </c>
      <c r="B1482">
        <v>1.4850000000000001E-8</v>
      </c>
    </row>
    <row r="1483" spans="1:2" x14ac:dyDescent="0.25">
      <c r="A1483" s="1">
        <v>45999</v>
      </c>
      <c r="B1483">
        <v>1.7030000000000001E-8</v>
      </c>
    </row>
    <row r="1484" spans="1:2" x14ac:dyDescent="0.25">
      <c r="A1484" s="1">
        <v>46000</v>
      </c>
      <c r="B1484">
        <v>3.2110000000000001E-8</v>
      </c>
    </row>
    <row r="1485" spans="1:2" x14ac:dyDescent="0.25">
      <c r="A1485" s="1">
        <v>46001</v>
      </c>
      <c r="B1485">
        <v>5.0449999999999998E-8</v>
      </c>
    </row>
    <row r="1486" spans="1:2" x14ac:dyDescent="0.25">
      <c r="A1486" s="1">
        <v>46002</v>
      </c>
      <c r="B1486">
        <v>2.8740000000000001E-8</v>
      </c>
    </row>
    <row r="1487" spans="1:2" x14ac:dyDescent="0.25">
      <c r="A1487" s="1">
        <v>46003</v>
      </c>
      <c r="B1487">
        <v>8.3799999999999996E-9</v>
      </c>
    </row>
    <row r="1488" spans="1:2" x14ac:dyDescent="0.25">
      <c r="A1488" s="1">
        <v>46006</v>
      </c>
      <c r="B1488">
        <v>2.6009999999999999E-8</v>
      </c>
    </row>
    <row r="1489" spans="1:2" x14ac:dyDescent="0.25">
      <c r="A1489" s="1">
        <v>46007</v>
      </c>
      <c r="B1489">
        <v>1.5539999999999999E-8</v>
      </c>
    </row>
    <row r="1490" spans="1:2" x14ac:dyDescent="0.25">
      <c r="A1490" s="1">
        <v>46008</v>
      </c>
      <c r="B1490">
        <v>1.0361000000000001E-7</v>
      </c>
    </row>
    <row r="1491" spans="1:2" x14ac:dyDescent="0.25">
      <c r="A1491" s="1">
        <v>46009</v>
      </c>
      <c r="B1491">
        <v>1.1708E-7</v>
      </c>
    </row>
    <row r="1492" spans="1:2" x14ac:dyDescent="0.25">
      <c r="A1492" s="1">
        <v>46010</v>
      </c>
      <c r="B1492">
        <v>3.0470000000000001E-8</v>
      </c>
    </row>
    <row r="1493" spans="1:2" x14ac:dyDescent="0.25">
      <c r="A1493" s="1">
        <v>46013</v>
      </c>
      <c r="B1493">
        <v>1.5229999999999998E-8</v>
      </c>
    </row>
    <row r="1494" spans="1:2" x14ac:dyDescent="0.25">
      <c r="A1494" s="1">
        <v>46014</v>
      </c>
      <c r="B1494">
        <v>5.8929999999999999E-8</v>
      </c>
    </row>
    <row r="1495" spans="1:2" x14ac:dyDescent="0.25">
      <c r="A1495" s="1">
        <v>46015</v>
      </c>
      <c r="B1495">
        <v>4.8030000000000001E-8</v>
      </c>
    </row>
    <row r="1496" spans="1:2" x14ac:dyDescent="0.25">
      <c r="A1496" s="1">
        <v>46017</v>
      </c>
      <c r="B1496">
        <v>2.0339E-7</v>
      </c>
    </row>
    <row r="1497" spans="1:2" x14ac:dyDescent="0.25">
      <c r="A1497" s="1">
        <v>46020</v>
      </c>
      <c r="B1497">
        <v>1.0551E-7</v>
      </c>
    </row>
    <row r="1498" spans="1:2" x14ac:dyDescent="0.25">
      <c r="A1498" s="1">
        <v>46021</v>
      </c>
      <c r="B1498">
        <v>1.2604999999999999E-7</v>
      </c>
    </row>
    <row r="1499" spans="1:2" x14ac:dyDescent="0.25">
      <c r="A1499" s="1">
        <v>46022</v>
      </c>
      <c r="B1499">
        <v>1.05993E-6</v>
      </c>
    </row>
    <row r="1500" spans="1:2" x14ac:dyDescent="0.25">
      <c r="A1500" s="1">
        <v>46024</v>
      </c>
      <c r="B1500">
        <v>5.6669999999999997E-8</v>
      </c>
    </row>
    <row r="1501" spans="1:2" x14ac:dyDescent="0.25">
      <c r="A1501" s="1">
        <v>46027</v>
      </c>
      <c r="B1501">
        <v>6.4850000000000002E-8</v>
      </c>
    </row>
    <row r="1502" spans="1:2" x14ac:dyDescent="0.25">
      <c r="A1502" s="1">
        <v>46028</v>
      </c>
      <c r="B1502">
        <v>2.5819999999999999E-8</v>
      </c>
    </row>
    <row r="1503" spans="1:2" x14ac:dyDescent="0.25">
      <c r="A1503" s="1">
        <v>46029</v>
      </c>
      <c r="B1503">
        <v>4.5819999999999996E-8</v>
      </c>
    </row>
    <row r="1504" spans="1:2" x14ac:dyDescent="0.25">
      <c r="A1504" s="1">
        <v>46030</v>
      </c>
      <c r="B1504">
        <v>3.0829999999999999E-8</v>
      </c>
    </row>
    <row r="1505" spans="1:2" x14ac:dyDescent="0.25">
      <c r="A1505" s="1">
        <v>46031</v>
      </c>
      <c r="B1505">
        <v>3.2799999999999996E-8</v>
      </c>
    </row>
    <row r="1506" spans="1:2" x14ac:dyDescent="0.25">
      <c r="A1506" s="1">
        <v>46034</v>
      </c>
      <c r="B1506">
        <v>3.4020000000000003E-8</v>
      </c>
    </row>
    <row r="1507" spans="1:2" x14ac:dyDescent="0.25">
      <c r="A1507" s="1">
        <v>46035</v>
      </c>
      <c r="B1507">
        <v>3.2770000000000002E-8</v>
      </c>
    </row>
    <row r="1508" spans="1:2" x14ac:dyDescent="0.25">
      <c r="A1508" s="1">
        <v>46036</v>
      </c>
      <c r="B1508">
        <v>3.2229999999999998E-8</v>
      </c>
    </row>
    <row r="1509" spans="1:2" x14ac:dyDescent="0.25">
      <c r="A1509" s="1">
        <v>46037</v>
      </c>
      <c r="B1509">
        <v>2.0030000000000001E-8</v>
      </c>
    </row>
    <row r="1510" spans="1:2" x14ac:dyDescent="0.25">
      <c r="A1510" s="1">
        <v>46038</v>
      </c>
      <c r="B1510">
        <v>1.222E-8</v>
      </c>
    </row>
    <row r="1511" spans="1:2" x14ac:dyDescent="0.25">
      <c r="A1511" s="1">
        <v>46042</v>
      </c>
      <c r="B1511">
        <v>3.5059999999999998E-8</v>
      </c>
    </row>
    <row r="1512" spans="1:2" x14ac:dyDescent="0.25">
      <c r="A1512" s="1">
        <v>46043</v>
      </c>
      <c r="B1512">
        <v>3.344E-8</v>
      </c>
    </row>
    <row r="1513" spans="1:2" x14ac:dyDescent="0.25">
      <c r="A1513" s="1">
        <v>46044</v>
      </c>
      <c r="B1513">
        <v>2.058E-8</v>
      </c>
    </row>
    <row r="1514" spans="1:2" x14ac:dyDescent="0.25">
      <c r="A1514" s="1">
        <v>46045</v>
      </c>
      <c r="B1514">
        <v>9.2700000000000013E-9</v>
      </c>
    </row>
    <row r="1515" spans="1:2" x14ac:dyDescent="0.25">
      <c r="A1515" s="1">
        <v>46048</v>
      </c>
      <c r="B1515">
        <v>1.4890000000000001E-8</v>
      </c>
    </row>
    <row r="1516" spans="1:2" x14ac:dyDescent="0.25">
      <c r="A1516" s="1">
        <v>46049</v>
      </c>
      <c r="B1516">
        <v>1.2529999999999999E-8</v>
      </c>
    </row>
    <row r="1517" spans="1:2" x14ac:dyDescent="0.25">
      <c r="A1517" s="1">
        <v>46050</v>
      </c>
      <c r="B1517">
        <v>1.103E-8</v>
      </c>
    </row>
    <row r="1518" spans="1:2" x14ac:dyDescent="0.25">
      <c r="A1518" s="1">
        <v>46051</v>
      </c>
      <c r="B1518">
        <v>2.852E-8</v>
      </c>
    </row>
    <row r="1519" spans="1:2" x14ac:dyDescent="0.25">
      <c r="A1519" s="1">
        <v>46052</v>
      </c>
      <c r="B1519">
        <v>9.6289999999999997E-8</v>
      </c>
    </row>
    <row r="1520" spans="1:2" x14ac:dyDescent="0.25">
      <c r="A1520" s="1">
        <v>46055</v>
      </c>
      <c r="B1520">
        <v>1.0414999999999999E-7</v>
      </c>
    </row>
    <row r="1521" spans="1:2" x14ac:dyDescent="0.25">
      <c r="A1521" s="1">
        <v>46056</v>
      </c>
      <c r="B1521">
        <v>1.7849999999999998E-8</v>
      </c>
    </row>
    <row r="1522" spans="1:2" x14ac:dyDescent="0.25">
      <c r="A1522" s="1">
        <v>46057</v>
      </c>
      <c r="B1522">
        <v>2.4140000000000003E-8</v>
      </c>
    </row>
    <row r="1523" spans="1:2" x14ac:dyDescent="0.25">
      <c r="A1523" s="1">
        <v>46058</v>
      </c>
      <c r="B1523">
        <v>1.7479999999999998E-8</v>
      </c>
    </row>
    <row r="1524" spans="1:2" x14ac:dyDescent="0.25">
      <c r="A1524" s="1">
        <v>46059</v>
      </c>
      <c r="B1524">
        <v>3.1110000000000005E-8</v>
      </c>
    </row>
    <row r="1525" spans="1:2" x14ac:dyDescent="0.25">
      <c r="A1525" s="1">
        <v>46062</v>
      </c>
      <c r="B1525">
        <v>1.3060000000000001E-8</v>
      </c>
    </row>
    <row r="1526" spans="1:2" x14ac:dyDescent="0.25">
      <c r="A1526" s="1">
        <v>46063</v>
      </c>
      <c r="B1526">
        <v>1.447E-8</v>
      </c>
    </row>
    <row r="1527" spans="1:2" x14ac:dyDescent="0.25">
      <c r="A1527" s="1">
        <v>46064</v>
      </c>
      <c r="B1527">
        <v>1.048E-8</v>
      </c>
    </row>
    <row r="1528" spans="1:2" x14ac:dyDescent="0.25">
      <c r="A1528" s="1">
        <v>46065</v>
      </c>
      <c r="B1528">
        <v>2.8439999999999999E-8</v>
      </c>
    </row>
    <row r="1529" spans="1:2" x14ac:dyDescent="0.25">
      <c r="A1529" s="1">
        <v>46066</v>
      </c>
      <c r="B1529">
        <v>3.77E-9</v>
      </c>
    </row>
    <row r="1530" spans="1:2" x14ac:dyDescent="0.25">
      <c r="A1530" s="1">
        <v>46070</v>
      </c>
      <c r="B1530">
        <v>4.4100000000000003E-9</v>
      </c>
    </row>
    <row r="1531" spans="1:2" x14ac:dyDescent="0.25">
      <c r="A1531" s="1">
        <v>46071</v>
      </c>
      <c r="B1531">
        <v>8.5600000000000002E-9</v>
      </c>
    </row>
    <row r="1532" spans="1:2" x14ac:dyDescent="0.25">
      <c r="A1532" s="1">
        <v>46072</v>
      </c>
      <c r="B1532">
        <v>6.3199999999999997E-9</v>
      </c>
    </row>
    <row r="1533" spans="1:2" x14ac:dyDescent="0.25">
      <c r="A1533" s="1">
        <v>46073</v>
      </c>
      <c r="B1533">
        <v>4.9600000000000002E-9</v>
      </c>
    </row>
    <row r="1534" spans="1:2" x14ac:dyDescent="0.25">
      <c r="A1534" s="1">
        <v>46076</v>
      </c>
      <c r="B1534">
        <v>8.7700000000000001E-9</v>
      </c>
    </row>
    <row r="1535" spans="1:2" x14ac:dyDescent="0.25">
      <c r="A1535" s="1">
        <v>46077</v>
      </c>
      <c r="B1535">
        <v>9.1700000000000004E-9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6A1647-20BE-4B87-8BFC-6AF9B95143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27</vt:i4>
      </vt:variant>
      <vt:variant>
        <vt:lpstr>命名范围</vt:lpstr>
      </vt:variant>
      <vt:variant>
        <vt:i4>1</vt:i4>
      </vt:variant>
    </vt:vector>
  </HeadingPairs>
  <TitlesOfParts>
    <vt:vector size="28" baseType="lpstr">
      <vt:lpstr>0_Dashboard</vt:lpstr>
      <vt:lpstr>1_Macro_Liquidity</vt:lpstr>
      <vt:lpstr>2_RealRate_Valuation</vt:lpstr>
      <vt:lpstr>3_TGA_RRP</vt:lpstr>
      <vt:lpstr>4_Micro_Fundamentals</vt:lpstr>
      <vt:lpstr>5_Price_Action</vt:lpstr>
      <vt:lpstr>6_Data_API_PowerQuery</vt:lpstr>
      <vt:lpstr>pq_fh_financials</vt:lpstr>
      <vt:lpstr>pq_fh_earnings</vt:lpstr>
      <vt:lpstr>fh_earn_TSLA</vt:lpstr>
      <vt:lpstr>fh_earn_META</vt:lpstr>
      <vt:lpstr>fh_earn_AMZN</vt:lpstr>
      <vt:lpstr>fh_earn_GOOGL</vt:lpstr>
      <vt:lpstr>fh_earn_MSFT</vt:lpstr>
      <vt:lpstr>fh_earn_AAPL</vt:lpstr>
      <vt:lpstr>fh_fin_TSLA</vt:lpstr>
      <vt:lpstr>fh_fin_META</vt:lpstr>
      <vt:lpstr>fh_fin_AMZN</vt:lpstr>
      <vt:lpstr>fh_fin_GOOGL</vt:lpstr>
      <vt:lpstr>fh_fin_MSFT</vt:lpstr>
      <vt:lpstr>fh_fin_NVDA</vt:lpstr>
      <vt:lpstr>fh_fin_AAPL</vt:lpstr>
      <vt:lpstr>fh_earn_NVDA</vt:lpstr>
      <vt:lpstr>7_Config</vt:lpstr>
      <vt:lpstr>pq_tips_dfii10</vt:lpstr>
      <vt:lpstr>pq_tga_wtregen</vt:lpstr>
      <vt:lpstr>pq_rrp_rrpontsyd</vt:lpstr>
      <vt:lpstr>FINNHUB_API_KEY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Xuan Fu</cp:lastModifiedBy>
  <dcterms:created xsi:type="dcterms:W3CDTF">2026-02-10T06:34:00Z</dcterms:created>
  <dcterms:modified xsi:type="dcterms:W3CDTF">2026-02-25T10:40:11Z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7F175B92-B669-4C2B-92F3-E1F54710661F</vt:lpwstr>
  </property>
  <property fmtid="{D5CDD505-2E9C-101B-9397-08002B2CF9AE}" pid="3" name="ICV">
    <vt:lpwstr>1CE9E0A1E2A34C4487F16EAF62A72CFA_12</vt:lpwstr>
  </property>
  <property fmtid="{D5CDD505-2E9C-101B-9397-08002B2CF9AE}" pid="4" name="KSOProductBuildVer">
    <vt:lpwstr>2052-12.1.0.24657</vt:lpwstr>
  </property>
  <property fmtid="{D5CDD505-2E9C-101B-9397-08002B2CF9AE}" pid="5" name="CalculationRule">
    <vt:i4>0</vt:i4>
  </property>
</Properties>
</file>