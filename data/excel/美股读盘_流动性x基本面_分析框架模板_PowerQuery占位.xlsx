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xfugm\Desktop\美股分析框架\"/>
    </mc:Choice>
  </mc:AlternateContent>
  <xr:revisionPtr revIDLastSave="0" documentId="13_ncr:1_{0F7265B8-5BC1-4D2D-95D1-332CBB339AA8}" xr6:coauthVersionLast="47" xr6:coauthVersionMax="47" xr10:uidLastSave="{00000000-0000-0000-0000-000000000000}"/>
  <bookViews>
    <workbookView xWindow="29580" yWindow="8160" windowWidth="15120" windowHeight="11820" firstSheet="2" activeTab="2" xr2:uid="{00000000-000D-0000-FFFF-FFFF00000000}"/>
  </bookViews>
  <sheets>
    <sheet name="0_Dashboard" sheetId="1" r:id="rId1"/>
    <sheet name="1_Macro_Liquidity" sheetId="2" r:id="rId2"/>
    <sheet name="2_RealRate_Valuation" sheetId="3" r:id="rId3"/>
    <sheet name="3_TGA_RRP" sheetId="4" r:id="rId4"/>
    <sheet name="4_Micro_Fundamentals" sheetId="5" r:id="rId5"/>
    <sheet name="5_Price_Action" sheetId="6" r:id="rId6"/>
    <sheet name="6_Data_API_PowerQuery" sheetId="7" r:id="rId7"/>
    <sheet name="pq_tips_dfii10" sheetId="8" r:id="rId8"/>
    <sheet name="pq_tga_wtregen" sheetId="9" r:id="rId9"/>
    <sheet name="pq_rrp_rrpontsyd" sheetId="10" r:id="rId10"/>
  </sheets>
  <definedNames>
    <definedName name="ExternalData_1" localSheetId="7" hidden="1">pq_tips_dfii10!$A$1:$B$1526</definedName>
    <definedName name="ExternalData_2" localSheetId="8" hidden="1">pq_tga_wtregen!$A$1:$B$320</definedName>
    <definedName name="ExternalData_3" localSheetId="9" hidden="1">pq_rrp_rrpontsyd!$A$1:$B$1525</definedName>
  </definedNames>
  <calcPr calcId="191029"/>
</workbook>
</file>

<file path=xl/calcChain.xml><?xml version="1.0" encoding="utf-8"?>
<calcChain xmlns="http://schemas.openxmlformats.org/spreadsheetml/2006/main">
  <c r="B91" i="6" l="1"/>
  <c r="C12" i="1" s="1"/>
  <c r="B90" i="6"/>
  <c r="C11" i="1" s="1"/>
  <c r="B89" i="6"/>
  <c r="C10" i="1" s="1"/>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24" i="5"/>
  <c r="D23" i="5"/>
  <c r="C23" i="5"/>
  <c r="D22" i="5"/>
  <c r="C22" i="5"/>
  <c r="D21" i="5"/>
  <c r="C21" i="5"/>
  <c r="D20" i="5"/>
  <c r="C20" i="5"/>
  <c r="D19" i="5"/>
  <c r="C19" i="5"/>
  <c r="B19" i="5"/>
  <c r="E19" i="5" s="1"/>
  <c r="G19" i="5" s="1"/>
  <c r="D18" i="5"/>
  <c r="C18" i="5"/>
  <c r="D17" i="5"/>
  <c r="C17" i="5"/>
  <c r="B17" i="5"/>
  <c r="E17" i="5" s="1"/>
  <c r="G17" i="5" s="1"/>
  <c r="E12" i="5"/>
  <c r="B23" i="5" s="1"/>
  <c r="E23" i="5" s="1"/>
  <c r="G23" i="5" s="1"/>
  <c r="E11" i="5"/>
  <c r="B22" i="5" s="1"/>
  <c r="E22" i="5" s="1"/>
  <c r="G22" i="5" s="1"/>
  <c r="E10" i="5"/>
  <c r="B21" i="5" s="1"/>
  <c r="E21" i="5" s="1"/>
  <c r="G21" i="5" s="1"/>
  <c r="E9" i="5"/>
  <c r="B20" i="5" s="1"/>
  <c r="E20" i="5" s="1"/>
  <c r="G20" i="5" s="1"/>
  <c r="E8" i="5"/>
  <c r="E7" i="5"/>
  <c r="B18" i="5" s="1"/>
  <c r="E18" i="5" s="1"/>
  <c r="G18" i="5" s="1"/>
  <c r="E6" i="5"/>
  <c r="F58" i="4"/>
  <c r="D58" i="4"/>
  <c r="F57" i="4"/>
  <c r="D57" i="4"/>
  <c r="F56" i="4"/>
  <c r="D56" i="4"/>
  <c r="F55" i="4"/>
  <c r="D55" i="4"/>
  <c r="F54" i="4"/>
  <c r="D54" i="4"/>
  <c r="F53" i="4"/>
  <c r="D53" i="4"/>
  <c r="F52" i="4"/>
  <c r="D52" i="4"/>
  <c r="F51" i="4"/>
  <c r="D51" i="4"/>
  <c r="F50" i="4"/>
  <c r="D50" i="4"/>
  <c r="F49" i="4"/>
  <c r="D49" i="4"/>
  <c r="F48" i="4"/>
  <c r="D48" i="4"/>
  <c r="F47" i="4"/>
  <c r="D47" i="4"/>
  <c r="F46" i="4"/>
  <c r="D46" i="4"/>
  <c r="F45" i="4"/>
  <c r="D45" i="4"/>
  <c r="F44" i="4"/>
  <c r="D44" i="4"/>
  <c r="F43" i="4"/>
  <c r="D43" i="4"/>
  <c r="F42" i="4"/>
  <c r="D42" i="4"/>
  <c r="F41" i="4"/>
  <c r="D41" i="4"/>
  <c r="F40" i="4"/>
  <c r="D40" i="4"/>
  <c r="F39" i="4"/>
  <c r="D39" i="4"/>
  <c r="F35" i="4"/>
  <c r="D35" i="4"/>
  <c r="F34" i="4"/>
  <c r="D34" i="4"/>
  <c r="F33" i="4"/>
  <c r="D33" i="4"/>
  <c r="F32" i="4"/>
  <c r="D32" i="4"/>
  <c r="F31" i="4"/>
  <c r="D31" i="4"/>
  <c r="F30" i="4"/>
  <c r="D30" i="4"/>
  <c r="F29" i="4"/>
  <c r="D29" i="4"/>
  <c r="F28" i="4"/>
  <c r="D28" i="4"/>
  <c r="F27" i="4"/>
  <c r="D27" i="4"/>
  <c r="F26" i="4"/>
  <c r="D26" i="4"/>
  <c r="F25" i="4"/>
  <c r="D25" i="4"/>
  <c r="F24" i="4"/>
  <c r="D24" i="4"/>
  <c r="F23" i="4"/>
  <c r="D23" i="4"/>
  <c r="F22" i="4"/>
  <c r="C8" i="1" s="1"/>
  <c r="D22" i="4"/>
  <c r="F21" i="4"/>
  <c r="D21" i="4"/>
  <c r="F20" i="4"/>
  <c r="D20" i="4"/>
  <c r="F19" i="4"/>
  <c r="D19" i="4"/>
  <c r="F18" i="4"/>
  <c r="D18" i="4"/>
  <c r="F17" i="4"/>
  <c r="D17" i="4"/>
  <c r="F16" i="4"/>
  <c r="D16" i="4"/>
  <c r="F15" i="4"/>
  <c r="D15" i="4"/>
  <c r="F14" i="4"/>
  <c r="D14" i="4"/>
  <c r="F13" i="4"/>
  <c r="D13" i="4"/>
  <c r="F12" i="4"/>
  <c r="D12" i="4"/>
  <c r="F11" i="4"/>
  <c r="D11" i="4"/>
  <c r="F10" i="4"/>
  <c r="D10" i="4"/>
  <c r="F9" i="4"/>
  <c r="D9" i="4"/>
  <c r="F8" i="4"/>
  <c r="D8" i="4"/>
  <c r="F7" i="4"/>
  <c r="D7" i="4"/>
  <c r="F6" i="4"/>
  <c r="D6" i="4"/>
  <c r="F35" i="3"/>
  <c r="D35" i="3"/>
  <c r="F34" i="3"/>
  <c r="D34" i="3"/>
  <c r="F33" i="3"/>
  <c r="D33" i="3"/>
  <c r="F32" i="3"/>
  <c r="D32" i="3"/>
  <c r="F31" i="3"/>
  <c r="D31" i="3"/>
  <c r="F30" i="3"/>
  <c r="D30" i="3"/>
  <c r="F29" i="3"/>
  <c r="D29" i="3"/>
  <c r="F28" i="3"/>
  <c r="D28" i="3"/>
  <c r="F27" i="3"/>
  <c r="D27" i="3"/>
  <c r="F26" i="3"/>
  <c r="D26" i="3"/>
  <c r="F25" i="3"/>
  <c r="D25" i="3"/>
  <c r="F24" i="3"/>
  <c r="D24" i="3"/>
  <c r="F23" i="3"/>
  <c r="D23" i="3"/>
  <c r="F22" i="3"/>
  <c r="D22" i="3"/>
  <c r="F21" i="3"/>
  <c r="D21" i="3"/>
  <c r="F20" i="3"/>
  <c r="D20" i="3"/>
  <c r="F19" i="3"/>
  <c r="D19" i="3"/>
  <c r="F18" i="3"/>
  <c r="D18" i="3"/>
  <c r="F17" i="3"/>
  <c r="D17" i="3"/>
  <c r="F16" i="3"/>
  <c r="D16" i="3"/>
  <c r="F15" i="3"/>
  <c r="D15" i="3"/>
  <c r="F14" i="3"/>
  <c r="D14" i="3"/>
  <c r="F13" i="3"/>
  <c r="D13" i="3"/>
  <c r="F12" i="3"/>
  <c r="D12" i="3"/>
  <c r="F11" i="3"/>
  <c r="D11" i="3"/>
  <c r="F10" i="3"/>
  <c r="D10" i="3"/>
  <c r="F9" i="3"/>
  <c r="D9" i="3"/>
  <c r="F8" i="3"/>
  <c r="D8" i="3"/>
  <c r="F7" i="3"/>
  <c r="D7" i="3"/>
  <c r="F6" i="3"/>
  <c r="D6" i="3"/>
  <c r="F9" i="2"/>
  <c r="H11" i="2" s="1"/>
  <c r="C6" i="1" s="1"/>
  <c r="D9" i="2"/>
  <c r="F8" i="2"/>
  <c r="D8" i="2"/>
  <c r="F7" i="2"/>
  <c r="D7" i="2"/>
  <c r="F6" i="2"/>
  <c r="D6" i="2"/>
  <c r="B17" i="1"/>
  <c r="B37" i="3" l="1"/>
  <c r="C7" i="1" s="1"/>
  <c r="G7" i="1" s="1"/>
  <c r="G11" i="1"/>
  <c r="F11" i="1"/>
  <c r="F12" i="1"/>
  <c r="G12" i="1"/>
  <c r="G25" i="5"/>
  <c r="C9" i="1" s="1"/>
  <c r="G8" i="1"/>
  <c r="F8" i="1"/>
  <c r="G6" i="1"/>
  <c r="F6" i="1"/>
  <c r="G10" i="1"/>
  <c r="F10" i="1"/>
  <c r="F7" i="1" l="1"/>
  <c r="G9" i="1"/>
  <c r="B16" i="1" s="1"/>
  <c r="F9" i="1"/>
  <c r="B15" i="1"/>
  <c r="B1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1F8BB2-DFD4-4837-B9AE-901468E09CDE}" keepAlive="1" name="查询 - 查询1" description="与工作簿中“查询1”查询的连接。" type="5" refreshedVersion="8" background="1" saveData="1">
    <dbPr connection="Provider=Microsoft.Mashup.OleDb.1;Data Source=$Workbook$;Location=查询1;Extended Properties=&quot;&quot;" command="SELECT * FROM [查询1]"/>
  </connection>
  <connection id="2" xr16:uid="{E39C1D9A-7842-4B93-B1A5-C22F8DA847E7}" keepAlive="1" name="查询 - 查询2" description="与工作簿中“查询2”查询的连接。" type="5" refreshedVersion="8" background="1" saveData="1">
    <dbPr connection="Provider=Microsoft.Mashup.OleDb.1;Data Source=$Workbook$;Location=查询2;Extended Properties=&quot;&quot;" command="SELECT * FROM [查询2]"/>
  </connection>
  <connection id="3" xr16:uid="{8730378F-3A5B-4DE2-9BF6-16B1FF39AA20}" keepAlive="1" name="查询 - 查询3" description="与工作簿中“查询3”查询的连接。" type="5" refreshedVersion="8" background="1" saveData="1">
    <dbPr connection="Provider=Microsoft.Mashup.OleDb.1;Data Source=$Workbook$;Location=查询3;Extended Properties=&quot;&quot;" command="SELECT * FROM [查询3]"/>
  </connection>
</connections>
</file>

<file path=xl/sharedStrings.xml><?xml version="1.0" encoding="utf-8"?>
<sst xmlns="http://schemas.openxmlformats.org/spreadsheetml/2006/main" count="364" uniqueCount="207">
  <si>
    <t>Market Dashboard（美股读盘框架）</t>
  </si>
  <si>
    <t>把宏观流动性 × 微观基本面 × 价格行动落地为“可每周更新”的评分体系。</t>
  </si>
  <si>
    <t>模块</t>
  </si>
  <si>
    <t>指标</t>
  </si>
  <si>
    <t>当前值(链接/输入)</t>
  </si>
  <si>
    <t>环比</t>
  </si>
  <si>
    <t>阈值/规则</t>
  </si>
  <si>
    <t>状态(公式)</t>
  </si>
  <si>
    <t>得分(公式)</t>
  </si>
  <si>
    <t>注释</t>
  </si>
  <si>
    <t>流动性</t>
  </si>
  <si>
    <t>宏观政策得分(合计)</t>
  </si>
  <si>
    <t>&gt;=2宽松; 0-1中性; &lt;0收紧</t>
  </si>
  <si>
    <t>点阵图/中性利率/分歧/不确定性</t>
  </si>
  <si>
    <t>实际利率得分(最近)</t>
  </si>
  <si>
    <t>10Y TIPS &lt;=0.75→+1</t>
  </si>
  <si>
    <t>实际利率下行利好成长</t>
  </si>
  <si>
    <t>TGA得分(最近)</t>
  </si>
  <si>
    <t>TGA&lt;8500→+1</t>
  </si>
  <si>
    <t>TGA下降=释放流动性</t>
  </si>
  <si>
    <t>基本面</t>
  </si>
  <si>
    <t>Mag7得分(加权)</t>
  </si>
  <si>
    <t>&gt;=0.3强; 0-0.29中; &lt;0弱</t>
  </si>
  <si>
    <t>超预期+利润率+FCF</t>
  </si>
  <si>
    <t>情绪</t>
  </si>
  <si>
    <t>利好不涨比例</t>
  </si>
  <si>
    <t>&lt;30%健康; 30-45%警惕; &gt;45%风险</t>
  </si>
  <si>
    <t>Good news, bad reaction</t>
  </si>
  <si>
    <t>利空不跌比例</t>
  </si>
  <si>
    <t>&gt;25%偏底部; &lt;10%偏顶部</t>
  </si>
  <si>
    <t>Bad news, good reaction</t>
  </si>
  <si>
    <t>广度</t>
  </si>
  <si>
    <t>板块联动均值</t>
  </si>
  <si>
    <t>&gt;0.60广度好; 0.4-0.6一般; &lt;0.4差</t>
  </si>
  <si>
    <t>龙头带动板块</t>
  </si>
  <si>
    <t>总分（-6 到 +6）</t>
  </si>
  <si>
    <t>流动性总分</t>
  </si>
  <si>
    <t>业绩/基本面得分</t>
  </si>
  <si>
    <t>市场状态（矩阵输出）</t>
  </si>
  <si>
    <t>使用说明（快速）</t>
  </si>
  <si>
    <t>1) 先在 Sheet1/2/3 填宏观与流动性；2) Sheet4 填Mag7财报核心数字；3) Sheet5 记录“利好不涨/利空不跌”；4) 回到本页看总分与市场状态。</t>
  </si>
  <si>
    <t>宏观流动性（美联储与点阵图）</t>
  </si>
  <si>
    <t>输入每次FOMC更新后的关键数字；用“评分”给宏观方向打分（+1/0/-1）。</t>
  </si>
  <si>
    <t>更新日期（本行）</t>
  </si>
  <si>
    <t>2026-02-10</t>
  </si>
  <si>
    <t>最新值(输入)</t>
  </si>
  <si>
    <t>上次值(输入)</t>
  </si>
  <si>
    <t>变化(公式)</t>
  </si>
  <si>
    <t>阈值/参考(输入)</t>
  </si>
  <si>
    <t>评分(公式)</t>
  </si>
  <si>
    <t>解读/备注</t>
  </si>
  <si>
    <t>数据来源(可选)</t>
  </si>
  <si>
    <t>2026年末点阵图中值(%)</t>
  </si>
  <si>
    <t>下降→偏鸽</t>
  </si>
  <si>
    <t>关注“降到哪”而非“降多少”</t>
  </si>
  <si>
    <t>长期中性利率(%)</t>
  </si>
  <si>
    <t>锚点</t>
  </si>
  <si>
    <t>中性利率若上修→估值中枢下移风险</t>
  </si>
  <si>
    <t>预计不降息官员数</t>
  </si>
  <si>
    <t>分歧</t>
  </si>
  <si>
    <t>人数上升→政策不确定性↑</t>
  </si>
  <si>
    <t>主席更替/政策不确定性(0-2)</t>
  </si>
  <si>
    <t>0低 1中 2高</t>
  </si>
  <si>
    <t>换届年可上调风险折价</t>
  </si>
  <si>
    <t>宏观政策得分（合计）</t>
  </si>
  <si>
    <t>实际利率与估值（Real Rate）</t>
  </si>
  <si>
    <t>输入10Y TIPS（实际利率）与指数表现，用阈值判断成长股估值环境。</t>
  </si>
  <si>
    <t>监控区间：0.50%–0.75%（适度限制性）</t>
  </si>
  <si>
    <t>日期</t>
  </si>
  <si>
    <t>10Y TIPS(%) 输入</t>
  </si>
  <si>
    <t>1M前 输入</t>
  </si>
  <si>
    <t>阈值上限(%) 输入</t>
  </si>
  <si>
    <t>备注</t>
  </si>
  <si>
    <t>来源</t>
  </si>
  <si>
    <t>0.75</t>
  </si>
  <si>
    <t>实际利率得分（最近一行）</t>
  </si>
  <si>
    <t>TGA 与 RRP（财政流动性）</t>
  </si>
  <si>
    <t>TGA下降=释放流动性；RRP见底时“弹性”通常更大。</t>
  </si>
  <si>
    <t>TGA(亿美元) 输入</t>
  </si>
  <si>
    <t>上期TGA 输入</t>
  </si>
  <si>
    <t>TGA变化(公式)</t>
  </si>
  <si>
    <t>目标余额(亿美元) 输入</t>
  </si>
  <si>
    <t>8500</t>
  </si>
  <si>
    <t>RRP监控（可选）</t>
  </si>
  <si>
    <t>RRP(亿美元) 输入</t>
  </si>
  <si>
    <t>上期RRP 输入</t>
  </si>
  <si>
    <t>RRP变化(公式)</t>
  </si>
  <si>
    <t>“见底”阈值(亿美元) 输入</t>
  </si>
  <si>
    <t>1000</t>
  </si>
  <si>
    <t>微观基本面（Mag 7）</t>
  </si>
  <si>
    <t>每季财报后更新：EPS增速、AI占比、CapEx强度、利润率、FCF。用红线规则识别风险。</t>
  </si>
  <si>
    <t>提示：成本增速 &gt; 营收增速通常触发“杀估值”；利润率( Margin )指引更关键。</t>
  </si>
  <si>
    <t>Ticker</t>
  </si>
  <si>
    <t>公司</t>
  </si>
  <si>
    <t>EPS YoY(%) 输入</t>
  </si>
  <si>
    <t>预期EPS(%) 输入</t>
  </si>
  <si>
    <t>Surprise(公式)</t>
  </si>
  <si>
    <t>AI收入占比(%) 输入</t>
  </si>
  <si>
    <t>CapEx/Rev(%) 输入</t>
  </si>
  <si>
    <t>Margin QoQ(pp) 输入</t>
  </si>
  <si>
    <t>FCF YoY(%) 输入</t>
  </si>
  <si>
    <t>AAPL</t>
  </si>
  <si>
    <t>Apple</t>
  </si>
  <si>
    <t>MSFT</t>
  </si>
  <si>
    <t>Microsoft</t>
  </si>
  <si>
    <t>NVDA</t>
  </si>
  <si>
    <t>NVIDIA</t>
  </si>
  <si>
    <t>GOOGL</t>
  </si>
  <si>
    <t>Alphabet</t>
  </si>
  <si>
    <t>AMZN</t>
  </si>
  <si>
    <t>Amazon</t>
  </si>
  <si>
    <t>META</t>
  </si>
  <si>
    <t>Meta</t>
  </si>
  <si>
    <t>TSLA</t>
  </si>
  <si>
    <t>Tesla</t>
  </si>
  <si>
    <t>Mag7综合得分（按“超预期+利润率+FCF”粗略打分，可自行改权重）</t>
  </si>
  <si>
    <t>Surprise</t>
  </si>
  <si>
    <t>Margin QoQ</t>
  </si>
  <si>
    <t>FCF YoY</t>
  </si>
  <si>
    <t>单股得分(公式)</t>
  </si>
  <si>
    <t>权重(输入)</t>
  </si>
  <si>
    <t>加权得分(公式)</t>
  </si>
  <si>
    <t>0.1429</t>
  </si>
  <si>
    <t>权重合计</t>
  </si>
  <si>
    <t>Mag7得分（加权）</t>
  </si>
  <si>
    <t>价格行动（财报后反应）</t>
  </si>
  <si>
    <t>记录“利好不涨 / 利空不跌”频率与板块联动性，用作牛熊转换最敏感信号。</t>
  </si>
  <si>
    <t>EPS结果</t>
  </si>
  <si>
    <t>指引结果</t>
  </si>
  <si>
    <t>开盘反应</t>
  </si>
  <si>
    <t>收盘反应</t>
  </si>
  <si>
    <t>类型(公式)</t>
  </si>
  <si>
    <t>板块联动(0-1) 输入</t>
  </si>
  <si>
    <t>统计（最近80条记录）</t>
  </si>
  <si>
    <t>数据接口字段占位（FRED / 财政部）— 便于 PowerQuery 自动抓取</t>
  </si>
  <si>
    <t>更新时间：2026-02-10  |  说明：本页只提供“接口字段占位 + 建议查询参数”，便于你在 PowerQuery 里复制粘贴并映射到各Sheet。</t>
  </si>
  <si>
    <t>A) FRED（宏观利率/通胀预期/流动性代理）</t>
  </si>
  <si>
    <t>目标字段</t>
  </si>
  <si>
    <t>Series ID / 数据集</t>
  </si>
  <si>
    <t>Endpoint 模板</t>
  </si>
  <si>
    <t>关键参数占位</t>
  </si>
  <si>
    <t>PowerQuery 目标表名</t>
  </si>
  <si>
    <t>刷新频率建议</t>
  </si>
  <si>
    <t>日期字段</t>
  </si>
  <si>
    <t>数值字段</t>
  </si>
  <si>
    <t>联邦基金利率</t>
  </si>
  <si>
    <t>FRED</t>
  </si>
  <si>
    <t>DFF</t>
  </si>
  <si>
    <t>https://api.stlouisfed.org/fred/series/observations?series_id={SERIES_ID}&amp;api_key={FRED_API_KEY}&amp;file_type=json&amp;observation_start={START_DATE}&amp;observation_end={END_DATE}&amp;frequency={FREQ}</t>
  </si>
  <si>
    <t>{FRED_API_KEY}; {START_DATE}; {END_DATE}; FREQ=d</t>
  </si>
  <si>
    <t>pq_fedfunds_dff</t>
  </si>
  <si>
    <t>日/周</t>
  </si>
  <si>
    <t>date</t>
  </si>
  <si>
    <t>value</t>
  </si>
  <si>
    <t>用于验证点阵图与市场定价偏离</t>
  </si>
  <si>
    <t>10Y TIPS 实际利率</t>
  </si>
  <si>
    <t>DFII10</t>
  </si>
  <si>
    <t>pq_tips_dfii10</t>
  </si>
  <si>
    <t>用于Sheet2：实际利率阈值(0.50–0.75%)</t>
  </si>
  <si>
    <t>10Y 通胀预期（Breakeven）</t>
  </si>
  <si>
    <t>T10YIE</t>
  </si>
  <si>
    <t>pq_breakeven_t10yie</t>
  </si>
  <si>
    <t>名义-实际的隐含通胀预期</t>
  </si>
  <si>
    <t>财政部一般账户TGA（代理）</t>
  </si>
  <si>
    <t>WTREGEN</t>
  </si>
  <si>
    <t>{FRED_API_KEY}; {START_DATE}; {END_DATE}; FREQ=w</t>
  </si>
  <si>
    <t>pq_tga_wtregen</t>
  </si>
  <si>
    <t>周</t>
  </si>
  <si>
    <t>用于Sheet3：TGA监控（注意单位/口径）</t>
  </si>
  <si>
    <t>隔夜逆回购 ON RRP</t>
  </si>
  <si>
    <t>RRPONTSYD</t>
  </si>
  <si>
    <t>pq_rrp_rrpontsyd</t>
  </si>
  <si>
    <t>用于Sheet3：RRP见底信号</t>
  </si>
  <si>
    <t>B) 美国财政部 Fiscal Data API（财政部官网接口，用于TGA/现金收支等更细口径）</t>
  </si>
  <si>
    <t>数据集 / 路径占位</t>
  </si>
  <si>
    <t>TGA 余额（官方口径）</t>
  </si>
  <si>
    <t>Treasury Fiscal Data</t>
  </si>
  <si>
    <t>{PATH} 例如: account_balances/operating_cash_balance</t>
  </si>
  <si>
    <t>https://api.fiscaldata.treasury.gov/services/api/fiscal_service/v2/{PATH}?filter={FILTER}&amp;fields={FIELDS}&amp;sort={SORT}&amp;page[number]={PAGE_NO}&amp;page[size]={PAGE_SIZE}</t>
  </si>
  <si>
    <t>{PATH}; FILTER=record_date:gte:{START_DATE},record_date:lte:{END_DATE}; FIELDS=record_date,open_today_bal; SORT=record_date</t>
  </si>
  <si>
    <t>pq_tga_treasury_official</t>
  </si>
  <si>
    <t>record_date</t>
  </si>
  <si>
    <t>open_today_bal</t>
  </si>
  <si>
    <t>不同数据集字段名可能略有差异：在PQ里先预览再改FIELDS</t>
  </si>
  <si>
    <t>财政部现金收支（可选）</t>
  </si>
  <si>
    <t>{PATH} 例如: federal_accounting/operating_cash_balance 或 DTS相关数据集</t>
  </si>
  <si>
    <t>{PATH}; FILTER=...; FIELDS=...; SORT=...</t>
  </si>
  <si>
    <t>pq_treasury_cashflow_optional</t>
  </si>
  <si>
    <t>周/月</t>
  </si>
  <si>
    <t>用于解释TGA变动背后：发债/支出节奏</t>
  </si>
  <si>
    <t>C) 映射到本模板各Sheet的建议（PowerQuery加载后“表→单元格”引用）</t>
  </si>
  <si>
    <t>目标Sheet</t>
  </si>
  <si>
    <t>字段映射</t>
  </si>
  <si>
    <t>建议做法</t>
  </si>
  <si>
    <t>Sheet2_RealRate_Valuation</t>
  </si>
  <si>
    <t>10Y TIPS(%) ← pq_tips_dfii10[value]（按日期匹配/最新值）</t>
  </si>
  <si>
    <t>把“最新值”写入B列；日期写入A列；可用PQ直接生成两列表后粘贴为值或连接表格。</t>
  </si>
  <si>
    <t>Sheet3_TGA_RRP</t>
  </si>
  <si>
    <t>TGA(亿美元) ← pq_tga_wtregen 或 pq_tga_treasury_official（注意单位换算）</t>
  </si>
  <si>
    <t>建议在PQ里先把单位统一成“亿美元”，再加载到Sheet3。</t>
  </si>
  <si>
    <t>RRP(亿美元) ← pq_rrp_rrpontsyd[value]（注意单位）</t>
  </si>
  <si>
    <t>RRP常以美元计，建议PQ里/1e8转换为亿美元。</t>
  </si>
  <si>
    <t>Sheet1_Macro_Liquidity</t>
  </si>
  <si>
    <t>联邦基金利率 ← pq_fedfunds_dff[value]（辅助监控）</t>
  </si>
  <si>
    <t>点阵图仍需要手动更新，但可用联邦基金利率校验“实际路径”。</t>
  </si>
  <si>
    <t>D) PowerQuery快速步骤（复制到你团队文档也行）</t>
  </si>
  <si>
    <t>1) Excel → 数据(Data) → 获取数据(Get Data) → 从其他源(From Other Sources) → 空白查询(Blank Query)
2) 在高级编辑器(Advanced Editor)中粘贴 Web.Contents(...) 的URL（上面黄色单元格里的模板）
3) 解析 JSON：转为表 → 展开 data/observations → 选择 date/value 字段
4) 类型转换：date→日期，value→数字；必要时过滤 '.' 或空值
5) 单位统一：例如 RRP/TGA 换算为“亿美元”
6) 加载为表到工作簿：表名建议使用 pq_* 前缀
7) Dashboard 用链接引用这些表的最新值（LOOKUP/INDEX/MATCH）或直接在各Sheet把表“粘贴为值”
提示：FRED 需要 FRED_API_KEY；财政部 Fiscal Data API 一般不需要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</si>
</sst>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scheme val="minor"/>
    </font>
    <font>
      <b/>
      <sz val="16"/>
      <color rgb="FFFFFFFF"/>
      <name val="宋体"/>
      <charset val="134"/>
    </font>
    <font>
      <b/>
      <sz val="11"/>
      <color rgb="FF1F4E79"/>
      <name val="宋体"/>
      <charset val="134"/>
    </font>
    <font>
      <sz val="11"/>
      <color rgb="FF0000FF"/>
      <name val="宋体"/>
      <charset val="134"/>
    </font>
    <font>
      <b/>
      <sz val="11"/>
      <name val="宋体"/>
      <charset val="134"/>
    </font>
    <font>
      <b/>
      <sz val="11"/>
      <color rgb="FF1F4E79"/>
      <name val="宋体"/>
      <charset val="134"/>
    </font>
    <font>
      <b/>
      <sz val="11"/>
      <color rgb="FF9C0006"/>
      <name val="宋体"/>
      <charset val="134"/>
    </font>
    <font>
      <sz val="11"/>
      <color rgb="FF008000"/>
      <name val="宋体"/>
      <charset val="134"/>
    </font>
    <font>
      <b/>
      <sz val="14"/>
      <name val="宋体"/>
      <charset val="134"/>
    </font>
    <font>
      <sz val="9"/>
      <name val="宋体"/>
      <family val="3"/>
      <charset val="134"/>
      <scheme val="minor"/>
    </font>
  </fonts>
  <fills count="5">
    <fill>
      <patternFill patternType="none"/>
    </fill>
    <fill>
      <patternFill patternType="gray125"/>
    </fill>
    <fill>
      <patternFill patternType="solid">
        <fgColor rgb="FF1F4E79"/>
      </patternFill>
    </fill>
    <fill>
      <patternFill patternType="solid">
        <fgColor rgb="FFFFF2CC"/>
      </patternFill>
    </fill>
    <fill>
      <patternFill patternType="solid">
        <fgColor rgb="FFD9E1F2"/>
      </patternFill>
    </fill>
  </fills>
  <borders count="11">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s>
  <cellStyleXfs count="1">
    <xf numFmtId="0" fontId="0" fillId="0" borderId="0"/>
  </cellStyleXfs>
  <cellXfs count="42">
    <xf numFmtId="0" fontId="0" fillId="0" borderId="0" xfId="0"/>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10" fontId="7"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1" fontId="4" fillId="0" borderId="1" xfId="0" applyNumberFormat="1" applyFont="1" applyBorder="1" applyAlignment="1">
      <alignment horizontal="center" vertical="center" wrapText="1"/>
    </xf>
    <xf numFmtId="1" fontId="0" fillId="0" borderId="1" xfId="0" applyNumberFormat="1" applyBorder="1" applyAlignment="1">
      <alignment horizontal="center" vertical="center" wrapText="1"/>
    </xf>
    <xf numFmtId="49" fontId="8" fillId="0" borderId="1" xfId="0" applyNumberFormat="1" applyFont="1" applyBorder="1" applyAlignment="1">
      <alignment horizontal="center" vertical="center" wrapText="1"/>
    </xf>
    <xf numFmtId="0" fontId="3" fillId="3" borderId="1" xfId="0" applyFont="1" applyFill="1" applyBorder="1"/>
    <xf numFmtId="0" fontId="0" fillId="0" borderId="1" xfId="0" applyBorder="1"/>
    <xf numFmtId="0" fontId="4" fillId="0" borderId="0" xfId="0" applyFont="1" applyAlignment="1">
      <alignment horizontal="right" vertical="center" wrapText="1"/>
    </xf>
    <xf numFmtId="0" fontId="4" fillId="0" borderId="1" xfId="0" applyFont="1" applyBorder="1"/>
    <xf numFmtId="0" fontId="4" fillId="0" borderId="0" xfId="0" applyFont="1"/>
    <xf numFmtId="0" fontId="3" fillId="3" borderId="1" xfId="0" applyFont="1" applyFill="1" applyBorder="1" applyAlignment="1">
      <alignment horizontal="center" vertical="center" wrapText="1"/>
    </xf>
    <xf numFmtId="10" fontId="0" fillId="0" borderId="1" xfId="0" applyNumberFormat="1" applyBorder="1"/>
    <xf numFmtId="2" fontId="0" fillId="0" borderId="1" xfId="0" applyNumberFormat="1" applyBorder="1"/>
    <xf numFmtId="0" fontId="3" fillId="3" borderId="1" xfId="0" applyFont="1"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center" wrapText="1"/>
    </xf>
    <xf numFmtId="0" fontId="0" fillId="0" borderId="0" xfId="0"/>
    <xf numFmtId="0" fontId="5" fillId="0" borderId="0" xfId="0" applyFont="1"/>
    <xf numFmtId="0" fontId="2" fillId="0" borderId="0" xfId="0" applyFont="1" applyAlignment="1">
      <alignment horizontal="left" vertical="center" wrapText="1"/>
    </xf>
    <xf numFmtId="0" fontId="1" fillId="2" borderId="0" xfId="0" applyFont="1" applyFill="1" applyAlignment="1">
      <alignment horizontal="left" vertical="center" wrapText="1"/>
    </xf>
    <xf numFmtId="0" fontId="6" fillId="0" borderId="0" xfId="0" applyFont="1"/>
    <xf numFmtId="0" fontId="1" fillId="2" borderId="0" xfId="0" applyFont="1" applyFill="1" applyAlignment="1">
      <alignment horizontal="left" vertical="top" wrapText="1"/>
    </xf>
    <xf numFmtId="0" fontId="0" fillId="0" borderId="1" xfId="0" applyBorder="1" applyAlignment="1">
      <alignment horizontal="left" vertical="top" wrapText="1"/>
    </xf>
    <xf numFmtId="0" fontId="4" fillId="4" borderId="1" xfId="0" applyFont="1" applyFill="1" applyBorder="1" applyAlignment="1">
      <alignment horizontal="center" vertical="center" wrapText="1"/>
    </xf>
    <xf numFmtId="0" fontId="0" fillId="0" borderId="4" xfId="0" applyBorder="1"/>
    <xf numFmtId="0" fontId="0" fillId="0" borderId="5" xfId="0" applyBorder="1"/>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applyAlignment="1">
      <alignment horizontal="left" vertical="top" wrapText="1"/>
    </xf>
    <xf numFmtId="14" fontId="0" fillId="0" borderId="0" xfId="0" applyNumberFormat="1"/>
    <xf numFmtId="14" fontId="3" fillId="3" borderId="1" xfId="0" applyNumberFormat="1" applyFont="1" applyFill="1" applyBorder="1"/>
  </cellXfs>
  <cellStyles count="1">
    <cellStyle name="常规" xfId="0" builtinId="0"/>
  </cellStyles>
  <dxfs count="8">
    <dxf>
      <numFmt numFmtId="19" formatCode="yyyy/m/d"/>
    </dxf>
    <dxf>
      <numFmt numFmtId="19" formatCode="yyyy/m/d"/>
    </dxf>
    <dxf>
      <numFmt numFmtId="19" formatCode="yyyy/m/d"/>
    </dxf>
    <dxf>
      <fill>
        <patternFill patternType="solid">
          <fgColor rgb="FFFFC7CE"/>
        </patternFill>
      </fill>
    </dxf>
    <dxf>
      <fill>
        <patternFill patternType="solid">
          <fgColor rgb="FFFFC7CE"/>
        </patternFill>
      </fill>
    </dxf>
    <dxf>
      <fill>
        <patternFill patternType="solid">
          <fgColor rgb="FFBDD7EE"/>
        </patternFill>
      </fill>
    </dxf>
    <dxf>
      <fill>
        <patternFill patternType="solid">
          <fgColor rgb="FFFFEB9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en-US"/>
              <a:t>10Y TIPS（</a:t>
            </a:r>
            <a:r>
              <a:rPr lang="zh-CN" altLang="en-US"/>
              <a:t>实际利率）走势</a:t>
            </a:r>
          </a:p>
        </c:rich>
      </c:tx>
      <c:overlay val="1"/>
    </c:title>
    <c:autoTitleDeleted val="0"/>
    <c:plotArea>
      <c:layout/>
      <c:lineChart>
        <c:grouping val="standard"/>
        <c:varyColors val="1"/>
        <c:ser>
          <c:idx val="0"/>
          <c:order val="0"/>
          <c:tx>
            <c:strRef>
              <c:f>'2_RealRate_Valuation'!$B$5</c:f>
              <c:strCache>
                <c:ptCount val="1"/>
                <c:pt idx="0">
                  <c:v>10Y TIPS(%) 输入</c:v>
                </c:pt>
              </c:strCache>
            </c:strRef>
          </c:tx>
          <c:spPr>
            <a:ln>
              <a:prstDash val="solid"/>
            </a:ln>
          </c:spPr>
          <c:marker>
            <c:symbol val="none"/>
          </c:marker>
          <c:cat>
            <c:numRef>
              <c:f>'2_RealRate_Valuation'!$A$6:$A$35</c:f>
              <c:numCache>
                <c:formatCode>m/d/yyyy</c:formatCode>
                <c:ptCount val="30"/>
              </c:numCache>
            </c:numRef>
          </c:cat>
          <c:val>
            <c:numRef>
              <c:f>'2_RealRate_Valuation'!$B$6:$B$35</c:f>
              <c:numCache>
                <c:formatCode>General</c:formatCode>
                <c:ptCount val="30"/>
              </c:numCache>
            </c:numRef>
          </c:val>
          <c:smooth val="1"/>
          <c:extLst>
            <c:ext xmlns:c16="http://schemas.microsoft.com/office/drawing/2014/chart" uri="{C3380CC4-5D6E-409C-BE32-E72D297353CC}">
              <c16:uniqueId val="{00000000-ACF3-42FA-ADC7-1620F4D4C471}"/>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zh-CN" altLang="en-US"/>
                  <a:t>日期</a:t>
                </a:r>
              </a:p>
            </c:rich>
          </c:tx>
          <c:overlay val="1"/>
        </c:title>
        <c:numFmt formatCode="m/d/yyyy"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zh-CN" altLang="en-US"/>
                  <a:t>实际利率</a:t>
                </a:r>
                <a:r>
                  <a:rPr lang="en-US" altLang="zh-CN"/>
                  <a:t>(%)</a:t>
                </a:r>
              </a:p>
            </c:rich>
          </c:tx>
          <c:overlay val="1"/>
        </c:title>
        <c:numFmt formatCode="General" sourceLinked="1"/>
        <c:majorTickMark val="none"/>
        <c:minorTickMark val="none"/>
        <c:tickLblPos val="nextTo"/>
        <c:crossAx val="10"/>
        <c:crosses val="autoZero"/>
        <c:crossBetween val="between"/>
      </c:valAx>
    </c:plotArea>
    <c:legend>
      <c:legendPos val="r"/>
      <c:overlay val="0"/>
      <c:txPr>
        <a:bodyPr/>
        <a:lstStyle/>
        <a:p>
          <a:pPr rtl="0">
            <a:defRPr/>
          </a:pPr>
          <a:endParaRPr lang="zh-CN"/>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t>TGA余额走势</a:t>
            </a:r>
          </a:p>
        </c:rich>
      </c:tx>
      <c:overlay val="1"/>
    </c:title>
    <c:autoTitleDeleted val="0"/>
    <c:plotArea>
      <c:layout/>
      <c:lineChart>
        <c:grouping val="standard"/>
        <c:varyColors val="1"/>
        <c:ser>
          <c:idx val="0"/>
          <c:order val="0"/>
          <c:tx>
            <c:strRef>
              <c:f>'3_TGA_RRP'!$B$5</c:f>
              <c:strCache>
                <c:ptCount val="1"/>
                <c:pt idx="0">
                  <c:v>TGA(亿美元) 输入</c:v>
                </c:pt>
              </c:strCache>
            </c:strRef>
          </c:tx>
          <c:spPr>
            <a:ln>
              <a:prstDash val="solid"/>
            </a:ln>
          </c:spPr>
          <c:marker>
            <c:symbol val="none"/>
          </c:marker>
          <c:cat>
            <c:numRef>
              <c:f>'3_TGA_RRP'!$A$6:$A$35</c:f>
              <c:numCache>
                <c:formatCode>General</c:formatCode>
                <c:ptCount val="30"/>
              </c:numCache>
            </c:numRef>
          </c:cat>
          <c:val>
            <c:numRef>
              <c:f>'3_TGA_RRP'!$B$6:$B$35</c:f>
              <c:numCache>
                <c:formatCode>General</c:formatCode>
                <c:ptCount val="30"/>
              </c:numCache>
            </c:numRef>
          </c:val>
          <c:smooth val="1"/>
          <c:extLst>
            <c:ext xmlns:c16="http://schemas.microsoft.com/office/drawing/2014/chart" uri="{C3380CC4-5D6E-409C-BE32-E72D297353CC}">
              <c16:uniqueId val="{00000000-769A-47B8-97CB-209CD164FF3C}"/>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t>日期</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TGA(亿美元)</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0</xdr:colOff>
      <xdr:row>4</xdr:row>
      <xdr:rowOff>0</xdr:rowOff>
    </xdr:from>
    <xdr:ext cx="6480000" cy="324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4</xdr:row>
      <xdr:rowOff>0</xdr:rowOff>
    </xdr:from>
    <xdr:ext cx="6480000" cy="324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68086F-9F6D-4459-9911-C29F04D394DC}" autoFormatId="16" applyNumberFormats="0" applyBorderFormats="0" applyFontFormats="0" applyPatternFormats="0" applyAlignmentFormats="0" applyWidthHeightFormats="0">
  <queryTableRefresh nextId="3">
    <queryTableFields count="2">
      <queryTableField id="1" name="date" tableColumnId="1"/>
      <queryTableField id="2" name="val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851F7552-7DB5-490F-9123-CB5E24CE6E5E}" autoFormatId="16" applyNumberFormats="0" applyBorderFormats="0" applyFontFormats="0" applyPatternFormats="0" applyAlignmentFormats="0" applyWidthHeightFormats="0">
  <queryTableRefresh nextId="3">
    <queryTableFields count="2">
      <queryTableField id="1" name="date" tableColumnId="1"/>
      <queryTableField id="2" name="valu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C5E6DA0-DBDF-4076-822C-CB10B504FC2A}" autoFormatId="16" applyNumberFormats="0" applyBorderFormats="0" applyFontFormats="0" applyPatternFormats="0" applyAlignmentFormats="0" applyWidthHeightFormats="0">
  <queryTableRefresh nextId="3">
    <queryTableFields count="2">
      <queryTableField id="1" name="date" tableColumnId="1"/>
      <queryTableField id="2" name="valu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268D96-BBE4-400C-904A-6A76D0905AB2}" name="查询1" displayName="查询1" ref="A1:B1526" tableType="queryTable" totalsRowShown="0">
  <autoFilter ref="A1:B1526" xr:uid="{E3268D96-BBE4-400C-904A-6A76D0905AB2}"/>
  <tableColumns count="2">
    <tableColumn id="1" xr3:uid="{349125E8-EA6B-4F2B-A1AF-F118FC6AEEE0}" uniqueName="1" name="date" queryTableFieldId="1" dataDxfId="2"/>
    <tableColumn id="2" xr3:uid="{6301B90A-1193-49F0-8E14-D34D1DC3E759}" uniqueName="2" name="value"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E2D8F9-5E9C-474E-96AD-F62912428114}" name="查询2" displayName="查询2" ref="A1:B320" tableType="queryTable" totalsRowShown="0">
  <autoFilter ref="A1:B320" xr:uid="{E9E2D8F9-5E9C-474E-96AD-F62912428114}"/>
  <tableColumns count="2">
    <tableColumn id="1" xr3:uid="{0B5FE460-97C2-46CF-AC40-30BD29FA9DEA}" uniqueName="1" name="date" queryTableFieldId="1" dataDxfId="1"/>
    <tableColumn id="2" xr3:uid="{C2375C1F-158B-439C-9363-80DF96C423D5}" uniqueName="2" name="value"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83FA08-50A1-4EF9-B672-0E20C266C8DA}" name="查询3" displayName="查询3" ref="A1:B1525" tableType="queryTable" totalsRowShown="0">
  <autoFilter ref="A1:B1525" xr:uid="{1C83FA08-50A1-4EF9-B672-0E20C266C8DA}"/>
  <tableColumns count="2">
    <tableColumn id="1" xr3:uid="{79C627BA-7C19-42A2-8F9B-DCA46FF3DA43}" uniqueName="1" name="date" queryTableFieldId="1" dataDxfId="0"/>
    <tableColumn id="2" xr3:uid="{4BEBFA5C-A244-49FD-9684-209F4545F5F4}" uniqueName="2" name="value" queryTableField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showGridLines="0" workbookViewId="0">
      <pane ySplit="4" topLeftCell="A5" activePane="bottomLeft" state="frozen"/>
      <selection pane="bottomLeft" sqref="A1:H1"/>
    </sheetView>
  </sheetViews>
  <sheetFormatPr defaultRowHeight="14.4" x14ac:dyDescent="0.25"/>
  <cols>
    <col min="1" max="1" width="14" customWidth="1"/>
    <col min="2" max="2" width="22" customWidth="1"/>
    <col min="3" max="3" width="14" customWidth="1"/>
    <col min="4" max="4" width="10" customWidth="1"/>
    <col min="5" max="5" width="18" customWidth="1"/>
    <col min="6" max="6" width="12" customWidth="1"/>
    <col min="7" max="7" width="10" customWidth="1"/>
    <col min="8" max="8" width="30" customWidth="1"/>
  </cols>
  <sheetData>
    <row r="1" spans="1:8" x14ac:dyDescent="0.25">
      <c r="A1" s="25" t="s">
        <v>0</v>
      </c>
      <c r="B1" s="22"/>
      <c r="C1" s="22"/>
      <c r="D1" s="22"/>
      <c r="E1" s="22"/>
      <c r="F1" s="22"/>
      <c r="G1" s="22"/>
      <c r="H1" s="22"/>
    </row>
    <row r="2" spans="1:8" x14ac:dyDescent="0.25">
      <c r="A2" s="24" t="s">
        <v>1</v>
      </c>
      <c r="B2" s="22"/>
      <c r="C2" s="22"/>
      <c r="D2" s="22"/>
      <c r="E2" s="22"/>
      <c r="F2" s="22"/>
      <c r="G2" s="22"/>
      <c r="H2" s="22"/>
    </row>
    <row r="5" spans="1:8" ht="28.8" x14ac:dyDescent="0.25">
      <c r="A5" s="1" t="s">
        <v>2</v>
      </c>
      <c r="B5" s="1" t="s">
        <v>3</v>
      </c>
      <c r="C5" s="1" t="s">
        <v>4</v>
      </c>
      <c r="D5" s="1" t="s">
        <v>5</v>
      </c>
      <c r="E5" s="1" t="s">
        <v>6</v>
      </c>
      <c r="F5" s="1" t="s">
        <v>7</v>
      </c>
      <c r="G5" s="1" t="s">
        <v>8</v>
      </c>
      <c r="H5" s="1" t="s">
        <v>9</v>
      </c>
    </row>
    <row r="6" spans="1:8" ht="28.8" x14ac:dyDescent="0.25">
      <c r="A6" s="2" t="s">
        <v>10</v>
      </c>
      <c r="B6" s="3" t="s">
        <v>11</v>
      </c>
      <c r="C6" s="4">
        <f>'1_Macro_Liquidity'!H11</f>
        <v>0</v>
      </c>
      <c r="D6" s="2"/>
      <c r="E6" s="2" t="s">
        <v>12</v>
      </c>
      <c r="F6" s="2" t="str">
        <f>IF(C6="","",IF(C6&gt;=2,"宽松",IF(C6&gt;=0,"中性","收紧")))</f>
        <v>中性</v>
      </c>
      <c r="G6" s="5">
        <f>IF(C6="","",IF(C6&gt;=2,1,IF(C6&gt;=0,0,-1)))</f>
        <v>0</v>
      </c>
      <c r="H6" s="3" t="s">
        <v>13</v>
      </c>
    </row>
    <row r="7" spans="1:8" ht="28.8" x14ac:dyDescent="0.25">
      <c r="A7" s="2" t="s">
        <v>10</v>
      </c>
      <c r="B7" s="3" t="s">
        <v>14</v>
      </c>
      <c r="C7" s="4" t="str">
        <f>'2_RealRate_Valuation'!B37</f>
        <v/>
      </c>
      <c r="D7" s="2"/>
      <c r="E7" s="2" t="s">
        <v>15</v>
      </c>
      <c r="F7" s="2" t="str">
        <f>IF(C7="","",IF(C7=1,"宽松",IF(C7=0,"中性","收紧")))</f>
        <v/>
      </c>
      <c r="G7" s="5" t="str">
        <f>C7</f>
        <v/>
      </c>
      <c r="H7" s="3" t="s">
        <v>16</v>
      </c>
    </row>
    <row r="8" spans="1:8" x14ac:dyDescent="0.25">
      <c r="A8" s="2" t="s">
        <v>10</v>
      </c>
      <c r="B8" s="3" t="s">
        <v>17</v>
      </c>
      <c r="C8" s="4" t="str">
        <f>IFERROR(LOOKUP(2,1/('3_TGA_RRP'!F6:F35&lt;&gt;""),'3_TGA_RRP'!F6:F35),"")</f>
        <v/>
      </c>
      <c r="D8" s="2"/>
      <c r="E8" s="2" t="s">
        <v>18</v>
      </c>
      <c r="F8" s="2" t="str">
        <f>IF(C8="","",IF(C8=1,"释放",IF(C8=0,"中性","收缩")))</f>
        <v/>
      </c>
      <c r="G8" s="5" t="str">
        <f>C8</f>
        <v/>
      </c>
      <c r="H8" s="3" t="s">
        <v>19</v>
      </c>
    </row>
    <row r="9" spans="1:8" ht="28.8" x14ac:dyDescent="0.25">
      <c r="A9" s="2" t="s">
        <v>20</v>
      </c>
      <c r="B9" s="3" t="s">
        <v>21</v>
      </c>
      <c r="C9" s="4">
        <f>'4_Micro_Fundamentals'!G25</f>
        <v>0</v>
      </c>
      <c r="D9" s="2"/>
      <c r="E9" s="2" t="s">
        <v>22</v>
      </c>
      <c r="F9" s="2" t="str">
        <f>IF(C9="","",IF(C9&gt;=0.3,"强",IF(C9&gt;=0,"中","弱")))</f>
        <v>中</v>
      </c>
      <c r="G9" s="5">
        <f>IF(C9="","",IF(C9&gt;=0.3,1,IF(C9&gt;=0,0,-1)))</f>
        <v>0</v>
      </c>
      <c r="H9" s="3" t="s">
        <v>23</v>
      </c>
    </row>
    <row r="10" spans="1:8" ht="28.8" x14ac:dyDescent="0.25">
      <c r="A10" s="2" t="s">
        <v>24</v>
      </c>
      <c r="B10" s="3" t="s">
        <v>25</v>
      </c>
      <c r="C10" s="6">
        <f>'5_Price_Action'!B89</f>
        <v>0</v>
      </c>
      <c r="D10" s="2"/>
      <c r="E10" s="2" t="s">
        <v>26</v>
      </c>
      <c r="F10" s="2" t="str">
        <f>IF(C10="","",IF(C10&lt;0.3,"健康",IF(C10&lt;0.45,"警惕","风险")))</f>
        <v>健康</v>
      </c>
      <c r="G10" s="5">
        <f>IF(C10="","",IF(C10&lt;0.3,1,IF(C10&lt;0.45,0,-1)))</f>
        <v>1</v>
      </c>
      <c r="H10" s="3" t="s">
        <v>27</v>
      </c>
    </row>
    <row r="11" spans="1:8" ht="28.8" x14ac:dyDescent="0.25">
      <c r="A11" s="2" t="s">
        <v>24</v>
      </c>
      <c r="B11" s="3" t="s">
        <v>28</v>
      </c>
      <c r="C11" s="6">
        <f>'5_Price_Action'!B90</f>
        <v>0</v>
      </c>
      <c r="D11" s="2"/>
      <c r="E11" s="2" t="s">
        <v>29</v>
      </c>
      <c r="F11" s="2" t="str">
        <f>IF(C11="","",IF(C11&gt;0.25,"偏底部",IF(C11&gt;0.1,"中性","偏顶部")))</f>
        <v>偏顶部</v>
      </c>
      <c r="G11" s="5">
        <f>IF(C11="","",IF(C11&gt;0.25,1,IF(C11&gt;0.1,0,-1)))</f>
        <v>-1</v>
      </c>
      <c r="H11" s="3" t="s">
        <v>30</v>
      </c>
    </row>
    <row r="12" spans="1:8" ht="28.8" x14ac:dyDescent="0.25">
      <c r="A12" s="2" t="s">
        <v>31</v>
      </c>
      <c r="B12" s="3" t="s">
        <v>32</v>
      </c>
      <c r="C12" s="4" t="str">
        <f>'5_Price_Action'!B91</f>
        <v/>
      </c>
      <c r="D12" s="2"/>
      <c r="E12" s="2" t="s">
        <v>33</v>
      </c>
      <c r="F12" s="2" t="str">
        <f>IF(C12="","",IF(C12&gt;0.6,"良好",IF(C12&gt;0.4,"一般","较差")))</f>
        <v/>
      </c>
      <c r="G12" s="5" t="str">
        <f>IF(C12="","",IF(C12&gt;0.6,1,IF(C12&gt;0.4,0,-1)))</f>
        <v/>
      </c>
      <c r="H12" s="3" t="s">
        <v>34</v>
      </c>
    </row>
    <row r="14" spans="1:8" ht="28.8" x14ac:dyDescent="0.25">
      <c r="A14" s="7" t="s">
        <v>35</v>
      </c>
      <c r="B14" s="8">
        <f>SUM(G6:G12)</f>
        <v>0</v>
      </c>
    </row>
    <row r="15" spans="1:8" x14ac:dyDescent="0.25">
      <c r="A15" s="7" t="s">
        <v>36</v>
      </c>
      <c r="B15" s="9">
        <f>SUM(G6:G8)</f>
        <v>0</v>
      </c>
    </row>
    <row r="16" spans="1:8" ht="28.8" x14ac:dyDescent="0.25">
      <c r="A16" s="7" t="s">
        <v>37</v>
      </c>
      <c r="B16" s="9">
        <f>G9</f>
        <v>0</v>
      </c>
    </row>
    <row r="17" spans="1:8" ht="28.8" x14ac:dyDescent="0.25">
      <c r="A17" s="7" t="s">
        <v>38</v>
      </c>
      <c r="B17" s="10" t="e">
        <f ca="1">LET(liq,B15,fund,B16,liqState,IF(liq&gt;=2,"宽松",IF(liq&lt;=0,"收紧","中性")),IF(AND(liqState="宽松",fund=1),"主升浪",IF(AND(liqState="宽松",fund&lt;=0),"震荡",IF(AND(liqState="收紧",fund=1),"分化","双杀"))))</f>
        <v>#NAME?</v>
      </c>
    </row>
    <row r="19" spans="1:8" x14ac:dyDescent="0.25">
      <c r="A19" s="23" t="s">
        <v>39</v>
      </c>
      <c r="B19" s="22"/>
      <c r="C19" s="22"/>
      <c r="D19" s="22"/>
      <c r="E19" s="22"/>
      <c r="F19" s="22"/>
      <c r="G19" s="22"/>
      <c r="H19" s="22"/>
    </row>
    <row r="20" spans="1:8" x14ac:dyDescent="0.25">
      <c r="A20" s="21" t="s">
        <v>40</v>
      </c>
      <c r="B20" s="22"/>
      <c r="C20" s="22"/>
      <c r="D20" s="22"/>
      <c r="E20" s="22"/>
      <c r="F20" s="22"/>
      <c r="G20" s="22"/>
      <c r="H20" s="22"/>
    </row>
  </sheetData>
  <mergeCells count="4">
    <mergeCell ref="A20:H20"/>
    <mergeCell ref="A19:H19"/>
    <mergeCell ref="A2:H2"/>
    <mergeCell ref="A1:H1"/>
  </mergeCells>
  <phoneticPr fontId="9" type="noConversion"/>
  <conditionalFormatting sqref="B17">
    <cfRule type="expression" dxfId="7" priority="1">
      <formula>B17="主升浪"</formula>
    </cfRule>
    <cfRule type="expression" dxfId="6" priority="2">
      <formula>B17="震荡"</formula>
    </cfRule>
    <cfRule type="expression" dxfId="5" priority="3">
      <formula>B17="分化"</formula>
    </cfRule>
    <cfRule type="expression" dxfId="4" priority="4">
      <formula>B17="双杀"</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showGridLines="0" workbookViewId="0">
      <pane ySplit="3" topLeftCell="A4" activePane="bottomLeft" state="frozen"/>
      <selection pane="bottomLeft" sqref="A1:H1"/>
    </sheetView>
  </sheetViews>
  <sheetFormatPr defaultRowHeight="14.4" x14ac:dyDescent="0.25"/>
  <cols>
    <col min="1" max="1" width="18" customWidth="1"/>
    <col min="2" max="3" width="14" customWidth="1"/>
    <col min="4" max="4" width="10" customWidth="1"/>
    <col min="5" max="6" width="12" customWidth="1"/>
    <col min="7" max="7" width="34" customWidth="1"/>
    <col min="8" max="8" width="12" customWidth="1"/>
  </cols>
  <sheetData>
    <row r="1" spans="1:8" x14ac:dyDescent="0.25">
      <c r="A1" s="25" t="s">
        <v>41</v>
      </c>
      <c r="B1" s="22"/>
      <c r="C1" s="22"/>
      <c r="D1" s="22"/>
      <c r="E1" s="22"/>
      <c r="F1" s="22"/>
      <c r="G1" s="22"/>
      <c r="H1" s="22"/>
    </row>
    <row r="2" spans="1:8" x14ac:dyDescent="0.25">
      <c r="A2" s="24" t="s">
        <v>42</v>
      </c>
      <c r="B2" s="22"/>
      <c r="C2" s="22"/>
      <c r="D2" s="22"/>
      <c r="E2" s="22"/>
      <c r="F2" s="22"/>
      <c r="G2" s="22"/>
      <c r="H2" s="22"/>
    </row>
    <row r="3" spans="1:8" x14ac:dyDescent="0.25">
      <c r="A3" t="s">
        <v>43</v>
      </c>
      <c r="B3" s="11" t="s">
        <v>44</v>
      </c>
    </row>
    <row r="5" spans="1:8" ht="28.8" x14ac:dyDescent="0.25">
      <c r="A5" s="1" t="s">
        <v>3</v>
      </c>
      <c r="B5" s="1" t="s">
        <v>45</v>
      </c>
      <c r="C5" s="1" t="s">
        <v>46</v>
      </c>
      <c r="D5" s="1" t="s">
        <v>47</v>
      </c>
      <c r="E5" s="1" t="s">
        <v>48</v>
      </c>
      <c r="F5" s="1" t="s">
        <v>49</v>
      </c>
      <c r="G5" s="1" t="s">
        <v>50</v>
      </c>
      <c r="H5" s="1" t="s">
        <v>51</v>
      </c>
    </row>
    <row r="6" spans="1:8" ht="28.8" x14ac:dyDescent="0.25">
      <c r="A6" s="3" t="s">
        <v>52</v>
      </c>
      <c r="B6" s="11"/>
      <c r="C6" s="11"/>
      <c r="D6" s="12" t="str">
        <f>IF(OR(B6="",C6=""),"",B6-C6)</f>
        <v/>
      </c>
      <c r="E6" s="11" t="s">
        <v>53</v>
      </c>
      <c r="F6" s="12" t="str">
        <f>IF(B6="","",IF(D6&lt;0,1,IF(D6&gt;0,-1,0)))</f>
        <v/>
      </c>
      <c r="G6" s="3" t="s">
        <v>54</v>
      </c>
      <c r="H6" s="11"/>
    </row>
    <row r="7" spans="1:8" x14ac:dyDescent="0.25">
      <c r="A7" s="3" t="s">
        <v>55</v>
      </c>
      <c r="B7" s="11"/>
      <c r="C7" s="11"/>
      <c r="D7" s="12" t="str">
        <f>IF(OR(B7="",C7=""),"",B7-C7)</f>
        <v/>
      </c>
      <c r="E7" s="11" t="s">
        <v>56</v>
      </c>
      <c r="F7" s="12" t="str">
        <f>IF(B7="","",IF(D7&gt;0,-1,IF(D7&lt;0,1,0)))</f>
        <v/>
      </c>
      <c r="G7" s="3" t="s">
        <v>57</v>
      </c>
      <c r="H7" s="11"/>
    </row>
    <row r="8" spans="1:8" x14ac:dyDescent="0.25">
      <c r="A8" s="3" t="s">
        <v>58</v>
      </c>
      <c r="B8" s="11"/>
      <c r="C8" s="11"/>
      <c r="D8" s="12" t="str">
        <f>IF(OR(B8="",C8=""),"",B8-C8)</f>
        <v/>
      </c>
      <c r="E8" s="11" t="s">
        <v>59</v>
      </c>
      <c r="F8" s="12" t="str">
        <f>IF(B8="","",IF(D8&gt;0,-1,IF(D8&lt;0,1,0)))</f>
        <v/>
      </c>
      <c r="G8" s="3" t="s">
        <v>60</v>
      </c>
      <c r="H8" s="11"/>
    </row>
    <row r="9" spans="1:8" ht="28.8" x14ac:dyDescent="0.25">
      <c r="A9" s="3" t="s">
        <v>61</v>
      </c>
      <c r="B9" s="11"/>
      <c r="C9" s="11"/>
      <c r="D9" s="12" t="str">
        <f>IF(OR(B9="",C9=""),"",B9-C9)</f>
        <v/>
      </c>
      <c r="E9" s="11" t="s">
        <v>62</v>
      </c>
      <c r="F9" s="12" t="str">
        <f>IF(B9="","",IF(B9&gt;=2,-1,IF(B9=1,0,1)))</f>
        <v/>
      </c>
      <c r="G9" s="3" t="s">
        <v>63</v>
      </c>
      <c r="H9" s="11"/>
    </row>
    <row r="11" spans="1:8" x14ac:dyDescent="0.25">
      <c r="G11" s="13" t="s">
        <v>64</v>
      </c>
      <c r="H11" s="14">
        <f>SUM(F6:F9)</f>
        <v>0</v>
      </c>
    </row>
  </sheetData>
  <mergeCells count="2">
    <mergeCell ref="A2:H2"/>
    <mergeCell ref="A1:H1"/>
  </mergeCells>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
  <sheetViews>
    <sheetView showGridLines="0" tabSelected="1" workbookViewId="0">
      <pane ySplit="4" topLeftCell="A5" activePane="bottomLeft" state="frozen"/>
      <selection pane="bottomLeft" activeCell="D28" sqref="D28"/>
    </sheetView>
  </sheetViews>
  <sheetFormatPr defaultRowHeight="14.4" x14ac:dyDescent="0.25"/>
  <cols>
    <col min="1" max="1" width="16" customWidth="1"/>
    <col min="2" max="2" width="30.5546875" customWidth="1"/>
    <col min="3" max="5" width="14" customWidth="1"/>
    <col min="6" max="6" width="12" customWidth="1"/>
    <col min="7" max="7" width="34" customWidth="1"/>
    <col min="8" max="8" width="12" customWidth="1"/>
  </cols>
  <sheetData>
    <row r="1" spans="1:8" x14ac:dyDescent="0.25">
      <c r="A1" s="25" t="s">
        <v>65</v>
      </c>
      <c r="B1" s="22"/>
      <c r="C1" s="22"/>
      <c r="D1" s="22"/>
      <c r="E1" s="22"/>
      <c r="F1" s="22"/>
      <c r="G1" s="22"/>
      <c r="H1" s="22"/>
    </row>
    <row r="2" spans="1:8" x14ac:dyDescent="0.25">
      <c r="A2" s="24" t="s">
        <v>66</v>
      </c>
      <c r="B2" s="22"/>
      <c r="C2" s="22"/>
      <c r="D2" s="22"/>
      <c r="E2" s="22"/>
      <c r="F2" s="22"/>
      <c r="G2" s="22"/>
      <c r="H2" s="22"/>
    </row>
    <row r="3" spans="1:8" x14ac:dyDescent="0.25">
      <c r="A3" s="23" t="s">
        <v>67</v>
      </c>
      <c r="B3" s="22"/>
      <c r="C3" s="22"/>
      <c r="D3" s="22"/>
      <c r="E3" s="22"/>
      <c r="F3" s="22"/>
      <c r="G3" s="22"/>
      <c r="H3" s="22"/>
    </row>
    <row r="5" spans="1:8" ht="28.8" x14ac:dyDescent="0.25">
      <c r="A5" s="1" t="s">
        <v>68</v>
      </c>
      <c r="B5" s="1" t="s">
        <v>69</v>
      </c>
      <c r="C5" s="1" t="s">
        <v>70</v>
      </c>
      <c r="D5" s="1" t="s">
        <v>47</v>
      </c>
      <c r="E5" s="1" t="s">
        <v>71</v>
      </c>
      <c r="F5" s="1" t="s">
        <v>49</v>
      </c>
      <c r="G5" s="1" t="s">
        <v>72</v>
      </c>
      <c r="H5" s="1" t="s">
        <v>73</v>
      </c>
    </row>
    <row r="6" spans="1:8" x14ac:dyDescent="0.25">
      <c r="A6" s="41"/>
      <c r="B6" s="11"/>
      <c r="C6" s="11"/>
      <c r="D6" s="12" t="str">
        <f t="shared" ref="D6:D35" si="0">IF(OR(B6="",C6=""),"",B6-C6)</f>
        <v/>
      </c>
      <c r="E6" s="11" t="s">
        <v>74</v>
      </c>
      <c r="F6" s="12" t="str">
        <f t="shared" ref="F6:F35" si="1">IF(B6="","",IF(B6&lt;=E6,1,IF(B6&lt;=E6+0.25,0,-1)))</f>
        <v/>
      </c>
      <c r="G6" s="3"/>
      <c r="H6" s="11"/>
    </row>
    <row r="7" spans="1:8" x14ac:dyDescent="0.25">
      <c r="A7" s="41"/>
      <c r="B7" s="11"/>
      <c r="C7" s="11"/>
      <c r="D7" s="12" t="str">
        <f t="shared" si="0"/>
        <v/>
      </c>
      <c r="E7" s="11" t="s">
        <v>74</v>
      </c>
      <c r="F7" s="12" t="str">
        <f t="shared" si="1"/>
        <v/>
      </c>
      <c r="G7" s="3"/>
      <c r="H7" s="11"/>
    </row>
    <row r="8" spans="1:8" x14ac:dyDescent="0.25">
      <c r="A8" s="41"/>
      <c r="B8" s="11"/>
      <c r="C8" s="11"/>
      <c r="D8" s="12" t="str">
        <f t="shared" si="0"/>
        <v/>
      </c>
      <c r="E8" s="11" t="s">
        <v>74</v>
      </c>
      <c r="F8" s="12" t="str">
        <f t="shared" si="1"/>
        <v/>
      </c>
      <c r="G8" s="3"/>
      <c r="H8" s="11"/>
    </row>
    <row r="9" spans="1:8" x14ac:dyDescent="0.25">
      <c r="A9" s="41"/>
      <c r="B9" s="11"/>
      <c r="C9" s="11"/>
      <c r="D9" s="12" t="str">
        <f t="shared" si="0"/>
        <v/>
      </c>
      <c r="E9" s="11" t="s">
        <v>74</v>
      </c>
      <c r="F9" s="12" t="str">
        <f t="shared" si="1"/>
        <v/>
      </c>
      <c r="G9" s="3"/>
      <c r="H9" s="11"/>
    </row>
    <row r="10" spans="1:8" x14ac:dyDescent="0.25">
      <c r="A10" s="41"/>
      <c r="B10" s="11"/>
      <c r="C10" s="11"/>
      <c r="D10" s="12" t="str">
        <f t="shared" si="0"/>
        <v/>
      </c>
      <c r="E10" s="11" t="s">
        <v>74</v>
      </c>
      <c r="F10" s="12" t="str">
        <f t="shared" si="1"/>
        <v/>
      </c>
      <c r="G10" s="3"/>
      <c r="H10" s="11"/>
    </row>
    <row r="11" spans="1:8" x14ac:dyDescent="0.25">
      <c r="A11" s="41"/>
      <c r="B11" s="11"/>
      <c r="C11" s="11"/>
      <c r="D11" s="12" t="str">
        <f t="shared" si="0"/>
        <v/>
      </c>
      <c r="E11" s="11" t="s">
        <v>74</v>
      </c>
      <c r="F11" s="12" t="str">
        <f t="shared" si="1"/>
        <v/>
      </c>
      <c r="G11" s="3"/>
      <c r="H11" s="11"/>
    </row>
    <row r="12" spans="1:8" x14ac:dyDescent="0.25">
      <c r="A12" s="41"/>
      <c r="B12" s="11"/>
      <c r="C12" s="11"/>
      <c r="D12" s="12" t="str">
        <f t="shared" si="0"/>
        <v/>
      </c>
      <c r="E12" s="11" t="s">
        <v>74</v>
      </c>
      <c r="F12" s="12" t="str">
        <f t="shared" si="1"/>
        <v/>
      </c>
      <c r="G12" s="3"/>
      <c r="H12" s="11"/>
    </row>
    <row r="13" spans="1:8" x14ac:dyDescent="0.25">
      <c r="A13" s="41"/>
      <c r="B13" s="11"/>
      <c r="C13" s="11"/>
      <c r="D13" s="12" t="str">
        <f t="shared" si="0"/>
        <v/>
      </c>
      <c r="E13" s="11" t="s">
        <v>74</v>
      </c>
      <c r="F13" s="12" t="str">
        <f t="shared" si="1"/>
        <v/>
      </c>
      <c r="G13" s="3"/>
      <c r="H13" s="11"/>
    </row>
    <row r="14" spans="1:8" x14ac:dyDescent="0.25">
      <c r="A14" s="41"/>
      <c r="B14" s="11"/>
      <c r="C14" s="11"/>
      <c r="D14" s="12" t="str">
        <f t="shared" si="0"/>
        <v/>
      </c>
      <c r="E14" s="11" t="s">
        <v>74</v>
      </c>
      <c r="F14" s="12" t="str">
        <f t="shared" si="1"/>
        <v/>
      </c>
      <c r="G14" s="3"/>
      <c r="H14" s="11"/>
    </row>
    <row r="15" spans="1:8" x14ac:dyDescent="0.25">
      <c r="A15" s="41"/>
      <c r="B15" s="11"/>
      <c r="C15" s="11"/>
      <c r="D15" s="12" t="str">
        <f t="shared" si="0"/>
        <v/>
      </c>
      <c r="E15" s="11" t="s">
        <v>74</v>
      </c>
      <c r="F15" s="12" t="str">
        <f t="shared" si="1"/>
        <v/>
      </c>
      <c r="G15" s="3"/>
      <c r="H15" s="11"/>
    </row>
    <row r="16" spans="1:8" x14ac:dyDescent="0.25">
      <c r="A16" s="41"/>
      <c r="B16" s="11"/>
      <c r="C16" s="11"/>
      <c r="D16" s="12" t="str">
        <f t="shared" si="0"/>
        <v/>
      </c>
      <c r="E16" s="11" t="s">
        <v>74</v>
      </c>
      <c r="F16" s="12" t="str">
        <f t="shared" si="1"/>
        <v/>
      </c>
      <c r="G16" s="3"/>
      <c r="H16" s="11"/>
    </row>
    <row r="17" spans="1:8" x14ac:dyDescent="0.25">
      <c r="A17" s="41"/>
      <c r="B17" s="11"/>
      <c r="C17" s="11"/>
      <c r="D17" s="12" t="str">
        <f t="shared" si="0"/>
        <v/>
      </c>
      <c r="E17" s="11" t="s">
        <v>74</v>
      </c>
      <c r="F17" s="12" t="str">
        <f t="shared" si="1"/>
        <v/>
      </c>
      <c r="G17" s="3"/>
      <c r="H17" s="11"/>
    </row>
    <row r="18" spans="1:8" x14ac:dyDescent="0.25">
      <c r="A18" s="41"/>
      <c r="B18" s="11"/>
      <c r="C18" s="11"/>
      <c r="D18" s="12" t="str">
        <f t="shared" si="0"/>
        <v/>
      </c>
      <c r="E18" s="11" t="s">
        <v>74</v>
      </c>
      <c r="F18" s="12" t="str">
        <f t="shared" si="1"/>
        <v/>
      </c>
      <c r="G18" s="3"/>
      <c r="H18" s="11"/>
    </row>
    <row r="19" spans="1:8" x14ac:dyDescent="0.25">
      <c r="A19" s="41"/>
      <c r="B19" s="11"/>
      <c r="C19" s="11"/>
      <c r="D19" s="12" t="str">
        <f t="shared" si="0"/>
        <v/>
      </c>
      <c r="E19" s="11" t="s">
        <v>74</v>
      </c>
      <c r="F19" s="12" t="str">
        <f t="shared" si="1"/>
        <v/>
      </c>
      <c r="G19" s="3"/>
      <c r="H19" s="11"/>
    </row>
    <row r="20" spans="1:8" x14ac:dyDescent="0.25">
      <c r="A20" s="41"/>
      <c r="B20" s="11"/>
      <c r="C20" s="11"/>
      <c r="D20" s="12" t="str">
        <f t="shared" si="0"/>
        <v/>
      </c>
      <c r="E20" s="11" t="s">
        <v>74</v>
      </c>
      <c r="F20" s="12" t="str">
        <f t="shared" si="1"/>
        <v/>
      </c>
      <c r="G20" s="3"/>
      <c r="H20" s="11"/>
    </row>
    <row r="21" spans="1:8" x14ac:dyDescent="0.25">
      <c r="A21" s="41"/>
      <c r="B21" s="11"/>
      <c r="C21" s="11"/>
      <c r="D21" s="12" t="str">
        <f t="shared" si="0"/>
        <v/>
      </c>
      <c r="E21" s="11" t="s">
        <v>74</v>
      </c>
      <c r="F21" s="12" t="str">
        <f t="shared" si="1"/>
        <v/>
      </c>
      <c r="G21" s="3"/>
      <c r="H21" s="11"/>
    </row>
    <row r="22" spans="1:8" x14ac:dyDescent="0.25">
      <c r="A22" s="41"/>
      <c r="B22" s="11"/>
      <c r="C22" s="11"/>
      <c r="D22" s="12" t="str">
        <f t="shared" si="0"/>
        <v/>
      </c>
      <c r="E22" s="11" t="s">
        <v>74</v>
      </c>
      <c r="F22" s="12" t="str">
        <f t="shared" si="1"/>
        <v/>
      </c>
      <c r="G22" s="3"/>
      <c r="H22" s="11"/>
    </row>
    <row r="23" spans="1:8" x14ac:dyDescent="0.25">
      <c r="A23" s="41"/>
      <c r="B23" s="11"/>
      <c r="C23" s="11"/>
      <c r="D23" s="12" t="str">
        <f t="shared" si="0"/>
        <v/>
      </c>
      <c r="E23" s="11" t="s">
        <v>74</v>
      </c>
      <c r="F23" s="12" t="str">
        <f t="shared" si="1"/>
        <v/>
      </c>
      <c r="G23" s="3"/>
      <c r="H23" s="11"/>
    </row>
    <row r="24" spans="1:8" x14ac:dyDescent="0.25">
      <c r="A24" s="41"/>
      <c r="B24" s="11"/>
      <c r="C24" s="11"/>
      <c r="D24" s="12" t="str">
        <f t="shared" si="0"/>
        <v/>
      </c>
      <c r="E24" s="11" t="s">
        <v>74</v>
      </c>
      <c r="F24" s="12" t="str">
        <f t="shared" si="1"/>
        <v/>
      </c>
      <c r="G24" s="3"/>
      <c r="H24" s="11"/>
    </row>
    <row r="25" spans="1:8" x14ac:dyDescent="0.25">
      <c r="A25" s="41"/>
      <c r="B25" s="11"/>
      <c r="C25" s="11"/>
      <c r="D25" s="12" t="str">
        <f t="shared" si="0"/>
        <v/>
      </c>
      <c r="E25" s="11" t="s">
        <v>74</v>
      </c>
      <c r="F25" s="12" t="str">
        <f t="shared" si="1"/>
        <v/>
      </c>
      <c r="G25" s="3"/>
      <c r="H25" s="11"/>
    </row>
    <row r="26" spans="1:8" x14ac:dyDescent="0.25">
      <c r="A26" s="41"/>
      <c r="B26" s="11"/>
      <c r="C26" s="11"/>
      <c r="D26" s="12" t="str">
        <f t="shared" si="0"/>
        <v/>
      </c>
      <c r="E26" s="11" t="s">
        <v>74</v>
      </c>
      <c r="F26" s="12" t="str">
        <f t="shared" si="1"/>
        <v/>
      </c>
      <c r="G26" s="3"/>
      <c r="H26" s="11"/>
    </row>
    <row r="27" spans="1:8" x14ac:dyDescent="0.25">
      <c r="A27" s="41"/>
      <c r="B27" s="11"/>
      <c r="C27" s="11"/>
      <c r="D27" s="12" t="str">
        <f t="shared" si="0"/>
        <v/>
      </c>
      <c r="E27" s="11" t="s">
        <v>74</v>
      </c>
      <c r="F27" s="12" t="str">
        <f t="shared" si="1"/>
        <v/>
      </c>
      <c r="G27" s="3"/>
      <c r="H27" s="11"/>
    </row>
    <row r="28" spans="1:8" x14ac:dyDescent="0.25">
      <c r="A28" s="41"/>
      <c r="B28" s="11"/>
      <c r="C28" s="11"/>
      <c r="D28" s="12" t="str">
        <f t="shared" si="0"/>
        <v/>
      </c>
      <c r="E28" s="11" t="s">
        <v>74</v>
      </c>
      <c r="F28" s="12" t="str">
        <f t="shared" si="1"/>
        <v/>
      </c>
      <c r="G28" s="3"/>
      <c r="H28" s="11"/>
    </row>
    <row r="29" spans="1:8" x14ac:dyDescent="0.25">
      <c r="A29" s="41"/>
      <c r="B29" s="11"/>
      <c r="C29" s="11"/>
      <c r="D29" s="12" t="str">
        <f t="shared" si="0"/>
        <v/>
      </c>
      <c r="E29" s="11" t="s">
        <v>74</v>
      </c>
      <c r="F29" s="12" t="str">
        <f t="shared" si="1"/>
        <v/>
      </c>
      <c r="G29" s="3"/>
      <c r="H29" s="11"/>
    </row>
    <row r="30" spans="1:8" x14ac:dyDescent="0.25">
      <c r="A30" s="41"/>
      <c r="B30" s="11"/>
      <c r="C30" s="11"/>
      <c r="D30" s="12" t="str">
        <f t="shared" si="0"/>
        <v/>
      </c>
      <c r="E30" s="11" t="s">
        <v>74</v>
      </c>
      <c r="F30" s="12" t="str">
        <f t="shared" si="1"/>
        <v/>
      </c>
      <c r="G30" s="3"/>
      <c r="H30" s="11"/>
    </row>
    <row r="31" spans="1:8" x14ac:dyDescent="0.25">
      <c r="A31" s="11"/>
      <c r="B31" s="11"/>
      <c r="C31" s="11"/>
      <c r="D31" s="12" t="str">
        <f t="shared" si="0"/>
        <v/>
      </c>
      <c r="E31" s="11" t="s">
        <v>74</v>
      </c>
      <c r="F31" s="12" t="str">
        <f t="shared" si="1"/>
        <v/>
      </c>
      <c r="G31" s="3"/>
      <c r="H31" s="11"/>
    </row>
    <row r="32" spans="1:8" x14ac:dyDescent="0.25">
      <c r="A32" s="11"/>
      <c r="B32" s="11"/>
      <c r="C32" s="11"/>
      <c r="D32" s="12" t="str">
        <f t="shared" si="0"/>
        <v/>
      </c>
      <c r="E32" s="11" t="s">
        <v>74</v>
      </c>
      <c r="F32" s="12" t="str">
        <f t="shared" si="1"/>
        <v/>
      </c>
      <c r="G32" s="3"/>
      <c r="H32" s="11"/>
    </row>
    <row r="33" spans="1:8" x14ac:dyDescent="0.25">
      <c r="A33" s="11"/>
      <c r="B33" s="11"/>
      <c r="C33" s="11"/>
      <c r="D33" s="12" t="str">
        <f t="shared" si="0"/>
        <v/>
      </c>
      <c r="E33" s="11" t="s">
        <v>74</v>
      </c>
      <c r="F33" s="12" t="str">
        <f t="shared" si="1"/>
        <v/>
      </c>
      <c r="G33" s="3"/>
      <c r="H33" s="11"/>
    </row>
    <row r="34" spans="1:8" x14ac:dyDescent="0.25">
      <c r="A34" s="11"/>
      <c r="B34" s="11"/>
      <c r="C34" s="11"/>
      <c r="D34" s="12" t="str">
        <f t="shared" si="0"/>
        <v/>
      </c>
      <c r="E34" s="11" t="s">
        <v>74</v>
      </c>
      <c r="F34" s="12" t="str">
        <f t="shared" si="1"/>
        <v/>
      </c>
      <c r="G34" s="3"/>
      <c r="H34" s="11"/>
    </row>
    <row r="35" spans="1:8" x14ac:dyDescent="0.25">
      <c r="A35" s="11"/>
      <c r="B35" s="11"/>
      <c r="C35" s="11"/>
      <c r="D35" s="12" t="str">
        <f t="shared" si="0"/>
        <v/>
      </c>
      <c r="E35" s="11" t="s">
        <v>74</v>
      </c>
      <c r="F35" s="12" t="str">
        <f t="shared" si="1"/>
        <v/>
      </c>
      <c r="G35" s="3"/>
      <c r="H35" s="11"/>
    </row>
    <row r="37" spans="1:8" x14ac:dyDescent="0.25">
      <c r="A37" s="15" t="s">
        <v>75</v>
      </c>
      <c r="B37" s="14" t="str">
        <f>IFERROR(LOOKUP(2,1/(F6:F35&lt;&gt;""),F6:F35),"")</f>
        <v/>
      </c>
    </row>
  </sheetData>
  <mergeCells count="3">
    <mergeCell ref="A3:H3"/>
    <mergeCell ref="A2:H2"/>
    <mergeCell ref="A1:H1"/>
  </mergeCells>
  <phoneticPr fontId="9"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8"/>
  <sheetViews>
    <sheetView showGridLines="0" workbookViewId="0">
      <pane ySplit="4" topLeftCell="A5" activePane="bottomLeft" state="frozen"/>
      <selection pane="bottomLeft"/>
    </sheetView>
  </sheetViews>
  <sheetFormatPr defaultRowHeight="14.4" x14ac:dyDescent="0.25"/>
  <cols>
    <col min="1" max="1" width="14" customWidth="1"/>
    <col min="2" max="3" width="16" customWidth="1"/>
    <col min="4" max="5" width="14" customWidth="1"/>
    <col min="6" max="6" width="12" customWidth="1"/>
    <col min="7" max="7" width="36" customWidth="1"/>
    <col min="8" max="8" width="12" customWidth="1"/>
  </cols>
  <sheetData>
    <row r="1" spans="1:8" x14ac:dyDescent="0.25">
      <c r="A1" s="25" t="s">
        <v>76</v>
      </c>
      <c r="B1" s="22"/>
      <c r="C1" s="22"/>
      <c r="D1" s="22"/>
      <c r="E1" s="22"/>
      <c r="F1" s="22"/>
      <c r="G1" s="22"/>
      <c r="H1" s="22"/>
    </row>
    <row r="2" spans="1:8" x14ac:dyDescent="0.25">
      <c r="A2" s="24" t="s">
        <v>77</v>
      </c>
      <c r="B2" s="22"/>
      <c r="C2" s="22"/>
      <c r="D2" s="22"/>
      <c r="E2" s="22"/>
      <c r="F2" s="22"/>
      <c r="G2" s="22"/>
      <c r="H2" s="22"/>
    </row>
    <row r="5" spans="1:8" ht="28.8" x14ac:dyDescent="0.25">
      <c r="A5" s="1" t="s">
        <v>68</v>
      </c>
      <c r="B5" s="1" t="s">
        <v>78</v>
      </c>
      <c r="C5" s="1" t="s">
        <v>79</v>
      </c>
      <c r="D5" s="1" t="s">
        <v>80</v>
      </c>
      <c r="E5" s="1" t="s">
        <v>81</v>
      </c>
      <c r="F5" s="1" t="s">
        <v>49</v>
      </c>
      <c r="G5" s="1" t="s">
        <v>72</v>
      </c>
      <c r="H5" s="1" t="s">
        <v>73</v>
      </c>
    </row>
    <row r="6" spans="1:8" x14ac:dyDescent="0.25">
      <c r="A6" s="11"/>
      <c r="B6" s="11"/>
      <c r="C6" s="11"/>
      <c r="D6" s="12" t="str">
        <f t="shared" ref="D6:D35" si="0">IF(OR(B6="",C6=""),"",B6-C6)</f>
        <v/>
      </c>
      <c r="E6" s="11" t="s">
        <v>82</v>
      </c>
      <c r="F6" s="12" t="str">
        <f t="shared" ref="F6:F35" si="1">IF(B6="","",IF(B6&lt;=E6,1,IF(B6&lt;=E6+300,0,-1)))</f>
        <v/>
      </c>
      <c r="G6" s="3"/>
      <c r="H6" s="11"/>
    </row>
    <row r="7" spans="1:8" x14ac:dyDescent="0.25">
      <c r="A7" s="11"/>
      <c r="B7" s="11"/>
      <c r="C7" s="11"/>
      <c r="D7" s="12" t="str">
        <f t="shared" si="0"/>
        <v/>
      </c>
      <c r="E7" s="11" t="s">
        <v>82</v>
      </c>
      <c r="F7" s="12" t="str">
        <f t="shared" si="1"/>
        <v/>
      </c>
      <c r="G7" s="3"/>
      <c r="H7" s="11"/>
    </row>
    <row r="8" spans="1:8" x14ac:dyDescent="0.25">
      <c r="A8" s="11"/>
      <c r="B8" s="11"/>
      <c r="C8" s="11"/>
      <c r="D8" s="12" t="str">
        <f t="shared" si="0"/>
        <v/>
      </c>
      <c r="E8" s="11" t="s">
        <v>82</v>
      </c>
      <c r="F8" s="12" t="str">
        <f t="shared" si="1"/>
        <v/>
      </c>
      <c r="G8" s="3"/>
      <c r="H8" s="11"/>
    </row>
    <row r="9" spans="1:8" x14ac:dyDescent="0.25">
      <c r="A9" s="11"/>
      <c r="B9" s="11"/>
      <c r="C9" s="11"/>
      <c r="D9" s="12" t="str">
        <f t="shared" si="0"/>
        <v/>
      </c>
      <c r="E9" s="11" t="s">
        <v>82</v>
      </c>
      <c r="F9" s="12" t="str">
        <f t="shared" si="1"/>
        <v/>
      </c>
      <c r="G9" s="3"/>
      <c r="H9" s="11"/>
    </row>
    <row r="10" spans="1:8" x14ac:dyDescent="0.25">
      <c r="A10" s="11"/>
      <c r="B10" s="11"/>
      <c r="C10" s="11"/>
      <c r="D10" s="12" t="str">
        <f t="shared" si="0"/>
        <v/>
      </c>
      <c r="E10" s="11" t="s">
        <v>82</v>
      </c>
      <c r="F10" s="12" t="str">
        <f t="shared" si="1"/>
        <v/>
      </c>
      <c r="G10" s="3"/>
      <c r="H10" s="11"/>
    </row>
    <row r="11" spans="1:8" x14ac:dyDescent="0.25">
      <c r="A11" s="11"/>
      <c r="B11" s="11"/>
      <c r="C11" s="11"/>
      <c r="D11" s="12" t="str">
        <f t="shared" si="0"/>
        <v/>
      </c>
      <c r="E11" s="11" t="s">
        <v>82</v>
      </c>
      <c r="F11" s="12" t="str">
        <f t="shared" si="1"/>
        <v/>
      </c>
      <c r="G11" s="3"/>
      <c r="H11" s="11"/>
    </row>
    <row r="12" spans="1:8" x14ac:dyDescent="0.25">
      <c r="A12" s="11"/>
      <c r="B12" s="11"/>
      <c r="C12" s="11"/>
      <c r="D12" s="12" t="str">
        <f t="shared" si="0"/>
        <v/>
      </c>
      <c r="E12" s="11" t="s">
        <v>82</v>
      </c>
      <c r="F12" s="12" t="str">
        <f t="shared" si="1"/>
        <v/>
      </c>
      <c r="G12" s="3"/>
      <c r="H12" s="11"/>
    </row>
    <row r="13" spans="1:8" x14ac:dyDescent="0.25">
      <c r="A13" s="11"/>
      <c r="B13" s="11"/>
      <c r="C13" s="11"/>
      <c r="D13" s="12" t="str">
        <f t="shared" si="0"/>
        <v/>
      </c>
      <c r="E13" s="11" t="s">
        <v>82</v>
      </c>
      <c r="F13" s="12" t="str">
        <f t="shared" si="1"/>
        <v/>
      </c>
      <c r="G13" s="3"/>
      <c r="H13" s="11"/>
    </row>
    <row r="14" spans="1:8" x14ac:dyDescent="0.25">
      <c r="A14" s="11"/>
      <c r="B14" s="11"/>
      <c r="C14" s="11"/>
      <c r="D14" s="12" t="str">
        <f t="shared" si="0"/>
        <v/>
      </c>
      <c r="E14" s="11" t="s">
        <v>82</v>
      </c>
      <c r="F14" s="12" t="str">
        <f t="shared" si="1"/>
        <v/>
      </c>
      <c r="G14" s="3"/>
      <c r="H14" s="11"/>
    </row>
    <row r="15" spans="1:8" x14ac:dyDescent="0.25">
      <c r="A15" s="11"/>
      <c r="B15" s="11"/>
      <c r="C15" s="11"/>
      <c r="D15" s="12" t="str">
        <f t="shared" si="0"/>
        <v/>
      </c>
      <c r="E15" s="11" t="s">
        <v>82</v>
      </c>
      <c r="F15" s="12" t="str">
        <f t="shared" si="1"/>
        <v/>
      </c>
      <c r="G15" s="3"/>
      <c r="H15" s="11"/>
    </row>
    <row r="16" spans="1:8" x14ac:dyDescent="0.25">
      <c r="A16" s="11"/>
      <c r="B16" s="11"/>
      <c r="C16" s="11"/>
      <c r="D16" s="12" t="str">
        <f t="shared" si="0"/>
        <v/>
      </c>
      <c r="E16" s="11" t="s">
        <v>82</v>
      </c>
      <c r="F16" s="12" t="str">
        <f t="shared" si="1"/>
        <v/>
      </c>
      <c r="G16" s="3"/>
      <c r="H16" s="11"/>
    </row>
    <row r="17" spans="1:8" x14ac:dyDescent="0.25">
      <c r="A17" s="11"/>
      <c r="B17" s="11"/>
      <c r="C17" s="11"/>
      <c r="D17" s="12" t="str">
        <f t="shared" si="0"/>
        <v/>
      </c>
      <c r="E17" s="11" t="s">
        <v>82</v>
      </c>
      <c r="F17" s="12" t="str">
        <f t="shared" si="1"/>
        <v/>
      </c>
      <c r="G17" s="3"/>
      <c r="H17" s="11"/>
    </row>
    <row r="18" spans="1:8" x14ac:dyDescent="0.25">
      <c r="A18" s="11"/>
      <c r="B18" s="11"/>
      <c r="C18" s="11"/>
      <c r="D18" s="12" t="str">
        <f t="shared" si="0"/>
        <v/>
      </c>
      <c r="E18" s="11" t="s">
        <v>82</v>
      </c>
      <c r="F18" s="12" t="str">
        <f t="shared" si="1"/>
        <v/>
      </c>
      <c r="G18" s="3"/>
      <c r="H18" s="11"/>
    </row>
    <row r="19" spans="1:8" x14ac:dyDescent="0.25">
      <c r="A19" s="11"/>
      <c r="B19" s="11"/>
      <c r="C19" s="11"/>
      <c r="D19" s="12" t="str">
        <f t="shared" si="0"/>
        <v/>
      </c>
      <c r="E19" s="11" t="s">
        <v>82</v>
      </c>
      <c r="F19" s="12" t="str">
        <f t="shared" si="1"/>
        <v/>
      </c>
      <c r="G19" s="3"/>
      <c r="H19" s="11"/>
    </row>
    <row r="20" spans="1:8" x14ac:dyDescent="0.25">
      <c r="A20" s="11"/>
      <c r="B20" s="11"/>
      <c r="C20" s="11"/>
      <c r="D20" s="12" t="str">
        <f t="shared" si="0"/>
        <v/>
      </c>
      <c r="E20" s="11" t="s">
        <v>82</v>
      </c>
      <c r="F20" s="12" t="str">
        <f t="shared" si="1"/>
        <v/>
      </c>
      <c r="G20" s="3"/>
      <c r="H20" s="11"/>
    </row>
    <row r="21" spans="1:8" x14ac:dyDescent="0.25">
      <c r="A21" s="11"/>
      <c r="B21" s="11"/>
      <c r="C21" s="11"/>
      <c r="D21" s="12" t="str">
        <f t="shared" si="0"/>
        <v/>
      </c>
      <c r="E21" s="11" t="s">
        <v>82</v>
      </c>
      <c r="F21" s="12" t="str">
        <f t="shared" si="1"/>
        <v/>
      </c>
      <c r="G21" s="3"/>
      <c r="H21" s="11"/>
    </row>
    <row r="22" spans="1:8" x14ac:dyDescent="0.25">
      <c r="A22" s="11"/>
      <c r="B22" s="11"/>
      <c r="C22" s="11"/>
      <c r="D22" s="12" t="str">
        <f t="shared" si="0"/>
        <v/>
      </c>
      <c r="E22" s="11" t="s">
        <v>82</v>
      </c>
      <c r="F22" s="12" t="str">
        <f t="shared" si="1"/>
        <v/>
      </c>
      <c r="G22" s="3"/>
      <c r="H22" s="11"/>
    </row>
    <row r="23" spans="1:8" x14ac:dyDescent="0.25">
      <c r="A23" s="11"/>
      <c r="B23" s="11"/>
      <c r="C23" s="11"/>
      <c r="D23" s="12" t="str">
        <f t="shared" si="0"/>
        <v/>
      </c>
      <c r="E23" s="11" t="s">
        <v>82</v>
      </c>
      <c r="F23" s="12" t="str">
        <f t="shared" si="1"/>
        <v/>
      </c>
      <c r="G23" s="3"/>
      <c r="H23" s="11"/>
    </row>
    <row r="24" spans="1:8" x14ac:dyDescent="0.25">
      <c r="A24" s="11"/>
      <c r="B24" s="11"/>
      <c r="C24" s="11"/>
      <c r="D24" s="12" t="str">
        <f t="shared" si="0"/>
        <v/>
      </c>
      <c r="E24" s="11" t="s">
        <v>82</v>
      </c>
      <c r="F24" s="12" t="str">
        <f t="shared" si="1"/>
        <v/>
      </c>
      <c r="G24" s="3"/>
      <c r="H24" s="11"/>
    </row>
    <row r="25" spans="1:8" x14ac:dyDescent="0.25">
      <c r="A25" s="11"/>
      <c r="B25" s="11"/>
      <c r="C25" s="11"/>
      <c r="D25" s="12" t="str">
        <f t="shared" si="0"/>
        <v/>
      </c>
      <c r="E25" s="11" t="s">
        <v>82</v>
      </c>
      <c r="F25" s="12" t="str">
        <f t="shared" si="1"/>
        <v/>
      </c>
      <c r="G25" s="3"/>
      <c r="H25" s="11"/>
    </row>
    <row r="26" spans="1:8" x14ac:dyDescent="0.25">
      <c r="A26" s="11"/>
      <c r="B26" s="11"/>
      <c r="C26" s="11"/>
      <c r="D26" s="12" t="str">
        <f t="shared" si="0"/>
        <v/>
      </c>
      <c r="E26" s="11" t="s">
        <v>82</v>
      </c>
      <c r="F26" s="12" t="str">
        <f t="shared" si="1"/>
        <v/>
      </c>
      <c r="G26" s="3"/>
      <c r="H26" s="11"/>
    </row>
    <row r="27" spans="1:8" x14ac:dyDescent="0.25">
      <c r="A27" s="11"/>
      <c r="B27" s="11"/>
      <c r="C27" s="11"/>
      <c r="D27" s="12" t="str">
        <f t="shared" si="0"/>
        <v/>
      </c>
      <c r="E27" s="11" t="s">
        <v>82</v>
      </c>
      <c r="F27" s="12" t="str">
        <f t="shared" si="1"/>
        <v/>
      </c>
      <c r="G27" s="3"/>
      <c r="H27" s="11"/>
    </row>
    <row r="28" spans="1:8" x14ac:dyDescent="0.25">
      <c r="A28" s="11"/>
      <c r="B28" s="11"/>
      <c r="C28" s="11"/>
      <c r="D28" s="12" t="str">
        <f t="shared" si="0"/>
        <v/>
      </c>
      <c r="E28" s="11" t="s">
        <v>82</v>
      </c>
      <c r="F28" s="12" t="str">
        <f t="shared" si="1"/>
        <v/>
      </c>
      <c r="G28" s="3"/>
      <c r="H28" s="11"/>
    </row>
    <row r="29" spans="1:8" x14ac:dyDescent="0.25">
      <c r="A29" s="11"/>
      <c r="B29" s="11"/>
      <c r="C29" s="11"/>
      <c r="D29" s="12" t="str">
        <f t="shared" si="0"/>
        <v/>
      </c>
      <c r="E29" s="11" t="s">
        <v>82</v>
      </c>
      <c r="F29" s="12" t="str">
        <f t="shared" si="1"/>
        <v/>
      </c>
      <c r="G29" s="3"/>
      <c r="H29" s="11"/>
    </row>
    <row r="30" spans="1:8" x14ac:dyDescent="0.25">
      <c r="A30" s="11"/>
      <c r="B30" s="11"/>
      <c r="C30" s="11"/>
      <c r="D30" s="12" t="str">
        <f t="shared" si="0"/>
        <v/>
      </c>
      <c r="E30" s="11" t="s">
        <v>82</v>
      </c>
      <c r="F30" s="12" t="str">
        <f t="shared" si="1"/>
        <v/>
      </c>
      <c r="G30" s="3"/>
      <c r="H30" s="11"/>
    </row>
    <row r="31" spans="1:8" x14ac:dyDescent="0.25">
      <c r="A31" s="11"/>
      <c r="B31" s="11"/>
      <c r="C31" s="11"/>
      <c r="D31" s="12" t="str">
        <f t="shared" si="0"/>
        <v/>
      </c>
      <c r="E31" s="11" t="s">
        <v>82</v>
      </c>
      <c r="F31" s="12" t="str">
        <f t="shared" si="1"/>
        <v/>
      </c>
      <c r="G31" s="3"/>
      <c r="H31" s="11"/>
    </row>
    <row r="32" spans="1:8" x14ac:dyDescent="0.25">
      <c r="A32" s="11"/>
      <c r="B32" s="11"/>
      <c r="C32" s="11"/>
      <c r="D32" s="12" t="str">
        <f t="shared" si="0"/>
        <v/>
      </c>
      <c r="E32" s="11" t="s">
        <v>82</v>
      </c>
      <c r="F32" s="12" t="str">
        <f t="shared" si="1"/>
        <v/>
      </c>
      <c r="G32" s="3"/>
      <c r="H32" s="11"/>
    </row>
    <row r="33" spans="1:8" x14ac:dyDescent="0.25">
      <c r="A33" s="11"/>
      <c r="B33" s="11"/>
      <c r="C33" s="11"/>
      <c r="D33" s="12" t="str">
        <f t="shared" si="0"/>
        <v/>
      </c>
      <c r="E33" s="11" t="s">
        <v>82</v>
      </c>
      <c r="F33" s="12" t="str">
        <f t="shared" si="1"/>
        <v/>
      </c>
      <c r="G33" s="3"/>
      <c r="H33" s="11"/>
    </row>
    <row r="34" spans="1:8" x14ac:dyDescent="0.25">
      <c r="A34" s="11"/>
      <c r="B34" s="11"/>
      <c r="C34" s="11"/>
      <c r="D34" s="12" t="str">
        <f t="shared" si="0"/>
        <v/>
      </c>
      <c r="E34" s="11" t="s">
        <v>82</v>
      </c>
      <c r="F34" s="12" t="str">
        <f t="shared" si="1"/>
        <v/>
      </c>
      <c r="G34" s="3"/>
      <c r="H34" s="11"/>
    </row>
    <row r="35" spans="1:8" x14ac:dyDescent="0.25">
      <c r="A35" s="11"/>
      <c r="B35" s="11"/>
      <c r="C35" s="11"/>
      <c r="D35" s="12" t="str">
        <f t="shared" si="0"/>
        <v/>
      </c>
      <c r="E35" s="11" t="s">
        <v>82</v>
      </c>
      <c r="F35" s="12" t="str">
        <f t="shared" si="1"/>
        <v/>
      </c>
      <c r="G35" s="3"/>
      <c r="H35" s="11"/>
    </row>
    <row r="37" spans="1:8" x14ac:dyDescent="0.25">
      <c r="A37" s="23" t="s">
        <v>83</v>
      </c>
      <c r="B37" s="22"/>
      <c r="C37" s="22"/>
      <c r="D37" s="22"/>
      <c r="E37" s="22"/>
      <c r="F37" s="22"/>
      <c r="G37" s="22"/>
      <c r="H37" s="22"/>
    </row>
    <row r="38" spans="1:8" ht="43.2" x14ac:dyDescent="0.25">
      <c r="A38" s="1" t="s">
        <v>68</v>
      </c>
      <c r="B38" s="1" t="s">
        <v>84</v>
      </c>
      <c r="C38" s="1" t="s">
        <v>85</v>
      </c>
      <c r="D38" s="1" t="s">
        <v>86</v>
      </c>
      <c r="E38" s="1" t="s">
        <v>87</v>
      </c>
      <c r="F38" s="1" t="s">
        <v>49</v>
      </c>
      <c r="G38" s="1" t="s">
        <v>72</v>
      </c>
      <c r="H38" s="1" t="s">
        <v>73</v>
      </c>
    </row>
    <row r="39" spans="1:8" x14ac:dyDescent="0.25">
      <c r="A39" s="11"/>
      <c r="B39" s="11"/>
      <c r="C39" s="11"/>
      <c r="D39" s="12" t="str">
        <f t="shared" ref="D39:D58" si="2">IF(OR(B39="",C39=""),"",B39-C39)</f>
        <v/>
      </c>
      <c r="E39" s="11" t="s">
        <v>88</v>
      </c>
      <c r="F39" s="12" t="str">
        <f t="shared" ref="F39:F58" si="3">IF(B39="","",IF(B39&lt;=E39,1,0))</f>
        <v/>
      </c>
      <c r="G39" s="3"/>
      <c r="H39" s="11"/>
    </row>
    <row r="40" spans="1:8" x14ac:dyDescent="0.25">
      <c r="A40" s="11"/>
      <c r="B40" s="11"/>
      <c r="C40" s="11"/>
      <c r="D40" s="12" t="str">
        <f t="shared" si="2"/>
        <v/>
      </c>
      <c r="E40" s="11" t="s">
        <v>88</v>
      </c>
      <c r="F40" s="12" t="str">
        <f t="shared" si="3"/>
        <v/>
      </c>
      <c r="G40" s="3"/>
      <c r="H40" s="11"/>
    </row>
    <row r="41" spans="1:8" x14ac:dyDescent="0.25">
      <c r="A41" s="11"/>
      <c r="B41" s="11"/>
      <c r="C41" s="11"/>
      <c r="D41" s="12" t="str">
        <f t="shared" si="2"/>
        <v/>
      </c>
      <c r="E41" s="11" t="s">
        <v>88</v>
      </c>
      <c r="F41" s="12" t="str">
        <f t="shared" si="3"/>
        <v/>
      </c>
      <c r="G41" s="3"/>
      <c r="H41" s="11"/>
    </row>
    <row r="42" spans="1:8" x14ac:dyDescent="0.25">
      <c r="A42" s="11"/>
      <c r="B42" s="11"/>
      <c r="C42" s="11"/>
      <c r="D42" s="12" t="str">
        <f t="shared" si="2"/>
        <v/>
      </c>
      <c r="E42" s="11" t="s">
        <v>88</v>
      </c>
      <c r="F42" s="12" t="str">
        <f t="shared" si="3"/>
        <v/>
      </c>
      <c r="G42" s="3"/>
      <c r="H42" s="11"/>
    </row>
    <row r="43" spans="1:8" x14ac:dyDescent="0.25">
      <c r="A43" s="11"/>
      <c r="B43" s="11"/>
      <c r="C43" s="11"/>
      <c r="D43" s="12" t="str">
        <f t="shared" si="2"/>
        <v/>
      </c>
      <c r="E43" s="11" t="s">
        <v>88</v>
      </c>
      <c r="F43" s="12" t="str">
        <f t="shared" si="3"/>
        <v/>
      </c>
      <c r="G43" s="3"/>
      <c r="H43" s="11"/>
    </row>
    <row r="44" spans="1:8" x14ac:dyDescent="0.25">
      <c r="A44" s="11"/>
      <c r="B44" s="11"/>
      <c r="C44" s="11"/>
      <c r="D44" s="12" t="str">
        <f t="shared" si="2"/>
        <v/>
      </c>
      <c r="E44" s="11" t="s">
        <v>88</v>
      </c>
      <c r="F44" s="12" t="str">
        <f t="shared" si="3"/>
        <v/>
      </c>
      <c r="G44" s="3"/>
      <c r="H44" s="11"/>
    </row>
    <row r="45" spans="1:8" x14ac:dyDescent="0.25">
      <c r="A45" s="11"/>
      <c r="B45" s="11"/>
      <c r="C45" s="11"/>
      <c r="D45" s="12" t="str">
        <f t="shared" si="2"/>
        <v/>
      </c>
      <c r="E45" s="11" t="s">
        <v>88</v>
      </c>
      <c r="F45" s="12" t="str">
        <f t="shared" si="3"/>
        <v/>
      </c>
      <c r="G45" s="3"/>
      <c r="H45" s="11"/>
    </row>
    <row r="46" spans="1:8" x14ac:dyDescent="0.25">
      <c r="A46" s="11"/>
      <c r="B46" s="11"/>
      <c r="C46" s="11"/>
      <c r="D46" s="12" t="str">
        <f t="shared" si="2"/>
        <v/>
      </c>
      <c r="E46" s="11" t="s">
        <v>88</v>
      </c>
      <c r="F46" s="12" t="str">
        <f t="shared" si="3"/>
        <v/>
      </c>
      <c r="G46" s="3"/>
      <c r="H46" s="11"/>
    </row>
    <row r="47" spans="1:8" x14ac:dyDescent="0.25">
      <c r="A47" s="11"/>
      <c r="B47" s="11"/>
      <c r="C47" s="11"/>
      <c r="D47" s="12" t="str">
        <f t="shared" si="2"/>
        <v/>
      </c>
      <c r="E47" s="11" t="s">
        <v>88</v>
      </c>
      <c r="F47" s="12" t="str">
        <f t="shared" si="3"/>
        <v/>
      </c>
      <c r="G47" s="3"/>
      <c r="H47" s="11"/>
    </row>
    <row r="48" spans="1:8" x14ac:dyDescent="0.25">
      <c r="A48" s="11"/>
      <c r="B48" s="11"/>
      <c r="C48" s="11"/>
      <c r="D48" s="12" t="str">
        <f t="shared" si="2"/>
        <v/>
      </c>
      <c r="E48" s="11" t="s">
        <v>88</v>
      </c>
      <c r="F48" s="12" t="str">
        <f t="shared" si="3"/>
        <v/>
      </c>
      <c r="G48" s="3"/>
      <c r="H48" s="11"/>
    </row>
    <row r="49" spans="1:8" x14ac:dyDescent="0.25">
      <c r="A49" s="11"/>
      <c r="B49" s="11"/>
      <c r="C49" s="11"/>
      <c r="D49" s="12" t="str">
        <f t="shared" si="2"/>
        <v/>
      </c>
      <c r="E49" s="11" t="s">
        <v>88</v>
      </c>
      <c r="F49" s="12" t="str">
        <f t="shared" si="3"/>
        <v/>
      </c>
      <c r="G49" s="3"/>
      <c r="H49" s="11"/>
    </row>
    <row r="50" spans="1:8" x14ac:dyDescent="0.25">
      <c r="A50" s="11"/>
      <c r="B50" s="11"/>
      <c r="C50" s="11"/>
      <c r="D50" s="12" t="str">
        <f t="shared" si="2"/>
        <v/>
      </c>
      <c r="E50" s="11" t="s">
        <v>88</v>
      </c>
      <c r="F50" s="12" t="str">
        <f t="shared" si="3"/>
        <v/>
      </c>
      <c r="G50" s="3"/>
      <c r="H50" s="11"/>
    </row>
    <row r="51" spans="1:8" x14ac:dyDescent="0.25">
      <c r="A51" s="11"/>
      <c r="B51" s="11"/>
      <c r="C51" s="11"/>
      <c r="D51" s="12" t="str">
        <f t="shared" si="2"/>
        <v/>
      </c>
      <c r="E51" s="11" t="s">
        <v>88</v>
      </c>
      <c r="F51" s="12" t="str">
        <f t="shared" si="3"/>
        <v/>
      </c>
      <c r="G51" s="3"/>
      <c r="H51" s="11"/>
    </row>
    <row r="52" spans="1:8" x14ac:dyDescent="0.25">
      <c r="A52" s="11"/>
      <c r="B52" s="11"/>
      <c r="C52" s="11"/>
      <c r="D52" s="12" t="str">
        <f t="shared" si="2"/>
        <v/>
      </c>
      <c r="E52" s="11" t="s">
        <v>88</v>
      </c>
      <c r="F52" s="12" t="str">
        <f t="shared" si="3"/>
        <v/>
      </c>
      <c r="G52" s="3"/>
      <c r="H52" s="11"/>
    </row>
    <row r="53" spans="1:8" x14ac:dyDescent="0.25">
      <c r="A53" s="11"/>
      <c r="B53" s="11"/>
      <c r="C53" s="11"/>
      <c r="D53" s="12" t="str">
        <f t="shared" si="2"/>
        <v/>
      </c>
      <c r="E53" s="11" t="s">
        <v>88</v>
      </c>
      <c r="F53" s="12" t="str">
        <f t="shared" si="3"/>
        <v/>
      </c>
      <c r="G53" s="3"/>
      <c r="H53" s="11"/>
    </row>
    <row r="54" spans="1:8" x14ac:dyDescent="0.25">
      <c r="A54" s="11"/>
      <c r="B54" s="11"/>
      <c r="C54" s="11"/>
      <c r="D54" s="12" t="str">
        <f t="shared" si="2"/>
        <v/>
      </c>
      <c r="E54" s="11" t="s">
        <v>88</v>
      </c>
      <c r="F54" s="12" t="str">
        <f t="shared" si="3"/>
        <v/>
      </c>
      <c r="G54" s="3"/>
      <c r="H54" s="11"/>
    </row>
    <row r="55" spans="1:8" x14ac:dyDescent="0.25">
      <c r="A55" s="11"/>
      <c r="B55" s="11"/>
      <c r="C55" s="11"/>
      <c r="D55" s="12" t="str">
        <f t="shared" si="2"/>
        <v/>
      </c>
      <c r="E55" s="11" t="s">
        <v>88</v>
      </c>
      <c r="F55" s="12" t="str">
        <f t="shared" si="3"/>
        <v/>
      </c>
      <c r="G55" s="3"/>
      <c r="H55" s="11"/>
    </row>
    <row r="56" spans="1:8" x14ac:dyDescent="0.25">
      <c r="A56" s="11"/>
      <c r="B56" s="11"/>
      <c r="C56" s="11"/>
      <c r="D56" s="12" t="str">
        <f t="shared" si="2"/>
        <v/>
      </c>
      <c r="E56" s="11" t="s">
        <v>88</v>
      </c>
      <c r="F56" s="12" t="str">
        <f t="shared" si="3"/>
        <v/>
      </c>
      <c r="G56" s="3"/>
      <c r="H56" s="11"/>
    </row>
    <row r="57" spans="1:8" x14ac:dyDescent="0.25">
      <c r="A57" s="11"/>
      <c r="B57" s="11"/>
      <c r="C57" s="11"/>
      <c r="D57" s="12" t="str">
        <f t="shared" si="2"/>
        <v/>
      </c>
      <c r="E57" s="11" t="s">
        <v>88</v>
      </c>
      <c r="F57" s="12" t="str">
        <f t="shared" si="3"/>
        <v/>
      </c>
      <c r="G57" s="3"/>
      <c r="H57" s="11"/>
    </row>
    <row r="58" spans="1:8" x14ac:dyDescent="0.25">
      <c r="A58" s="11"/>
      <c r="B58" s="11"/>
      <c r="C58" s="11"/>
      <c r="D58" s="12" t="str">
        <f t="shared" si="2"/>
        <v/>
      </c>
      <c r="E58" s="11" t="s">
        <v>88</v>
      </c>
      <c r="F58" s="12" t="str">
        <f t="shared" si="3"/>
        <v/>
      </c>
      <c r="G58" s="3"/>
      <c r="H58" s="11"/>
    </row>
  </sheetData>
  <mergeCells count="3">
    <mergeCell ref="A37:H37"/>
    <mergeCell ref="A2:H2"/>
    <mergeCell ref="A1:H1"/>
  </mergeCells>
  <phoneticPr fontId="9"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5"/>
  <sheetViews>
    <sheetView showGridLines="0" workbookViewId="0">
      <pane ySplit="5" topLeftCell="A6" activePane="bottomLeft" state="frozen"/>
      <selection pane="bottomLeft" sqref="A1:H1"/>
    </sheetView>
  </sheetViews>
  <sheetFormatPr defaultRowHeight="14.4" x14ac:dyDescent="0.25"/>
  <cols>
    <col min="1" max="1" width="10" customWidth="1"/>
    <col min="2" max="2" width="18" customWidth="1"/>
    <col min="3" max="7" width="14" customWidth="1"/>
    <col min="8" max="8" width="18" customWidth="1"/>
    <col min="9" max="9" width="26" customWidth="1"/>
  </cols>
  <sheetData>
    <row r="1" spans="1:9" x14ac:dyDescent="0.25">
      <c r="A1" s="25" t="s">
        <v>89</v>
      </c>
      <c r="B1" s="22"/>
      <c r="C1" s="22"/>
      <c r="D1" s="22"/>
      <c r="E1" s="22"/>
      <c r="F1" s="22"/>
      <c r="G1" s="22"/>
      <c r="H1" s="22"/>
    </row>
    <row r="2" spans="1:9" x14ac:dyDescent="0.25">
      <c r="A2" s="24" t="s">
        <v>90</v>
      </c>
      <c r="B2" s="22"/>
      <c r="C2" s="22"/>
      <c r="D2" s="22"/>
      <c r="E2" s="22"/>
      <c r="F2" s="22"/>
      <c r="G2" s="22"/>
      <c r="H2" s="22"/>
    </row>
    <row r="3" spans="1:9" x14ac:dyDescent="0.25">
      <c r="A3" s="26" t="s">
        <v>91</v>
      </c>
      <c r="B3" s="22"/>
      <c r="C3" s="22"/>
      <c r="D3" s="22"/>
      <c r="E3" s="22"/>
      <c r="F3" s="22"/>
      <c r="G3" s="22"/>
      <c r="H3" s="22"/>
      <c r="I3" s="22"/>
    </row>
    <row r="5" spans="1:9" ht="28.8" x14ac:dyDescent="0.25">
      <c r="A5" s="1" t="s">
        <v>92</v>
      </c>
      <c r="B5" s="1" t="s">
        <v>93</v>
      </c>
      <c r="C5" s="1" t="s">
        <v>94</v>
      </c>
      <c r="D5" s="1" t="s">
        <v>95</v>
      </c>
      <c r="E5" s="1" t="s">
        <v>96</v>
      </c>
      <c r="F5" s="1" t="s">
        <v>97</v>
      </c>
      <c r="G5" s="1" t="s">
        <v>98</v>
      </c>
      <c r="H5" s="1" t="s">
        <v>99</v>
      </c>
      <c r="I5" s="1" t="s">
        <v>100</v>
      </c>
    </row>
    <row r="6" spans="1:9" x14ac:dyDescent="0.25">
      <c r="A6" s="5" t="s">
        <v>101</v>
      </c>
      <c r="B6" s="3" t="s">
        <v>102</v>
      </c>
      <c r="C6" s="16"/>
      <c r="D6" s="16"/>
      <c r="E6" s="2" t="str">
        <f t="shared" ref="E6:E12" si="0">IF(OR(C6="",D6=""),"",C6-D6)</f>
        <v/>
      </c>
      <c r="F6" s="16"/>
      <c r="G6" s="16"/>
      <c r="H6" s="16"/>
      <c r="I6" s="16"/>
    </row>
    <row r="7" spans="1:9" x14ac:dyDescent="0.25">
      <c r="A7" s="5" t="s">
        <v>103</v>
      </c>
      <c r="B7" s="3" t="s">
        <v>104</v>
      </c>
      <c r="C7" s="16"/>
      <c r="D7" s="16"/>
      <c r="E7" s="2" t="str">
        <f t="shared" si="0"/>
        <v/>
      </c>
      <c r="F7" s="16"/>
      <c r="G7" s="16"/>
      <c r="H7" s="16"/>
      <c r="I7" s="16"/>
    </row>
    <row r="8" spans="1:9" x14ac:dyDescent="0.25">
      <c r="A8" s="5" t="s">
        <v>105</v>
      </c>
      <c r="B8" s="3" t="s">
        <v>106</v>
      </c>
      <c r="C8" s="16"/>
      <c r="D8" s="16"/>
      <c r="E8" s="2" t="str">
        <f t="shared" si="0"/>
        <v/>
      </c>
      <c r="F8" s="16"/>
      <c r="G8" s="16"/>
      <c r="H8" s="16"/>
      <c r="I8" s="16"/>
    </row>
    <row r="9" spans="1:9" x14ac:dyDescent="0.25">
      <c r="A9" s="5" t="s">
        <v>107</v>
      </c>
      <c r="B9" s="3" t="s">
        <v>108</v>
      </c>
      <c r="C9" s="16"/>
      <c r="D9" s="16"/>
      <c r="E9" s="2" t="str">
        <f t="shared" si="0"/>
        <v/>
      </c>
      <c r="F9" s="16"/>
      <c r="G9" s="16"/>
      <c r="H9" s="16"/>
      <c r="I9" s="16"/>
    </row>
    <row r="10" spans="1:9" x14ac:dyDescent="0.25">
      <c r="A10" s="5" t="s">
        <v>109</v>
      </c>
      <c r="B10" s="3" t="s">
        <v>110</v>
      </c>
      <c r="C10" s="16"/>
      <c r="D10" s="16"/>
      <c r="E10" s="2" t="str">
        <f t="shared" si="0"/>
        <v/>
      </c>
      <c r="F10" s="16"/>
      <c r="G10" s="16"/>
      <c r="H10" s="16"/>
      <c r="I10" s="16"/>
    </row>
    <row r="11" spans="1:9" x14ac:dyDescent="0.25">
      <c r="A11" s="5" t="s">
        <v>111</v>
      </c>
      <c r="B11" s="3" t="s">
        <v>112</v>
      </c>
      <c r="C11" s="16"/>
      <c r="D11" s="16"/>
      <c r="E11" s="2" t="str">
        <f t="shared" si="0"/>
        <v/>
      </c>
      <c r="F11" s="16"/>
      <c r="G11" s="16"/>
      <c r="H11" s="16"/>
      <c r="I11" s="16"/>
    </row>
    <row r="12" spans="1:9" x14ac:dyDescent="0.25">
      <c r="A12" s="5" t="s">
        <v>113</v>
      </c>
      <c r="B12" s="3" t="s">
        <v>114</v>
      </c>
      <c r="C12" s="16"/>
      <c r="D12" s="16"/>
      <c r="E12" s="2" t="str">
        <f t="shared" si="0"/>
        <v/>
      </c>
      <c r="F12" s="16"/>
      <c r="G12" s="16"/>
      <c r="H12" s="16"/>
      <c r="I12" s="16"/>
    </row>
    <row r="15" spans="1:9" x14ac:dyDescent="0.25">
      <c r="A15" s="23" t="s">
        <v>115</v>
      </c>
      <c r="B15" s="22"/>
      <c r="C15" s="22"/>
      <c r="D15" s="22"/>
      <c r="E15" s="22"/>
      <c r="F15" s="22"/>
      <c r="G15" s="22"/>
      <c r="H15" s="22"/>
      <c r="I15" s="22"/>
    </row>
    <row r="16" spans="1:9" ht="28.8" x14ac:dyDescent="0.25">
      <c r="A16" s="1" t="s">
        <v>92</v>
      </c>
      <c r="B16" s="1" t="s">
        <v>116</v>
      </c>
      <c r="C16" s="1" t="s">
        <v>117</v>
      </c>
      <c r="D16" s="1" t="s">
        <v>118</v>
      </c>
      <c r="E16" s="1" t="s">
        <v>119</v>
      </c>
      <c r="F16" s="1" t="s">
        <v>120</v>
      </c>
      <c r="G16" s="1" t="s">
        <v>121</v>
      </c>
      <c r="H16" s="1" t="s">
        <v>72</v>
      </c>
      <c r="I16" s="1"/>
    </row>
    <row r="17" spans="1:8" x14ac:dyDescent="0.25">
      <c r="A17" s="5" t="s">
        <v>101</v>
      </c>
      <c r="B17" s="2" t="str">
        <f t="shared" ref="B17:B23" si="1">E6</f>
        <v/>
      </c>
      <c r="C17" s="2">
        <f t="shared" ref="C17:D23" si="2">H6</f>
        <v>0</v>
      </c>
      <c r="D17" s="2">
        <f t="shared" si="2"/>
        <v>0</v>
      </c>
      <c r="E17" s="2">
        <f t="shared" ref="E17:E23" si="3">IFERROR(SIGN((IF(B17&gt;0,1,0)+IF(C17&gt;0,1,0)+IF(D17&gt;0,1,0))-1),"")</f>
        <v>0</v>
      </c>
      <c r="F17" s="16" t="s">
        <v>122</v>
      </c>
      <c r="G17" s="2">
        <f t="shared" ref="G17:G23" si="4">IF(OR(E17="",F17=""),"",E17*F17)</f>
        <v>0</v>
      </c>
      <c r="H17" s="3"/>
    </row>
    <row r="18" spans="1:8" x14ac:dyDescent="0.25">
      <c r="A18" s="5" t="s">
        <v>103</v>
      </c>
      <c r="B18" s="2" t="str">
        <f t="shared" si="1"/>
        <v/>
      </c>
      <c r="C18" s="2">
        <f t="shared" si="2"/>
        <v>0</v>
      </c>
      <c r="D18" s="2">
        <f t="shared" si="2"/>
        <v>0</v>
      </c>
      <c r="E18" s="2">
        <f t="shared" si="3"/>
        <v>0</v>
      </c>
      <c r="F18" s="16" t="s">
        <v>122</v>
      </c>
      <c r="G18" s="2">
        <f t="shared" si="4"/>
        <v>0</v>
      </c>
      <c r="H18" s="3"/>
    </row>
    <row r="19" spans="1:8" x14ac:dyDescent="0.25">
      <c r="A19" s="5" t="s">
        <v>105</v>
      </c>
      <c r="B19" s="2" t="str">
        <f t="shared" si="1"/>
        <v/>
      </c>
      <c r="C19" s="2">
        <f t="shared" si="2"/>
        <v>0</v>
      </c>
      <c r="D19" s="2">
        <f t="shared" si="2"/>
        <v>0</v>
      </c>
      <c r="E19" s="2">
        <f t="shared" si="3"/>
        <v>0</v>
      </c>
      <c r="F19" s="16" t="s">
        <v>122</v>
      </c>
      <c r="G19" s="2">
        <f t="shared" si="4"/>
        <v>0</v>
      </c>
      <c r="H19" s="3"/>
    </row>
    <row r="20" spans="1:8" x14ac:dyDescent="0.25">
      <c r="A20" s="5" t="s">
        <v>107</v>
      </c>
      <c r="B20" s="2" t="str">
        <f t="shared" si="1"/>
        <v/>
      </c>
      <c r="C20" s="2">
        <f t="shared" si="2"/>
        <v>0</v>
      </c>
      <c r="D20" s="2">
        <f t="shared" si="2"/>
        <v>0</v>
      </c>
      <c r="E20" s="2">
        <f t="shared" si="3"/>
        <v>0</v>
      </c>
      <c r="F20" s="16" t="s">
        <v>122</v>
      </c>
      <c r="G20" s="2">
        <f t="shared" si="4"/>
        <v>0</v>
      </c>
      <c r="H20" s="3"/>
    </row>
    <row r="21" spans="1:8" x14ac:dyDescent="0.25">
      <c r="A21" s="5" t="s">
        <v>109</v>
      </c>
      <c r="B21" s="2" t="str">
        <f t="shared" si="1"/>
        <v/>
      </c>
      <c r="C21" s="2">
        <f t="shared" si="2"/>
        <v>0</v>
      </c>
      <c r="D21" s="2">
        <f t="shared" si="2"/>
        <v>0</v>
      </c>
      <c r="E21" s="2">
        <f t="shared" si="3"/>
        <v>0</v>
      </c>
      <c r="F21" s="16" t="s">
        <v>122</v>
      </c>
      <c r="G21" s="2">
        <f t="shared" si="4"/>
        <v>0</v>
      </c>
      <c r="H21" s="3"/>
    </row>
    <row r="22" spans="1:8" x14ac:dyDescent="0.25">
      <c r="A22" s="5" t="s">
        <v>111</v>
      </c>
      <c r="B22" s="2" t="str">
        <f t="shared" si="1"/>
        <v/>
      </c>
      <c r="C22" s="2">
        <f t="shared" si="2"/>
        <v>0</v>
      </c>
      <c r="D22" s="2">
        <f t="shared" si="2"/>
        <v>0</v>
      </c>
      <c r="E22" s="2">
        <f t="shared" si="3"/>
        <v>0</v>
      </c>
      <c r="F22" s="16" t="s">
        <v>122</v>
      </c>
      <c r="G22" s="2">
        <f t="shared" si="4"/>
        <v>0</v>
      </c>
      <c r="H22" s="3"/>
    </row>
    <row r="23" spans="1:8" x14ac:dyDescent="0.25">
      <c r="A23" s="5" t="s">
        <v>113</v>
      </c>
      <c r="B23" s="2" t="str">
        <f t="shared" si="1"/>
        <v/>
      </c>
      <c r="C23" s="2">
        <f t="shared" si="2"/>
        <v>0</v>
      </c>
      <c r="D23" s="2">
        <f t="shared" si="2"/>
        <v>0</v>
      </c>
      <c r="E23" s="2">
        <f t="shared" si="3"/>
        <v>0</v>
      </c>
      <c r="F23" s="16" t="s">
        <v>122</v>
      </c>
      <c r="G23" s="2">
        <f t="shared" si="4"/>
        <v>0</v>
      </c>
      <c r="H23" s="3"/>
    </row>
    <row r="24" spans="1:8" x14ac:dyDescent="0.25">
      <c r="F24" s="15" t="s">
        <v>123</v>
      </c>
      <c r="G24" s="14">
        <f>SUM(F17:F23)</f>
        <v>0</v>
      </c>
    </row>
    <row r="25" spans="1:8" x14ac:dyDescent="0.25">
      <c r="F25" s="15" t="s">
        <v>124</v>
      </c>
      <c r="G25" s="14">
        <f>SUM(G17:G23)</f>
        <v>0</v>
      </c>
    </row>
  </sheetData>
  <mergeCells count="4">
    <mergeCell ref="A15:I15"/>
    <mergeCell ref="A2:H2"/>
    <mergeCell ref="A3:I3"/>
    <mergeCell ref="A1:H1"/>
  </mergeCells>
  <phoneticPr fontId="9" type="noConversion"/>
  <conditionalFormatting sqref="H6:H12">
    <cfRule type="cellIs" dxfId="3" priority="1" operator="lessThan">
      <formula>0</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1"/>
  <sheetViews>
    <sheetView showGridLines="0" workbookViewId="0">
      <pane ySplit="5" topLeftCell="A6" activePane="bottomLeft" state="frozen"/>
      <selection pane="bottomLeft"/>
    </sheetView>
  </sheetViews>
  <sheetFormatPr defaultRowHeight="14.4" x14ac:dyDescent="0.25"/>
  <cols>
    <col min="1" max="1" width="12" customWidth="1"/>
    <col min="2" max="2" width="10" customWidth="1"/>
    <col min="3" max="5" width="12" customWidth="1"/>
    <col min="6" max="7" width="14" customWidth="1"/>
    <col min="8" max="8" width="18" customWidth="1"/>
    <col min="9" max="9" width="24" customWidth="1"/>
  </cols>
  <sheetData>
    <row r="1" spans="1:9" x14ac:dyDescent="0.25">
      <c r="A1" s="25" t="s">
        <v>125</v>
      </c>
      <c r="B1" s="22"/>
      <c r="C1" s="22"/>
      <c r="D1" s="22"/>
      <c r="E1" s="22"/>
      <c r="F1" s="22"/>
      <c r="G1" s="22"/>
      <c r="H1" s="22"/>
    </row>
    <row r="2" spans="1:9" x14ac:dyDescent="0.25">
      <c r="A2" s="24" t="s">
        <v>126</v>
      </c>
      <c r="B2" s="22"/>
      <c r="C2" s="22"/>
      <c r="D2" s="22"/>
      <c r="E2" s="22"/>
      <c r="F2" s="22"/>
      <c r="G2" s="22"/>
      <c r="H2" s="22"/>
    </row>
    <row r="5" spans="1:9" ht="28.8" x14ac:dyDescent="0.25">
      <c r="A5" s="1" t="s">
        <v>68</v>
      </c>
      <c r="B5" s="1" t="s">
        <v>92</v>
      </c>
      <c r="C5" s="1" t="s">
        <v>127</v>
      </c>
      <c r="D5" s="1" t="s">
        <v>128</v>
      </c>
      <c r="E5" s="1" t="s">
        <v>129</v>
      </c>
      <c r="F5" s="1" t="s">
        <v>130</v>
      </c>
      <c r="G5" s="1" t="s">
        <v>131</v>
      </c>
      <c r="H5" s="1" t="s">
        <v>132</v>
      </c>
      <c r="I5" s="1" t="s">
        <v>72</v>
      </c>
    </row>
    <row r="6" spans="1:9" x14ac:dyDescent="0.25">
      <c r="A6" s="16"/>
      <c r="B6" s="16"/>
      <c r="C6" s="16"/>
      <c r="D6" s="16"/>
      <c r="E6" s="16"/>
      <c r="F6" s="16"/>
      <c r="G6" s="2" t="str">
        <f t="shared" ref="G6:G37" si="0">IF(OR(C6="",F6=""),"",IF(AND(OR(C6="Beat",D6="上修"),OR(F6="回落",F6="收跌")),"利好不涨",
IF(AND(OR(C6="Miss",D6="下修"),OR(F6="反弹",F6="震荡")),"利空不跌","正常")) )</f>
        <v/>
      </c>
      <c r="H6" s="16"/>
      <c r="I6" s="3"/>
    </row>
    <row r="7" spans="1:9" x14ac:dyDescent="0.25">
      <c r="A7" s="16"/>
      <c r="B7" s="16"/>
      <c r="C7" s="16"/>
      <c r="D7" s="16"/>
      <c r="E7" s="16"/>
      <c r="F7" s="16"/>
      <c r="G7" s="2" t="str">
        <f t="shared" si="0"/>
        <v/>
      </c>
      <c r="H7" s="16"/>
      <c r="I7" s="3"/>
    </row>
    <row r="8" spans="1:9" x14ac:dyDescent="0.25">
      <c r="A8" s="16"/>
      <c r="B8" s="16"/>
      <c r="C8" s="16"/>
      <c r="D8" s="16"/>
      <c r="E8" s="16"/>
      <c r="F8" s="16"/>
      <c r="G8" s="2" t="str">
        <f t="shared" si="0"/>
        <v/>
      </c>
      <c r="H8" s="16"/>
      <c r="I8" s="3"/>
    </row>
    <row r="9" spans="1:9" x14ac:dyDescent="0.25">
      <c r="A9" s="16"/>
      <c r="B9" s="16"/>
      <c r="C9" s="16"/>
      <c r="D9" s="16"/>
      <c r="E9" s="16"/>
      <c r="F9" s="16"/>
      <c r="G9" s="2" t="str">
        <f t="shared" si="0"/>
        <v/>
      </c>
      <c r="H9" s="16"/>
      <c r="I9" s="3"/>
    </row>
    <row r="10" spans="1:9" x14ac:dyDescent="0.25">
      <c r="A10" s="16"/>
      <c r="B10" s="16"/>
      <c r="C10" s="16"/>
      <c r="D10" s="16"/>
      <c r="E10" s="16"/>
      <c r="F10" s="16"/>
      <c r="G10" s="2" t="str">
        <f t="shared" si="0"/>
        <v/>
      </c>
      <c r="H10" s="16"/>
      <c r="I10" s="3"/>
    </row>
    <row r="11" spans="1:9" x14ac:dyDescent="0.25">
      <c r="A11" s="16"/>
      <c r="B11" s="16"/>
      <c r="C11" s="16"/>
      <c r="D11" s="16"/>
      <c r="E11" s="16"/>
      <c r="F11" s="16"/>
      <c r="G11" s="2" t="str">
        <f t="shared" si="0"/>
        <v/>
      </c>
      <c r="H11" s="16"/>
      <c r="I11" s="3"/>
    </row>
    <row r="12" spans="1:9" x14ac:dyDescent="0.25">
      <c r="A12" s="16"/>
      <c r="B12" s="16"/>
      <c r="C12" s="16"/>
      <c r="D12" s="16"/>
      <c r="E12" s="16"/>
      <c r="F12" s="16"/>
      <c r="G12" s="2" t="str">
        <f t="shared" si="0"/>
        <v/>
      </c>
      <c r="H12" s="16"/>
      <c r="I12" s="3"/>
    </row>
    <row r="13" spans="1:9" x14ac:dyDescent="0.25">
      <c r="A13" s="16"/>
      <c r="B13" s="16"/>
      <c r="C13" s="16"/>
      <c r="D13" s="16"/>
      <c r="E13" s="16"/>
      <c r="F13" s="16"/>
      <c r="G13" s="2" t="str">
        <f t="shared" si="0"/>
        <v/>
      </c>
      <c r="H13" s="16"/>
      <c r="I13" s="3"/>
    </row>
    <row r="14" spans="1:9" x14ac:dyDescent="0.25">
      <c r="A14" s="16"/>
      <c r="B14" s="16"/>
      <c r="C14" s="16"/>
      <c r="D14" s="16"/>
      <c r="E14" s="16"/>
      <c r="F14" s="16"/>
      <c r="G14" s="2" t="str">
        <f t="shared" si="0"/>
        <v/>
      </c>
      <c r="H14" s="16"/>
      <c r="I14" s="3"/>
    </row>
    <row r="15" spans="1:9" x14ac:dyDescent="0.25">
      <c r="A15" s="16"/>
      <c r="B15" s="16"/>
      <c r="C15" s="16"/>
      <c r="D15" s="16"/>
      <c r="E15" s="16"/>
      <c r="F15" s="16"/>
      <c r="G15" s="2" t="str">
        <f t="shared" si="0"/>
        <v/>
      </c>
      <c r="H15" s="16"/>
      <c r="I15" s="3"/>
    </row>
    <row r="16" spans="1:9" x14ac:dyDescent="0.25">
      <c r="A16" s="16"/>
      <c r="B16" s="16"/>
      <c r="C16" s="16"/>
      <c r="D16" s="16"/>
      <c r="E16" s="16"/>
      <c r="F16" s="16"/>
      <c r="G16" s="2" t="str">
        <f t="shared" si="0"/>
        <v/>
      </c>
      <c r="H16" s="16"/>
      <c r="I16" s="3"/>
    </row>
    <row r="17" spans="1:9" x14ac:dyDescent="0.25">
      <c r="A17" s="16"/>
      <c r="B17" s="16"/>
      <c r="C17" s="16"/>
      <c r="D17" s="16"/>
      <c r="E17" s="16"/>
      <c r="F17" s="16"/>
      <c r="G17" s="2" t="str">
        <f t="shared" si="0"/>
        <v/>
      </c>
      <c r="H17" s="16"/>
      <c r="I17" s="3"/>
    </row>
    <row r="18" spans="1:9" x14ac:dyDescent="0.25">
      <c r="A18" s="16"/>
      <c r="B18" s="16"/>
      <c r="C18" s="16"/>
      <c r="D18" s="16"/>
      <c r="E18" s="16"/>
      <c r="F18" s="16"/>
      <c r="G18" s="2" t="str">
        <f t="shared" si="0"/>
        <v/>
      </c>
      <c r="H18" s="16"/>
      <c r="I18" s="3"/>
    </row>
    <row r="19" spans="1:9" x14ac:dyDescent="0.25">
      <c r="A19" s="16"/>
      <c r="B19" s="16"/>
      <c r="C19" s="16"/>
      <c r="D19" s="16"/>
      <c r="E19" s="16"/>
      <c r="F19" s="16"/>
      <c r="G19" s="2" t="str">
        <f t="shared" si="0"/>
        <v/>
      </c>
      <c r="H19" s="16"/>
      <c r="I19" s="3"/>
    </row>
    <row r="20" spans="1:9" x14ac:dyDescent="0.25">
      <c r="A20" s="16"/>
      <c r="B20" s="16"/>
      <c r="C20" s="16"/>
      <c r="D20" s="16"/>
      <c r="E20" s="16"/>
      <c r="F20" s="16"/>
      <c r="G20" s="2" t="str">
        <f t="shared" si="0"/>
        <v/>
      </c>
      <c r="H20" s="16"/>
      <c r="I20" s="3"/>
    </row>
    <row r="21" spans="1:9" x14ac:dyDescent="0.25">
      <c r="A21" s="16"/>
      <c r="B21" s="16"/>
      <c r="C21" s="16"/>
      <c r="D21" s="16"/>
      <c r="E21" s="16"/>
      <c r="F21" s="16"/>
      <c r="G21" s="2" t="str">
        <f t="shared" si="0"/>
        <v/>
      </c>
      <c r="H21" s="16"/>
      <c r="I21" s="3"/>
    </row>
    <row r="22" spans="1:9" x14ac:dyDescent="0.25">
      <c r="A22" s="16"/>
      <c r="B22" s="16"/>
      <c r="C22" s="16"/>
      <c r="D22" s="16"/>
      <c r="E22" s="16"/>
      <c r="F22" s="16"/>
      <c r="G22" s="2" t="str">
        <f t="shared" si="0"/>
        <v/>
      </c>
      <c r="H22" s="16"/>
      <c r="I22" s="3"/>
    </row>
    <row r="23" spans="1:9" x14ac:dyDescent="0.25">
      <c r="A23" s="16"/>
      <c r="B23" s="16"/>
      <c r="C23" s="16"/>
      <c r="D23" s="16"/>
      <c r="E23" s="16"/>
      <c r="F23" s="16"/>
      <c r="G23" s="2" t="str">
        <f t="shared" si="0"/>
        <v/>
      </c>
      <c r="H23" s="16"/>
      <c r="I23" s="3"/>
    </row>
    <row r="24" spans="1:9" x14ac:dyDescent="0.25">
      <c r="A24" s="16"/>
      <c r="B24" s="16"/>
      <c r="C24" s="16"/>
      <c r="D24" s="16"/>
      <c r="E24" s="16"/>
      <c r="F24" s="16"/>
      <c r="G24" s="2" t="str">
        <f t="shared" si="0"/>
        <v/>
      </c>
      <c r="H24" s="16"/>
      <c r="I24" s="3"/>
    </row>
    <row r="25" spans="1:9" x14ac:dyDescent="0.25">
      <c r="A25" s="16"/>
      <c r="B25" s="16"/>
      <c r="C25" s="16"/>
      <c r="D25" s="16"/>
      <c r="E25" s="16"/>
      <c r="F25" s="16"/>
      <c r="G25" s="2" t="str">
        <f t="shared" si="0"/>
        <v/>
      </c>
      <c r="H25" s="16"/>
      <c r="I25" s="3"/>
    </row>
    <row r="26" spans="1:9" x14ac:dyDescent="0.25">
      <c r="A26" s="16"/>
      <c r="B26" s="16"/>
      <c r="C26" s="16"/>
      <c r="D26" s="16"/>
      <c r="E26" s="16"/>
      <c r="F26" s="16"/>
      <c r="G26" s="2" t="str">
        <f t="shared" si="0"/>
        <v/>
      </c>
      <c r="H26" s="16"/>
      <c r="I26" s="3"/>
    </row>
    <row r="27" spans="1:9" x14ac:dyDescent="0.25">
      <c r="A27" s="16"/>
      <c r="B27" s="16"/>
      <c r="C27" s="16"/>
      <c r="D27" s="16"/>
      <c r="E27" s="16"/>
      <c r="F27" s="16"/>
      <c r="G27" s="2" t="str">
        <f t="shared" si="0"/>
        <v/>
      </c>
      <c r="H27" s="16"/>
      <c r="I27" s="3"/>
    </row>
    <row r="28" spans="1:9" x14ac:dyDescent="0.25">
      <c r="A28" s="16"/>
      <c r="B28" s="16"/>
      <c r="C28" s="16"/>
      <c r="D28" s="16"/>
      <c r="E28" s="16"/>
      <c r="F28" s="16"/>
      <c r="G28" s="2" t="str">
        <f t="shared" si="0"/>
        <v/>
      </c>
      <c r="H28" s="16"/>
      <c r="I28" s="3"/>
    </row>
    <row r="29" spans="1:9" x14ac:dyDescent="0.25">
      <c r="A29" s="16"/>
      <c r="B29" s="16"/>
      <c r="C29" s="16"/>
      <c r="D29" s="16"/>
      <c r="E29" s="16"/>
      <c r="F29" s="16"/>
      <c r="G29" s="2" t="str">
        <f t="shared" si="0"/>
        <v/>
      </c>
      <c r="H29" s="16"/>
      <c r="I29" s="3"/>
    </row>
    <row r="30" spans="1:9" x14ac:dyDescent="0.25">
      <c r="A30" s="16"/>
      <c r="B30" s="16"/>
      <c r="C30" s="16"/>
      <c r="D30" s="16"/>
      <c r="E30" s="16"/>
      <c r="F30" s="16"/>
      <c r="G30" s="2" t="str">
        <f t="shared" si="0"/>
        <v/>
      </c>
      <c r="H30" s="16"/>
      <c r="I30" s="3"/>
    </row>
    <row r="31" spans="1:9" x14ac:dyDescent="0.25">
      <c r="A31" s="16"/>
      <c r="B31" s="16"/>
      <c r="C31" s="16"/>
      <c r="D31" s="16"/>
      <c r="E31" s="16"/>
      <c r="F31" s="16"/>
      <c r="G31" s="2" t="str">
        <f t="shared" si="0"/>
        <v/>
      </c>
      <c r="H31" s="16"/>
      <c r="I31" s="3"/>
    </row>
    <row r="32" spans="1:9" x14ac:dyDescent="0.25">
      <c r="A32" s="16"/>
      <c r="B32" s="16"/>
      <c r="C32" s="16"/>
      <c r="D32" s="16"/>
      <c r="E32" s="16"/>
      <c r="F32" s="16"/>
      <c r="G32" s="2" t="str">
        <f t="shared" si="0"/>
        <v/>
      </c>
      <c r="H32" s="16"/>
      <c r="I32" s="3"/>
    </row>
    <row r="33" spans="1:9" x14ac:dyDescent="0.25">
      <c r="A33" s="16"/>
      <c r="B33" s="16"/>
      <c r="C33" s="16"/>
      <c r="D33" s="16"/>
      <c r="E33" s="16"/>
      <c r="F33" s="16"/>
      <c r="G33" s="2" t="str">
        <f t="shared" si="0"/>
        <v/>
      </c>
      <c r="H33" s="16"/>
      <c r="I33" s="3"/>
    </row>
    <row r="34" spans="1:9" x14ac:dyDescent="0.25">
      <c r="A34" s="16"/>
      <c r="B34" s="16"/>
      <c r="C34" s="16"/>
      <c r="D34" s="16"/>
      <c r="E34" s="16"/>
      <c r="F34" s="16"/>
      <c r="G34" s="2" t="str">
        <f t="shared" si="0"/>
        <v/>
      </c>
      <c r="H34" s="16"/>
      <c r="I34" s="3"/>
    </row>
    <row r="35" spans="1:9" x14ac:dyDescent="0.25">
      <c r="A35" s="16"/>
      <c r="B35" s="16"/>
      <c r="C35" s="16"/>
      <c r="D35" s="16"/>
      <c r="E35" s="16"/>
      <c r="F35" s="16"/>
      <c r="G35" s="2" t="str">
        <f t="shared" si="0"/>
        <v/>
      </c>
      <c r="H35" s="16"/>
      <c r="I35" s="3"/>
    </row>
    <row r="36" spans="1:9" x14ac:dyDescent="0.25">
      <c r="A36" s="16"/>
      <c r="B36" s="16"/>
      <c r="C36" s="16"/>
      <c r="D36" s="16"/>
      <c r="E36" s="16"/>
      <c r="F36" s="16"/>
      <c r="G36" s="2" t="str">
        <f t="shared" si="0"/>
        <v/>
      </c>
      <c r="H36" s="16"/>
      <c r="I36" s="3"/>
    </row>
    <row r="37" spans="1:9" x14ac:dyDescent="0.25">
      <c r="A37" s="16"/>
      <c r="B37" s="16"/>
      <c r="C37" s="16"/>
      <c r="D37" s="16"/>
      <c r="E37" s="16"/>
      <c r="F37" s="16"/>
      <c r="G37" s="2" t="str">
        <f t="shared" si="0"/>
        <v/>
      </c>
      <c r="H37" s="16"/>
      <c r="I37" s="3"/>
    </row>
    <row r="38" spans="1:9" x14ac:dyDescent="0.25">
      <c r="A38" s="16"/>
      <c r="B38" s="16"/>
      <c r="C38" s="16"/>
      <c r="D38" s="16"/>
      <c r="E38" s="16"/>
      <c r="F38" s="16"/>
      <c r="G38" s="2" t="str">
        <f t="shared" ref="G38:G69" si="1">IF(OR(C38="",F38=""),"",IF(AND(OR(C38="Beat",D38="上修"),OR(F38="回落",F38="收跌")),"利好不涨",
IF(AND(OR(C38="Miss",D38="下修"),OR(F38="反弹",F38="震荡")),"利空不跌","正常")) )</f>
        <v/>
      </c>
      <c r="H38" s="16"/>
      <c r="I38" s="3"/>
    </row>
    <row r="39" spans="1:9" x14ac:dyDescent="0.25">
      <c r="A39" s="16"/>
      <c r="B39" s="16"/>
      <c r="C39" s="16"/>
      <c r="D39" s="16"/>
      <c r="E39" s="16"/>
      <c r="F39" s="16"/>
      <c r="G39" s="2" t="str">
        <f t="shared" si="1"/>
        <v/>
      </c>
      <c r="H39" s="16"/>
      <c r="I39" s="3"/>
    </row>
    <row r="40" spans="1:9" x14ac:dyDescent="0.25">
      <c r="A40" s="16"/>
      <c r="B40" s="16"/>
      <c r="C40" s="16"/>
      <c r="D40" s="16"/>
      <c r="E40" s="16"/>
      <c r="F40" s="16"/>
      <c r="G40" s="2" t="str">
        <f t="shared" si="1"/>
        <v/>
      </c>
      <c r="H40" s="16"/>
      <c r="I40" s="3"/>
    </row>
    <row r="41" spans="1:9" x14ac:dyDescent="0.25">
      <c r="A41" s="16"/>
      <c r="B41" s="16"/>
      <c r="C41" s="16"/>
      <c r="D41" s="16"/>
      <c r="E41" s="16"/>
      <c r="F41" s="16"/>
      <c r="G41" s="2" t="str">
        <f t="shared" si="1"/>
        <v/>
      </c>
      <c r="H41" s="16"/>
      <c r="I41" s="3"/>
    </row>
    <row r="42" spans="1:9" x14ac:dyDescent="0.25">
      <c r="A42" s="16"/>
      <c r="B42" s="16"/>
      <c r="C42" s="16"/>
      <c r="D42" s="16"/>
      <c r="E42" s="16"/>
      <c r="F42" s="16"/>
      <c r="G42" s="2" t="str">
        <f t="shared" si="1"/>
        <v/>
      </c>
      <c r="H42" s="16"/>
      <c r="I42" s="3"/>
    </row>
    <row r="43" spans="1:9" x14ac:dyDescent="0.25">
      <c r="A43" s="16"/>
      <c r="B43" s="16"/>
      <c r="C43" s="16"/>
      <c r="D43" s="16"/>
      <c r="E43" s="16"/>
      <c r="F43" s="16"/>
      <c r="G43" s="2" t="str">
        <f t="shared" si="1"/>
        <v/>
      </c>
      <c r="H43" s="16"/>
      <c r="I43" s="3"/>
    </row>
    <row r="44" spans="1:9" x14ac:dyDescent="0.25">
      <c r="A44" s="16"/>
      <c r="B44" s="16"/>
      <c r="C44" s="16"/>
      <c r="D44" s="16"/>
      <c r="E44" s="16"/>
      <c r="F44" s="16"/>
      <c r="G44" s="2" t="str">
        <f t="shared" si="1"/>
        <v/>
      </c>
      <c r="H44" s="16"/>
      <c r="I44" s="3"/>
    </row>
    <row r="45" spans="1:9" x14ac:dyDescent="0.25">
      <c r="A45" s="16"/>
      <c r="B45" s="16"/>
      <c r="C45" s="16"/>
      <c r="D45" s="16"/>
      <c r="E45" s="16"/>
      <c r="F45" s="16"/>
      <c r="G45" s="2" t="str">
        <f t="shared" si="1"/>
        <v/>
      </c>
      <c r="H45" s="16"/>
      <c r="I45" s="3"/>
    </row>
    <row r="46" spans="1:9" x14ac:dyDescent="0.25">
      <c r="A46" s="16"/>
      <c r="B46" s="16"/>
      <c r="C46" s="16"/>
      <c r="D46" s="16"/>
      <c r="E46" s="16"/>
      <c r="F46" s="16"/>
      <c r="G46" s="2" t="str">
        <f t="shared" si="1"/>
        <v/>
      </c>
      <c r="H46" s="16"/>
      <c r="I46" s="3"/>
    </row>
    <row r="47" spans="1:9" x14ac:dyDescent="0.25">
      <c r="A47" s="16"/>
      <c r="B47" s="16"/>
      <c r="C47" s="16"/>
      <c r="D47" s="16"/>
      <c r="E47" s="16"/>
      <c r="F47" s="16"/>
      <c r="G47" s="2" t="str">
        <f t="shared" si="1"/>
        <v/>
      </c>
      <c r="H47" s="16"/>
      <c r="I47" s="3"/>
    </row>
    <row r="48" spans="1:9" x14ac:dyDescent="0.25">
      <c r="A48" s="16"/>
      <c r="B48" s="16"/>
      <c r="C48" s="16"/>
      <c r="D48" s="16"/>
      <c r="E48" s="16"/>
      <c r="F48" s="16"/>
      <c r="G48" s="2" t="str">
        <f t="shared" si="1"/>
        <v/>
      </c>
      <c r="H48" s="16"/>
      <c r="I48" s="3"/>
    </row>
    <row r="49" spans="1:9" x14ac:dyDescent="0.25">
      <c r="A49" s="16"/>
      <c r="B49" s="16"/>
      <c r="C49" s="16"/>
      <c r="D49" s="16"/>
      <c r="E49" s="16"/>
      <c r="F49" s="16"/>
      <c r="G49" s="2" t="str">
        <f t="shared" si="1"/>
        <v/>
      </c>
      <c r="H49" s="16"/>
      <c r="I49" s="3"/>
    </row>
    <row r="50" spans="1:9" x14ac:dyDescent="0.25">
      <c r="A50" s="16"/>
      <c r="B50" s="16"/>
      <c r="C50" s="16"/>
      <c r="D50" s="16"/>
      <c r="E50" s="16"/>
      <c r="F50" s="16"/>
      <c r="G50" s="2" t="str">
        <f t="shared" si="1"/>
        <v/>
      </c>
      <c r="H50" s="16"/>
      <c r="I50" s="3"/>
    </row>
    <row r="51" spans="1:9" x14ac:dyDescent="0.25">
      <c r="A51" s="16"/>
      <c r="B51" s="16"/>
      <c r="C51" s="16"/>
      <c r="D51" s="16"/>
      <c r="E51" s="16"/>
      <c r="F51" s="16"/>
      <c r="G51" s="2" t="str">
        <f t="shared" si="1"/>
        <v/>
      </c>
      <c r="H51" s="16"/>
      <c r="I51" s="3"/>
    </row>
    <row r="52" spans="1:9" x14ac:dyDescent="0.25">
      <c r="A52" s="16"/>
      <c r="B52" s="16"/>
      <c r="C52" s="16"/>
      <c r="D52" s="16"/>
      <c r="E52" s="16"/>
      <c r="F52" s="16"/>
      <c r="G52" s="2" t="str">
        <f t="shared" si="1"/>
        <v/>
      </c>
      <c r="H52" s="16"/>
      <c r="I52" s="3"/>
    </row>
    <row r="53" spans="1:9" x14ac:dyDescent="0.25">
      <c r="A53" s="16"/>
      <c r="B53" s="16"/>
      <c r="C53" s="16"/>
      <c r="D53" s="16"/>
      <c r="E53" s="16"/>
      <c r="F53" s="16"/>
      <c r="G53" s="2" t="str">
        <f t="shared" si="1"/>
        <v/>
      </c>
      <c r="H53" s="16"/>
      <c r="I53" s="3"/>
    </row>
    <row r="54" spans="1:9" x14ac:dyDescent="0.25">
      <c r="A54" s="16"/>
      <c r="B54" s="16"/>
      <c r="C54" s="16"/>
      <c r="D54" s="16"/>
      <c r="E54" s="16"/>
      <c r="F54" s="16"/>
      <c r="G54" s="2" t="str">
        <f t="shared" si="1"/>
        <v/>
      </c>
      <c r="H54" s="16"/>
      <c r="I54" s="3"/>
    </row>
    <row r="55" spans="1:9" x14ac:dyDescent="0.25">
      <c r="A55" s="16"/>
      <c r="B55" s="16"/>
      <c r="C55" s="16"/>
      <c r="D55" s="16"/>
      <c r="E55" s="16"/>
      <c r="F55" s="16"/>
      <c r="G55" s="2" t="str">
        <f t="shared" si="1"/>
        <v/>
      </c>
      <c r="H55" s="16"/>
      <c r="I55" s="3"/>
    </row>
    <row r="56" spans="1:9" x14ac:dyDescent="0.25">
      <c r="A56" s="16"/>
      <c r="B56" s="16"/>
      <c r="C56" s="16"/>
      <c r="D56" s="16"/>
      <c r="E56" s="16"/>
      <c r="F56" s="16"/>
      <c r="G56" s="2" t="str">
        <f t="shared" si="1"/>
        <v/>
      </c>
      <c r="H56" s="16"/>
      <c r="I56" s="3"/>
    </row>
    <row r="57" spans="1:9" x14ac:dyDescent="0.25">
      <c r="A57" s="16"/>
      <c r="B57" s="16"/>
      <c r="C57" s="16"/>
      <c r="D57" s="16"/>
      <c r="E57" s="16"/>
      <c r="F57" s="16"/>
      <c r="G57" s="2" t="str">
        <f t="shared" si="1"/>
        <v/>
      </c>
      <c r="H57" s="16"/>
      <c r="I57" s="3"/>
    </row>
    <row r="58" spans="1:9" x14ac:dyDescent="0.25">
      <c r="A58" s="16"/>
      <c r="B58" s="16"/>
      <c r="C58" s="16"/>
      <c r="D58" s="16"/>
      <c r="E58" s="16"/>
      <c r="F58" s="16"/>
      <c r="G58" s="2" t="str">
        <f t="shared" si="1"/>
        <v/>
      </c>
      <c r="H58" s="16"/>
      <c r="I58" s="3"/>
    </row>
    <row r="59" spans="1:9" x14ac:dyDescent="0.25">
      <c r="A59" s="16"/>
      <c r="B59" s="16"/>
      <c r="C59" s="16"/>
      <c r="D59" s="16"/>
      <c r="E59" s="16"/>
      <c r="F59" s="16"/>
      <c r="G59" s="2" t="str">
        <f t="shared" si="1"/>
        <v/>
      </c>
      <c r="H59" s="16"/>
      <c r="I59" s="3"/>
    </row>
    <row r="60" spans="1:9" x14ac:dyDescent="0.25">
      <c r="A60" s="16"/>
      <c r="B60" s="16"/>
      <c r="C60" s="16"/>
      <c r="D60" s="16"/>
      <c r="E60" s="16"/>
      <c r="F60" s="16"/>
      <c r="G60" s="2" t="str">
        <f t="shared" si="1"/>
        <v/>
      </c>
      <c r="H60" s="16"/>
      <c r="I60" s="3"/>
    </row>
    <row r="61" spans="1:9" x14ac:dyDescent="0.25">
      <c r="A61" s="16"/>
      <c r="B61" s="16"/>
      <c r="C61" s="16"/>
      <c r="D61" s="16"/>
      <c r="E61" s="16"/>
      <c r="F61" s="16"/>
      <c r="G61" s="2" t="str">
        <f t="shared" si="1"/>
        <v/>
      </c>
      <c r="H61" s="16"/>
      <c r="I61" s="3"/>
    </row>
    <row r="62" spans="1:9" x14ac:dyDescent="0.25">
      <c r="A62" s="16"/>
      <c r="B62" s="16"/>
      <c r="C62" s="16"/>
      <c r="D62" s="16"/>
      <c r="E62" s="16"/>
      <c r="F62" s="16"/>
      <c r="G62" s="2" t="str">
        <f t="shared" si="1"/>
        <v/>
      </c>
      <c r="H62" s="16"/>
      <c r="I62" s="3"/>
    </row>
    <row r="63" spans="1:9" x14ac:dyDescent="0.25">
      <c r="A63" s="16"/>
      <c r="B63" s="16"/>
      <c r="C63" s="16"/>
      <c r="D63" s="16"/>
      <c r="E63" s="16"/>
      <c r="F63" s="16"/>
      <c r="G63" s="2" t="str">
        <f t="shared" si="1"/>
        <v/>
      </c>
      <c r="H63" s="16"/>
      <c r="I63" s="3"/>
    </row>
    <row r="64" spans="1:9" x14ac:dyDescent="0.25">
      <c r="A64" s="16"/>
      <c r="B64" s="16"/>
      <c r="C64" s="16"/>
      <c r="D64" s="16"/>
      <c r="E64" s="16"/>
      <c r="F64" s="16"/>
      <c r="G64" s="2" t="str">
        <f t="shared" si="1"/>
        <v/>
      </c>
      <c r="H64" s="16"/>
      <c r="I64" s="3"/>
    </row>
    <row r="65" spans="1:9" x14ac:dyDescent="0.25">
      <c r="A65" s="16"/>
      <c r="B65" s="16"/>
      <c r="C65" s="16"/>
      <c r="D65" s="16"/>
      <c r="E65" s="16"/>
      <c r="F65" s="16"/>
      <c r="G65" s="2" t="str">
        <f t="shared" si="1"/>
        <v/>
      </c>
      <c r="H65" s="16"/>
      <c r="I65" s="3"/>
    </row>
    <row r="66" spans="1:9" x14ac:dyDescent="0.25">
      <c r="A66" s="16"/>
      <c r="B66" s="16"/>
      <c r="C66" s="16"/>
      <c r="D66" s="16"/>
      <c r="E66" s="16"/>
      <c r="F66" s="16"/>
      <c r="G66" s="2" t="str">
        <f t="shared" si="1"/>
        <v/>
      </c>
      <c r="H66" s="16"/>
      <c r="I66" s="3"/>
    </row>
    <row r="67" spans="1:9" x14ac:dyDescent="0.25">
      <c r="A67" s="16"/>
      <c r="B67" s="16"/>
      <c r="C67" s="16"/>
      <c r="D67" s="16"/>
      <c r="E67" s="16"/>
      <c r="F67" s="16"/>
      <c r="G67" s="2" t="str">
        <f t="shared" si="1"/>
        <v/>
      </c>
      <c r="H67" s="16"/>
      <c r="I67" s="3"/>
    </row>
    <row r="68" spans="1:9" x14ac:dyDescent="0.25">
      <c r="A68" s="16"/>
      <c r="B68" s="16"/>
      <c r="C68" s="16"/>
      <c r="D68" s="16"/>
      <c r="E68" s="16"/>
      <c r="F68" s="16"/>
      <c r="G68" s="2" t="str">
        <f t="shared" si="1"/>
        <v/>
      </c>
      <c r="H68" s="16"/>
      <c r="I68" s="3"/>
    </row>
    <row r="69" spans="1:9" x14ac:dyDescent="0.25">
      <c r="A69" s="16"/>
      <c r="B69" s="16"/>
      <c r="C69" s="16"/>
      <c r="D69" s="16"/>
      <c r="E69" s="16"/>
      <c r="F69" s="16"/>
      <c r="G69" s="2" t="str">
        <f t="shared" si="1"/>
        <v/>
      </c>
      <c r="H69" s="16"/>
      <c r="I69" s="3"/>
    </row>
    <row r="70" spans="1:9" x14ac:dyDescent="0.25">
      <c r="A70" s="16"/>
      <c r="B70" s="16"/>
      <c r="C70" s="16"/>
      <c r="D70" s="16"/>
      <c r="E70" s="16"/>
      <c r="F70" s="16"/>
      <c r="G70" s="2" t="str">
        <f t="shared" ref="G70:G101" si="2">IF(OR(C70="",F70=""),"",IF(AND(OR(C70="Beat",D70="上修"),OR(F70="回落",F70="收跌")),"利好不涨",
IF(AND(OR(C70="Miss",D70="下修"),OR(F70="反弹",F70="震荡")),"利空不跌","正常")) )</f>
        <v/>
      </c>
      <c r="H70" s="16"/>
      <c r="I70" s="3"/>
    </row>
    <row r="71" spans="1:9" x14ac:dyDescent="0.25">
      <c r="A71" s="16"/>
      <c r="B71" s="16"/>
      <c r="C71" s="16"/>
      <c r="D71" s="16"/>
      <c r="E71" s="16"/>
      <c r="F71" s="16"/>
      <c r="G71" s="2" t="str">
        <f t="shared" si="2"/>
        <v/>
      </c>
      <c r="H71" s="16"/>
      <c r="I71" s="3"/>
    </row>
    <row r="72" spans="1:9" x14ac:dyDescent="0.25">
      <c r="A72" s="16"/>
      <c r="B72" s="16"/>
      <c r="C72" s="16"/>
      <c r="D72" s="16"/>
      <c r="E72" s="16"/>
      <c r="F72" s="16"/>
      <c r="G72" s="2" t="str">
        <f t="shared" si="2"/>
        <v/>
      </c>
      <c r="H72" s="16"/>
      <c r="I72" s="3"/>
    </row>
    <row r="73" spans="1:9" x14ac:dyDescent="0.25">
      <c r="A73" s="16"/>
      <c r="B73" s="16"/>
      <c r="C73" s="16"/>
      <c r="D73" s="16"/>
      <c r="E73" s="16"/>
      <c r="F73" s="16"/>
      <c r="G73" s="2" t="str">
        <f t="shared" si="2"/>
        <v/>
      </c>
      <c r="H73" s="16"/>
      <c r="I73" s="3"/>
    </row>
    <row r="74" spans="1:9" x14ac:dyDescent="0.25">
      <c r="A74" s="16"/>
      <c r="B74" s="16"/>
      <c r="C74" s="16"/>
      <c r="D74" s="16"/>
      <c r="E74" s="16"/>
      <c r="F74" s="16"/>
      <c r="G74" s="2" t="str">
        <f t="shared" si="2"/>
        <v/>
      </c>
      <c r="H74" s="16"/>
      <c r="I74" s="3"/>
    </row>
    <row r="75" spans="1:9" x14ac:dyDescent="0.25">
      <c r="A75" s="16"/>
      <c r="B75" s="16"/>
      <c r="C75" s="16"/>
      <c r="D75" s="16"/>
      <c r="E75" s="16"/>
      <c r="F75" s="16"/>
      <c r="G75" s="2" t="str">
        <f t="shared" si="2"/>
        <v/>
      </c>
      <c r="H75" s="16"/>
      <c r="I75" s="3"/>
    </row>
    <row r="76" spans="1:9" x14ac:dyDescent="0.25">
      <c r="A76" s="16"/>
      <c r="B76" s="16"/>
      <c r="C76" s="16"/>
      <c r="D76" s="16"/>
      <c r="E76" s="16"/>
      <c r="F76" s="16"/>
      <c r="G76" s="2" t="str">
        <f t="shared" si="2"/>
        <v/>
      </c>
      <c r="H76" s="16"/>
      <c r="I76" s="3"/>
    </row>
    <row r="77" spans="1:9" x14ac:dyDescent="0.25">
      <c r="A77" s="16"/>
      <c r="B77" s="16"/>
      <c r="C77" s="16"/>
      <c r="D77" s="16"/>
      <c r="E77" s="16"/>
      <c r="F77" s="16"/>
      <c r="G77" s="2" t="str">
        <f t="shared" si="2"/>
        <v/>
      </c>
      <c r="H77" s="16"/>
      <c r="I77" s="3"/>
    </row>
    <row r="78" spans="1:9" x14ac:dyDescent="0.25">
      <c r="A78" s="16"/>
      <c r="B78" s="16"/>
      <c r="C78" s="16"/>
      <c r="D78" s="16"/>
      <c r="E78" s="16"/>
      <c r="F78" s="16"/>
      <c r="G78" s="2" t="str">
        <f t="shared" si="2"/>
        <v/>
      </c>
      <c r="H78" s="16"/>
      <c r="I78" s="3"/>
    </row>
    <row r="79" spans="1:9" x14ac:dyDescent="0.25">
      <c r="A79" s="16"/>
      <c r="B79" s="16"/>
      <c r="C79" s="16"/>
      <c r="D79" s="16"/>
      <c r="E79" s="16"/>
      <c r="F79" s="16"/>
      <c r="G79" s="2" t="str">
        <f t="shared" si="2"/>
        <v/>
      </c>
      <c r="H79" s="16"/>
      <c r="I79" s="3"/>
    </row>
    <row r="80" spans="1:9" x14ac:dyDescent="0.25">
      <c r="A80" s="16"/>
      <c r="B80" s="16"/>
      <c r="C80" s="16"/>
      <c r="D80" s="16"/>
      <c r="E80" s="16"/>
      <c r="F80" s="16"/>
      <c r="G80" s="2" t="str">
        <f t="shared" si="2"/>
        <v/>
      </c>
      <c r="H80" s="16"/>
      <c r="I80" s="3"/>
    </row>
    <row r="81" spans="1:9" x14ac:dyDescent="0.25">
      <c r="A81" s="16"/>
      <c r="B81" s="16"/>
      <c r="C81" s="16"/>
      <c r="D81" s="16"/>
      <c r="E81" s="16"/>
      <c r="F81" s="16"/>
      <c r="G81" s="2" t="str">
        <f t="shared" si="2"/>
        <v/>
      </c>
      <c r="H81" s="16"/>
      <c r="I81" s="3"/>
    </row>
    <row r="82" spans="1:9" x14ac:dyDescent="0.25">
      <c r="A82" s="16"/>
      <c r="B82" s="16"/>
      <c r="C82" s="16"/>
      <c r="D82" s="16"/>
      <c r="E82" s="16"/>
      <c r="F82" s="16"/>
      <c r="G82" s="2" t="str">
        <f t="shared" si="2"/>
        <v/>
      </c>
      <c r="H82" s="16"/>
      <c r="I82" s="3"/>
    </row>
    <row r="83" spans="1:9" x14ac:dyDescent="0.25">
      <c r="A83" s="16"/>
      <c r="B83" s="16"/>
      <c r="C83" s="16"/>
      <c r="D83" s="16"/>
      <c r="E83" s="16"/>
      <c r="F83" s="16"/>
      <c r="G83" s="2" t="str">
        <f t="shared" si="2"/>
        <v/>
      </c>
      <c r="H83" s="16"/>
      <c r="I83" s="3"/>
    </row>
    <row r="84" spans="1:9" x14ac:dyDescent="0.25">
      <c r="A84" s="16"/>
      <c r="B84" s="16"/>
      <c r="C84" s="16"/>
      <c r="D84" s="16"/>
      <c r="E84" s="16"/>
      <c r="F84" s="16"/>
      <c r="G84" s="2" t="str">
        <f t="shared" si="2"/>
        <v/>
      </c>
      <c r="H84" s="16"/>
      <c r="I84" s="3"/>
    </row>
    <row r="85" spans="1:9" x14ac:dyDescent="0.25">
      <c r="A85" s="16"/>
      <c r="B85" s="16"/>
      <c r="C85" s="16"/>
      <c r="D85" s="16"/>
      <c r="E85" s="16"/>
      <c r="F85" s="16"/>
      <c r="G85" s="2" t="str">
        <f t="shared" si="2"/>
        <v/>
      </c>
      <c r="H85" s="16"/>
      <c r="I85" s="3"/>
    </row>
    <row r="88" spans="1:9" x14ac:dyDescent="0.25">
      <c r="A88" s="23" t="s">
        <v>133</v>
      </c>
      <c r="B88" s="22"/>
      <c r="C88" s="22"/>
      <c r="D88" s="22"/>
      <c r="E88" s="22"/>
      <c r="F88" s="22"/>
      <c r="G88" s="22"/>
      <c r="H88" s="22"/>
      <c r="I88" s="22"/>
    </row>
    <row r="89" spans="1:9" x14ac:dyDescent="0.25">
      <c r="A89" s="15" t="s">
        <v>25</v>
      </c>
      <c r="B89" s="17">
        <f>IFERROR(COUNTIF(G6:G85,"利好不涨")/COUNTIF(G6:G85,"&lt;&gt;"),"")</f>
        <v>0</v>
      </c>
    </row>
    <row r="90" spans="1:9" x14ac:dyDescent="0.25">
      <c r="A90" s="15" t="s">
        <v>28</v>
      </c>
      <c r="B90" s="17">
        <f>IFERROR(COUNTIF(G6:G85,"利空不跌")/COUNTIF(G6:G85,"&lt;&gt;"),"")</f>
        <v>0</v>
      </c>
    </row>
    <row r="91" spans="1:9" x14ac:dyDescent="0.25">
      <c r="A91" s="15" t="s">
        <v>32</v>
      </c>
      <c r="B91" s="18" t="str">
        <f>IFERROR(AVERAGEIF(H6:H85,"&gt;=0"),"")</f>
        <v/>
      </c>
    </row>
  </sheetData>
  <mergeCells count="3">
    <mergeCell ref="A88:I88"/>
    <mergeCell ref="A2:H2"/>
    <mergeCell ref="A1:H1"/>
  </mergeCells>
  <phoneticPr fontId="9" type="noConversion"/>
  <dataValidations count="4">
    <dataValidation type="list" allowBlank="1"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xr:uid="{00000000-0002-0000-0500-000000000000}">
      <formula1>"Beat,Meet,Miss"</formula1>
    </dataValidation>
    <dataValidation type="list" allowBlank="1"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xr:uid="{00000000-0002-0000-0500-000001000000}">
      <formula1>"上修,维持,下修"</formula1>
    </dataValidation>
    <dataValidation type="list" allowBlank="1"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xr:uid="{00000000-0002-0000-0500-000002000000}">
      <formula1>"高开,平开,低开"</formula1>
    </dataValidation>
    <dataValidation type="list" allowBlank="1"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xr:uid="{00000000-0002-0000-0500-000003000000}">
      <formula1>"走高,震荡,回落,收跌,反弹"</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1"/>
  <sheetViews>
    <sheetView showGridLines="0" workbookViewId="0">
      <selection sqref="A1:J1"/>
    </sheetView>
  </sheetViews>
  <sheetFormatPr defaultRowHeight="14.4" x14ac:dyDescent="0.25"/>
  <cols>
    <col min="1" max="1" width="18" customWidth="1"/>
    <col min="2" max="2" width="16" customWidth="1"/>
    <col min="3" max="3" width="18" customWidth="1"/>
    <col min="4" max="4" width="54" customWidth="1"/>
    <col min="5" max="5" width="34" customWidth="1"/>
    <col min="6" max="6" width="22" customWidth="1"/>
    <col min="7" max="7" width="14" customWidth="1"/>
    <col min="8" max="9" width="12" customWidth="1"/>
    <col min="10" max="10" width="26" customWidth="1"/>
  </cols>
  <sheetData>
    <row r="1" spans="1:10" x14ac:dyDescent="0.25">
      <c r="A1" s="27" t="s">
        <v>134</v>
      </c>
      <c r="B1" s="22"/>
      <c r="C1" s="22"/>
      <c r="D1" s="22"/>
      <c r="E1" s="22"/>
      <c r="F1" s="22"/>
      <c r="G1" s="22"/>
      <c r="H1" s="22"/>
      <c r="I1" s="22"/>
      <c r="J1" s="22"/>
    </row>
    <row r="2" spans="1:10" x14ac:dyDescent="0.25">
      <c r="A2" s="39" t="s">
        <v>135</v>
      </c>
      <c r="B2" s="22"/>
      <c r="C2" s="22"/>
      <c r="D2" s="22"/>
      <c r="E2" s="22"/>
      <c r="F2" s="22"/>
      <c r="G2" s="22"/>
      <c r="H2" s="22"/>
      <c r="I2" s="22"/>
      <c r="J2" s="22"/>
    </row>
    <row r="4" spans="1:10" x14ac:dyDescent="0.25">
      <c r="A4" s="23" t="s">
        <v>136</v>
      </c>
      <c r="B4" s="22"/>
      <c r="C4" s="22"/>
      <c r="D4" s="22"/>
      <c r="E4" s="22"/>
      <c r="F4" s="22"/>
      <c r="G4" s="22"/>
      <c r="H4" s="22"/>
      <c r="I4" s="22"/>
      <c r="J4" s="22"/>
    </row>
    <row r="5" spans="1:10" ht="28.8" x14ac:dyDescent="0.25">
      <c r="A5" s="1" t="s">
        <v>137</v>
      </c>
      <c r="B5" s="1" t="s">
        <v>73</v>
      </c>
      <c r="C5" s="1" t="s">
        <v>138</v>
      </c>
      <c r="D5" s="1" t="s">
        <v>139</v>
      </c>
      <c r="E5" s="1" t="s">
        <v>140</v>
      </c>
      <c r="F5" s="1" t="s">
        <v>141</v>
      </c>
      <c r="G5" s="1" t="s">
        <v>142</v>
      </c>
      <c r="H5" s="1" t="s">
        <v>143</v>
      </c>
      <c r="I5" s="1" t="s">
        <v>144</v>
      </c>
      <c r="J5" s="1" t="s">
        <v>72</v>
      </c>
    </row>
    <row r="6" spans="1:10" ht="57.6" x14ac:dyDescent="0.25">
      <c r="A6" s="2" t="s">
        <v>145</v>
      </c>
      <c r="B6" s="2" t="s">
        <v>146</v>
      </c>
      <c r="C6" s="2" t="s">
        <v>147</v>
      </c>
      <c r="D6" s="19" t="s">
        <v>148</v>
      </c>
      <c r="E6" s="19" t="s">
        <v>149</v>
      </c>
      <c r="F6" s="2" t="s">
        <v>150</v>
      </c>
      <c r="G6" s="2" t="s">
        <v>151</v>
      </c>
      <c r="H6" s="2" t="s">
        <v>152</v>
      </c>
      <c r="I6" s="2" t="s">
        <v>153</v>
      </c>
      <c r="J6" s="20" t="s">
        <v>154</v>
      </c>
    </row>
    <row r="7" spans="1:10" ht="57.6" x14ac:dyDescent="0.25">
      <c r="A7" s="2" t="s">
        <v>155</v>
      </c>
      <c r="B7" s="2" t="s">
        <v>146</v>
      </c>
      <c r="C7" s="2" t="s">
        <v>156</v>
      </c>
      <c r="D7" s="19" t="s">
        <v>148</v>
      </c>
      <c r="E7" s="19" t="s">
        <v>149</v>
      </c>
      <c r="F7" s="2" t="s">
        <v>157</v>
      </c>
      <c r="G7" s="2" t="s">
        <v>151</v>
      </c>
      <c r="H7" s="2" t="s">
        <v>152</v>
      </c>
      <c r="I7" s="2" t="s">
        <v>153</v>
      </c>
      <c r="J7" s="20" t="s">
        <v>158</v>
      </c>
    </row>
    <row r="8" spans="1:10" ht="57.6" x14ac:dyDescent="0.25">
      <c r="A8" s="2" t="s">
        <v>159</v>
      </c>
      <c r="B8" s="2" t="s">
        <v>146</v>
      </c>
      <c r="C8" s="2" t="s">
        <v>160</v>
      </c>
      <c r="D8" s="19" t="s">
        <v>148</v>
      </c>
      <c r="E8" s="19" t="s">
        <v>149</v>
      </c>
      <c r="F8" s="2" t="s">
        <v>161</v>
      </c>
      <c r="G8" s="2" t="s">
        <v>151</v>
      </c>
      <c r="H8" s="2" t="s">
        <v>152</v>
      </c>
      <c r="I8" s="2" t="s">
        <v>153</v>
      </c>
      <c r="J8" s="20" t="s">
        <v>162</v>
      </c>
    </row>
    <row r="9" spans="1:10" ht="57.6" x14ac:dyDescent="0.25">
      <c r="A9" s="2" t="s">
        <v>163</v>
      </c>
      <c r="B9" s="2" t="s">
        <v>146</v>
      </c>
      <c r="C9" s="2" t="s">
        <v>164</v>
      </c>
      <c r="D9" s="19" t="s">
        <v>148</v>
      </c>
      <c r="E9" s="19" t="s">
        <v>165</v>
      </c>
      <c r="F9" s="2" t="s">
        <v>166</v>
      </c>
      <c r="G9" s="2" t="s">
        <v>167</v>
      </c>
      <c r="H9" s="2" t="s">
        <v>152</v>
      </c>
      <c r="I9" s="2" t="s">
        <v>153</v>
      </c>
      <c r="J9" s="20" t="s">
        <v>168</v>
      </c>
    </row>
    <row r="10" spans="1:10" ht="57.6" x14ac:dyDescent="0.25">
      <c r="A10" s="2" t="s">
        <v>169</v>
      </c>
      <c r="B10" s="2" t="s">
        <v>146</v>
      </c>
      <c r="C10" s="2" t="s">
        <v>170</v>
      </c>
      <c r="D10" s="19" t="s">
        <v>148</v>
      </c>
      <c r="E10" s="19" t="s">
        <v>149</v>
      </c>
      <c r="F10" s="2" t="s">
        <v>171</v>
      </c>
      <c r="G10" s="2" t="s">
        <v>151</v>
      </c>
      <c r="H10" s="2" t="s">
        <v>152</v>
      </c>
      <c r="I10" s="2" t="s">
        <v>153</v>
      </c>
      <c r="J10" s="20" t="s">
        <v>172</v>
      </c>
    </row>
    <row r="13" spans="1:10" x14ac:dyDescent="0.25">
      <c r="A13" s="23" t="s">
        <v>173</v>
      </c>
      <c r="B13" s="22"/>
      <c r="C13" s="22"/>
      <c r="D13" s="22"/>
      <c r="E13" s="22"/>
      <c r="F13" s="22"/>
      <c r="G13" s="22"/>
      <c r="H13" s="22"/>
      <c r="I13" s="22"/>
      <c r="J13" s="22"/>
    </row>
    <row r="14" spans="1:10" ht="28.8" x14ac:dyDescent="0.25">
      <c r="A14" s="1" t="s">
        <v>137</v>
      </c>
      <c r="B14" s="1" t="s">
        <v>73</v>
      </c>
      <c r="C14" s="1" t="s">
        <v>174</v>
      </c>
      <c r="D14" s="1" t="s">
        <v>139</v>
      </c>
      <c r="E14" s="1" t="s">
        <v>140</v>
      </c>
      <c r="F14" s="1" t="s">
        <v>141</v>
      </c>
      <c r="G14" s="1" t="s">
        <v>142</v>
      </c>
      <c r="H14" s="1" t="s">
        <v>143</v>
      </c>
      <c r="I14" s="1" t="s">
        <v>144</v>
      </c>
      <c r="J14" s="1" t="s">
        <v>72</v>
      </c>
    </row>
    <row r="15" spans="1:10" ht="72" x14ac:dyDescent="0.25">
      <c r="A15" s="2" t="s">
        <v>175</v>
      </c>
      <c r="B15" s="2" t="s">
        <v>176</v>
      </c>
      <c r="C15" s="19" t="s">
        <v>177</v>
      </c>
      <c r="D15" s="19" t="s">
        <v>178</v>
      </c>
      <c r="E15" s="19" t="s">
        <v>179</v>
      </c>
      <c r="F15" s="2" t="s">
        <v>180</v>
      </c>
      <c r="G15" s="2" t="s">
        <v>151</v>
      </c>
      <c r="H15" s="2" t="s">
        <v>181</v>
      </c>
      <c r="I15" s="2" t="s">
        <v>182</v>
      </c>
      <c r="J15" s="20" t="s">
        <v>183</v>
      </c>
    </row>
    <row r="16" spans="1:10" ht="72" x14ac:dyDescent="0.25">
      <c r="A16" s="2" t="s">
        <v>184</v>
      </c>
      <c r="B16" s="2" t="s">
        <v>176</v>
      </c>
      <c r="C16" s="19" t="s">
        <v>185</v>
      </c>
      <c r="D16" s="19" t="s">
        <v>178</v>
      </c>
      <c r="E16" s="19" t="s">
        <v>186</v>
      </c>
      <c r="F16" s="2" t="s">
        <v>187</v>
      </c>
      <c r="G16" s="2" t="s">
        <v>188</v>
      </c>
      <c r="H16" s="2" t="s">
        <v>181</v>
      </c>
      <c r="I16" s="2" t="s">
        <v>153</v>
      </c>
      <c r="J16" s="20" t="s">
        <v>189</v>
      </c>
    </row>
    <row r="19" spans="1:10" x14ac:dyDescent="0.25">
      <c r="A19" s="23" t="s">
        <v>190</v>
      </c>
      <c r="B19" s="22"/>
      <c r="C19" s="22"/>
      <c r="D19" s="22"/>
      <c r="E19" s="22"/>
      <c r="F19" s="22"/>
      <c r="G19" s="22"/>
      <c r="H19" s="22"/>
      <c r="I19" s="22"/>
      <c r="J19" s="22"/>
    </row>
    <row r="20" spans="1:10" x14ac:dyDescent="0.25">
      <c r="A20" s="1" t="s">
        <v>191</v>
      </c>
      <c r="B20" s="1" t="s">
        <v>192</v>
      </c>
      <c r="C20" s="29" t="s">
        <v>193</v>
      </c>
      <c r="D20" s="30"/>
      <c r="E20" s="30"/>
      <c r="F20" s="30"/>
      <c r="G20" s="30"/>
      <c r="H20" s="30"/>
      <c r="I20" s="30"/>
      <c r="J20" s="31"/>
    </row>
    <row r="21" spans="1:10" ht="57.6" x14ac:dyDescent="0.25">
      <c r="A21" s="2" t="s">
        <v>194</v>
      </c>
      <c r="B21" s="20" t="s">
        <v>195</v>
      </c>
      <c r="C21" s="28" t="s">
        <v>196</v>
      </c>
      <c r="D21" s="22"/>
      <c r="E21" s="22"/>
      <c r="F21" s="22"/>
      <c r="G21" s="22"/>
      <c r="H21" s="22"/>
      <c r="I21" s="22"/>
      <c r="J21" s="22"/>
    </row>
    <row r="22" spans="1:10" ht="86.4" x14ac:dyDescent="0.25">
      <c r="A22" s="2" t="s">
        <v>197</v>
      </c>
      <c r="B22" s="20" t="s">
        <v>198</v>
      </c>
      <c r="C22" s="28" t="s">
        <v>199</v>
      </c>
      <c r="D22" s="22"/>
      <c r="E22" s="22"/>
      <c r="F22" s="22"/>
      <c r="G22" s="22"/>
      <c r="H22" s="22"/>
      <c r="I22" s="22"/>
      <c r="J22" s="22"/>
    </row>
    <row r="23" spans="1:10" ht="57.6" x14ac:dyDescent="0.25">
      <c r="A23" s="2" t="s">
        <v>197</v>
      </c>
      <c r="B23" s="20" t="s">
        <v>200</v>
      </c>
      <c r="C23" s="28" t="s">
        <v>201</v>
      </c>
      <c r="D23" s="22"/>
      <c r="E23" s="22"/>
      <c r="F23" s="22"/>
      <c r="G23" s="22"/>
      <c r="H23" s="22"/>
      <c r="I23" s="22"/>
      <c r="J23" s="22"/>
    </row>
    <row r="24" spans="1:10" ht="57.6" x14ac:dyDescent="0.25">
      <c r="A24" s="2" t="s">
        <v>202</v>
      </c>
      <c r="B24" s="20" t="s">
        <v>203</v>
      </c>
      <c r="C24" s="28" t="s">
        <v>204</v>
      </c>
      <c r="D24" s="22"/>
      <c r="E24" s="22"/>
      <c r="F24" s="22"/>
      <c r="G24" s="22"/>
      <c r="H24" s="22"/>
      <c r="I24" s="22"/>
      <c r="J24" s="22"/>
    </row>
    <row r="26" spans="1:10" x14ac:dyDescent="0.25">
      <c r="A26" s="23" t="s">
        <v>205</v>
      </c>
      <c r="B26" s="22"/>
      <c r="C26" s="22"/>
      <c r="D26" s="22"/>
      <c r="E26" s="22"/>
      <c r="F26" s="22"/>
      <c r="G26" s="22"/>
      <c r="H26" s="22"/>
      <c r="I26" s="22"/>
      <c r="J26" s="22"/>
    </row>
    <row r="27" spans="1:10" x14ac:dyDescent="0.25">
      <c r="A27" s="28" t="s">
        <v>206</v>
      </c>
      <c r="B27" s="32"/>
      <c r="C27" s="32"/>
      <c r="D27" s="32"/>
      <c r="E27" s="32"/>
      <c r="F27" s="32"/>
      <c r="G27" s="32"/>
      <c r="H27" s="32"/>
      <c r="I27" s="32"/>
      <c r="J27" s="33"/>
    </row>
    <row r="28" spans="1:10" x14ac:dyDescent="0.25">
      <c r="A28" s="34"/>
      <c r="B28" s="22"/>
      <c r="C28" s="22"/>
      <c r="D28" s="22"/>
      <c r="E28" s="22"/>
      <c r="F28" s="22"/>
      <c r="G28" s="22"/>
      <c r="H28" s="22"/>
      <c r="I28" s="22"/>
      <c r="J28" s="35"/>
    </row>
    <row r="29" spans="1:10" x14ac:dyDescent="0.25">
      <c r="A29" s="34"/>
      <c r="B29" s="22"/>
      <c r="C29" s="22"/>
      <c r="D29" s="22"/>
      <c r="E29" s="22"/>
      <c r="F29" s="22"/>
      <c r="G29" s="22"/>
      <c r="H29" s="22"/>
      <c r="I29" s="22"/>
      <c r="J29" s="35"/>
    </row>
    <row r="30" spans="1:10" x14ac:dyDescent="0.25">
      <c r="A30" s="34"/>
      <c r="B30" s="22"/>
      <c r="C30" s="22"/>
      <c r="D30" s="22"/>
      <c r="E30" s="22"/>
      <c r="F30" s="22"/>
      <c r="G30" s="22"/>
      <c r="H30" s="22"/>
      <c r="I30" s="22"/>
      <c r="J30" s="35"/>
    </row>
    <row r="31" spans="1:10" x14ac:dyDescent="0.25">
      <c r="A31" s="36"/>
      <c r="B31" s="37"/>
      <c r="C31" s="37"/>
      <c r="D31" s="37"/>
      <c r="E31" s="37"/>
      <c r="F31" s="37"/>
      <c r="G31" s="37"/>
      <c r="H31" s="37"/>
      <c r="I31" s="37"/>
      <c r="J31" s="38"/>
    </row>
  </sheetData>
  <mergeCells count="12">
    <mergeCell ref="A27:J31"/>
    <mergeCell ref="A4:J4"/>
    <mergeCell ref="A26:J26"/>
    <mergeCell ref="C22:J22"/>
    <mergeCell ref="A2:J2"/>
    <mergeCell ref="A13:J13"/>
    <mergeCell ref="A19:J19"/>
    <mergeCell ref="A1:J1"/>
    <mergeCell ref="C23:J23"/>
    <mergeCell ref="C21:J21"/>
    <mergeCell ref="C20:J20"/>
    <mergeCell ref="C24:J24"/>
  </mergeCells>
  <phoneticPr fontId="9"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4030-E8D4-478A-82AE-F95D2AE179FA}">
  <dimension ref="A1:B1526"/>
  <sheetViews>
    <sheetView topLeftCell="A1471" workbookViewId="0">
      <selection activeCell="A1502" sqref="A1502:A1526"/>
    </sheetView>
  </sheetViews>
  <sheetFormatPr defaultRowHeight="14.4" x14ac:dyDescent="0.25"/>
  <cols>
    <col min="1" max="1" width="12.88671875" bestFit="1" customWidth="1"/>
    <col min="2" max="2" width="10.44140625" bestFit="1" customWidth="1"/>
  </cols>
  <sheetData>
    <row r="1" spans="1:2" x14ac:dyDescent="0.25">
      <c r="A1" t="s">
        <v>152</v>
      </c>
      <c r="B1" t="s">
        <v>153</v>
      </c>
    </row>
    <row r="2" spans="1:2" x14ac:dyDescent="0.25">
      <c r="A2" s="40">
        <v>43832</v>
      </c>
      <c r="B2">
        <v>0.08</v>
      </c>
    </row>
    <row r="3" spans="1:2" x14ac:dyDescent="0.25">
      <c r="A3" s="40">
        <v>43833</v>
      </c>
      <c r="B3">
        <v>0.03</v>
      </c>
    </row>
    <row r="4" spans="1:2" x14ac:dyDescent="0.25">
      <c r="A4" s="40">
        <v>43836</v>
      </c>
      <c r="B4">
        <v>0.06</v>
      </c>
    </row>
    <row r="5" spans="1:2" x14ac:dyDescent="0.25">
      <c r="A5" s="40">
        <v>43837</v>
      </c>
      <c r="B5">
        <v>0.09</v>
      </c>
    </row>
    <row r="6" spans="1:2" x14ac:dyDescent="0.25">
      <c r="A6" s="40">
        <v>43838</v>
      </c>
      <c r="B6">
        <v>0.12</v>
      </c>
    </row>
    <row r="7" spans="1:2" x14ac:dyDescent="0.25">
      <c r="A7" s="40">
        <v>43839</v>
      </c>
      <c r="B7">
        <v>0.11</v>
      </c>
    </row>
    <row r="8" spans="1:2" x14ac:dyDescent="0.25">
      <c r="A8" s="40">
        <v>43840</v>
      </c>
      <c r="B8">
        <v>7.0000000000000007E-2</v>
      </c>
    </row>
    <row r="9" spans="1:2" x14ac:dyDescent="0.25">
      <c r="A9" s="40">
        <v>43843</v>
      </c>
      <c r="B9">
        <v>0.08</v>
      </c>
    </row>
    <row r="10" spans="1:2" x14ac:dyDescent="0.25">
      <c r="A10" s="40">
        <v>43844</v>
      </c>
      <c r="B10">
        <v>0.05</v>
      </c>
    </row>
    <row r="11" spans="1:2" x14ac:dyDescent="0.25">
      <c r="A11" s="40">
        <v>43845</v>
      </c>
      <c r="B11">
        <v>0.04</v>
      </c>
    </row>
    <row r="12" spans="1:2" x14ac:dyDescent="0.25">
      <c r="A12" s="40">
        <v>43846</v>
      </c>
      <c r="B12">
        <v>7.0000000000000007E-2</v>
      </c>
    </row>
    <row r="13" spans="1:2" x14ac:dyDescent="0.25">
      <c r="A13" s="40">
        <v>43847</v>
      </c>
      <c r="B13">
        <v>0.09</v>
      </c>
    </row>
    <row r="14" spans="1:2" x14ac:dyDescent="0.25">
      <c r="A14" s="40">
        <v>43851</v>
      </c>
      <c r="B14">
        <v>0.04</v>
      </c>
    </row>
    <row r="15" spans="1:2" x14ac:dyDescent="0.25">
      <c r="A15" s="40">
        <v>43852</v>
      </c>
      <c r="B15">
        <v>0.05</v>
      </c>
    </row>
    <row r="16" spans="1:2" x14ac:dyDescent="0.25">
      <c r="A16" s="40">
        <v>43853</v>
      </c>
      <c r="B16">
        <v>0.04</v>
      </c>
    </row>
    <row r="17" spans="1:2" x14ac:dyDescent="0.25">
      <c r="A17" s="40">
        <v>43854</v>
      </c>
      <c r="B17">
        <v>0.02</v>
      </c>
    </row>
    <row r="18" spans="1:2" x14ac:dyDescent="0.25">
      <c r="A18" s="40">
        <v>43857</v>
      </c>
      <c r="B18">
        <v>-0.02</v>
      </c>
    </row>
    <row r="19" spans="1:2" x14ac:dyDescent="0.25">
      <c r="A19" s="40">
        <v>43858</v>
      </c>
      <c r="B19">
        <v>0</v>
      </c>
    </row>
    <row r="20" spans="1:2" x14ac:dyDescent="0.25">
      <c r="A20" s="40">
        <v>43859</v>
      </c>
      <c r="B20">
        <v>-0.04</v>
      </c>
    </row>
    <row r="21" spans="1:2" x14ac:dyDescent="0.25">
      <c r="A21" s="40">
        <v>43860</v>
      </c>
      <c r="B21">
        <v>-7.0000000000000007E-2</v>
      </c>
    </row>
    <row r="22" spans="1:2" x14ac:dyDescent="0.25">
      <c r="A22" s="40">
        <v>43861</v>
      </c>
      <c r="B22">
        <v>-0.14000000000000001</v>
      </c>
    </row>
    <row r="23" spans="1:2" x14ac:dyDescent="0.25">
      <c r="A23" s="40">
        <v>43864</v>
      </c>
      <c r="B23">
        <v>-0.09</v>
      </c>
    </row>
    <row r="24" spans="1:2" x14ac:dyDescent="0.25">
      <c r="A24" s="40">
        <v>43865</v>
      </c>
      <c r="B24">
        <v>-0.03</v>
      </c>
    </row>
    <row r="25" spans="1:2" x14ac:dyDescent="0.25">
      <c r="A25" s="40">
        <v>43866</v>
      </c>
      <c r="B25">
        <v>0</v>
      </c>
    </row>
    <row r="26" spans="1:2" x14ac:dyDescent="0.25">
      <c r="A26" s="40">
        <v>43867</v>
      </c>
      <c r="B26">
        <v>-0.02</v>
      </c>
    </row>
    <row r="27" spans="1:2" x14ac:dyDescent="0.25">
      <c r="A27" s="40">
        <v>43868</v>
      </c>
      <c r="B27">
        <v>-7.0000000000000007E-2</v>
      </c>
    </row>
    <row r="28" spans="1:2" x14ac:dyDescent="0.25">
      <c r="A28" s="40">
        <v>43871</v>
      </c>
      <c r="B28">
        <v>-0.1</v>
      </c>
    </row>
    <row r="29" spans="1:2" x14ac:dyDescent="0.25">
      <c r="A29" s="40">
        <v>43872</v>
      </c>
      <c r="B29">
        <v>-0.06</v>
      </c>
    </row>
    <row r="30" spans="1:2" x14ac:dyDescent="0.25">
      <c r="A30" s="40">
        <v>43873</v>
      </c>
      <c r="B30">
        <v>-0.04</v>
      </c>
    </row>
    <row r="31" spans="1:2" x14ac:dyDescent="0.25">
      <c r="A31" s="40">
        <v>43874</v>
      </c>
      <c r="B31">
        <v>-0.06</v>
      </c>
    </row>
    <row r="32" spans="1:2" x14ac:dyDescent="0.25">
      <c r="A32" s="40">
        <v>43875</v>
      </c>
      <c r="B32">
        <v>-7.0000000000000007E-2</v>
      </c>
    </row>
    <row r="33" spans="1:2" x14ac:dyDescent="0.25">
      <c r="A33" s="40">
        <v>43879</v>
      </c>
      <c r="B33">
        <v>-0.1</v>
      </c>
    </row>
    <row r="34" spans="1:2" x14ac:dyDescent="0.25">
      <c r="A34" s="40">
        <v>43880</v>
      </c>
      <c r="B34">
        <v>-0.09</v>
      </c>
    </row>
    <row r="35" spans="1:2" x14ac:dyDescent="0.25">
      <c r="A35" s="40">
        <v>43881</v>
      </c>
      <c r="B35">
        <v>-0.11</v>
      </c>
    </row>
    <row r="36" spans="1:2" x14ac:dyDescent="0.25">
      <c r="A36" s="40">
        <v>43882</v>
      </c>
      <c r="B36">
        <v>-0.15</v>
      </c>
    </row>
    <row r="37" spans="1:2" x14ac:dyDescent="0.25">
      <c r="A37" s="40">
        <v>43885</v>
      </c>
      <c r="B37">
        <v>-0.21</v>
      </c>
    </row>
    <row r="38" spans="1:2" x14ac:dyDescent="0.25">
      <c r="A38" s="40">
        <v>43886</v>
      </c>
      <c r="B38">
        <v>-0.2</v>
      </c>
    </row>
    <row r="39" spans="1:2" x14ac:dyDescent="0.25">
      <c r="A39" s="40">
        <v>43887</v>
      </c>
      <c r="B39">
        <v>-0.21</v>
      </c>
    </row>
    <row r="40" spans="1:2" x14ac:dyDescent="0.25">
      <c r="A40" s="40">
        <v>43888</v>
      </c>
      <c r="B40">
        <v>-0.23</v>
      </c>
    </row>
    <row r="41" spans="1:2" x14ac:dyDescent="0.25">
      <c r="A41" s="40">
        <v>43889</v>
      </c>
      <c r="B41">
        <v>-0.28000000000000003</v>
      </c>
    </row>
    <row r="42" spans="1:2" x14ac:dyDescent="0.25">
      <c r="A42" s="40">
        <v>43892</v>
      </c>
      <c r="B42">
        <v>-0.31</v>
      </c>
    </row>
    <row r="43" spans="1:2" x14ac:dyDescent="0.25">
      <c r="A43" s="40">
        <v>43893</v>
      </c>
      <c r="B43">
        <v>-0.43</v>
      </c>
    </row>
    <row r="44" spans="1:2" x14ac:dyDescent="0.25">
      <c r="A44" s="40">
        <v>43894</v>
      </c>
      <c r="B44">
        <v>-0.44</v>
      </c>
    </row>
    <row r="45" spans="1:2" x14ac:dyDescent="0.25">
      <c r="A45" s="40">
        <v>43895</v>
      </c>
      <c r="B45">
        <v>-0.48</v>
      </c>
    </row>
    <row r="46" spans="1:2" x14ac:dyDescent="0.25">
      <c r="A46" s="40">
        <v>43896</v>
      </c>
      <c r="B46">
        <v>-0.56999999999999995</v>
      </c>
    </row>
    <row r="47" spans="1:2" x14ac:dyDescent="0.25">
      <c r="A47" s="40">
        <v>43899</v>
      </c>
      <c r="B47">
        <v>-0.45</v>
      </c>
    </row>
    <row r="48" spans="1:2" x14ac:dyDescent="0.25">
      <c r="A48" s="40">
        <v>43900</v>
      </c>
      <c r="B48">
        <v>-0.24</v>
      </c>
    </row>
    <row r="49" spans="1:2" x14ac:dyDescent="0.25">
      <c r="A49" s="40">
        <v>43901</v>
      </c>
      <c r="B49">
        <v>-0.14000000000000001</v>
      </c>
    </row>
    <row r="50" spans="1:2" x14ac:dyDescent="0.25">
      <c r="A50" s="40">
        <v>43902</v>
      </c>
      <c r="B50">
        <v>-0.04</v>
      </c>
    </row>
    <row r="51" spans="1:2" x14ac:dyDescent="0.25">
      <c r="A51" s="40">
        <v>43903</v>
      </c>
      <c r="B51">
        <v>0.04</v>
      </c>
    </row>
    <row r="52" spans="1:2" x14ac:dyDescent="0.25">
      <c r="A52" s="40">
        <v>43906</v>
      </c>
      <c r="B52">
        <v>0</v>
      </c>
    </row>
    <row r="53" spans="1:2" x14ac:dyDescent="0.25">
      <c r="A53" s="40">
        <v>43907</v>
      </c>
      <c r="B53">
        <v>0.39</v>
      </c>
    </row>
    <row r="54" spans="1:2" x14ac:dyDescent="0.25">
      <c r="A54" s="40">
        <v>43908</v>
      </c>
      <c r="B54">
        <v>0.55000000000000004</v>
      </c>
    </row>
    <row r="55" spans="1:2" x14ac:dyDescent="0.25">
      <c r="A55" s="40">
        <v>43909</v>
      </c>
      <c r="B55">
        <v>0.62</v>
      </c>
    </row>
    <row r="56" spans="1:2" x14ac:dyDescent="0.25">
      <c r="A56" s="40">
        <v>43910</v>
      </c>
      <c r="B56">
        <v>0.17</v>
      </c>
    </row>
    <row r="57" spans="1:2" x14ac:dyDescent="0.25">
      <c r="A57" s="40">
        <v>43913</v>
      </c>
      <c r="B57">
        <v>-0.04</v>
      </c>
    </row>
    <row r="58" spans="1:2" x14ac:dyDescent="0.25">
      <c r="A58" s="40">
        <v>43914</v>
      </c>
      <c r="B58">
        <v>-0.13</v>
      </c>
    </row>
    <row r="59" spans="1:2" x14ac:dyDescent="0.25">
      <c r="A59" s="40">
        <v>43915</v>
      </c>
      <c r="B59">
        <v>-0.19</v>
      </c>
    </row>
    <row r="60" spans="1:2" x14ac:dyDescent="0.25">
      <c r="A60" s="40">
        <v>43916</v>
      </c>
      <c r="B60">
        <v>-0.24</v>
      </c>
    </row>
    <row r="61" spans="1:2" x14ac:dyDescent="0.25">
      <c r="A61" s="40">
        <v>43917</v>
      </c>
      <c r="B61">
        <v>-0.22</v>
      </c>
    </row>
    <row r="62" spans="1:2" x14ac:dyDescent="0.25">
      <c r="A62" s="40">
        <v>43920</v>
      </c>
      <c r="B62">
        <v>-0.25</v>
      </c>
    </row>
    <row r="63" spans="1:2" x14ac:dyDescent="0.25">
      <c r="A63" s="40">
        <v>43921</v>
      </c>
      <c r="B63">
        <v>-0.17</v>
      </c>
    </row>
    <row r="64" spans="1:2" x14ac:dyDescent="0.25">
      <c r="A64" s="40">
        <v>43922</v>
      </c>
      <c r="B64">
        <v>-0.28999999999999998</v>
      </c>
    </row>
    <row r="65" spans="1:2" x14ac:dyDescent="0.25">
      <c r="A65" s="40">
        <v>43923</v>
      </c>
      <c r="B65">
        <v>-0.4</v>
      </c>
    </row>
    <row r="66" spans="1:2" x14ac:dyDescent="0.25">
      <c r="A66" s="40">
        <v>43924</v>
      </c>
      <c r="B66">
        <v>-0.46</v>
      </c>
    </row>
    <row r="67" spans="1:2" x14ac:dyDescent="0.25">
      <c r="A67" s="40">
        <v>43927</v>
      </c>
      <c r="B67">
        <v>-0.47</v>
      </c>
    </row>
    <row r="68" spans="1:2" x14ac:dyDescent="0.25">
      <c r="A68" s="40">
        <v>43928</v>
      </c>
      <c r="B68">
        <v>-0.42</v>
      </c>
    </row>
    <row r="69" spans="1:2" x14ac:dyDescent="0.25">
      <c r="A69" s="40">
        <v>43929</v>
      </c>
      <c r="B69">
        <v>-0.42</v>
      </c>
    </row>
    <row r="70" spans="1:2" x14ac:dyDescent="0.25">
      <c r="A70" s="40">
        <v>43930</v>
      </c>
      <c r="B70">
        <v>-0.5</v>
      </c>
    </row>
    <row r="71" spans="1:2" x14ac:dyDescent="0.25">
      <c r="A71" s="40">
        <v>43934</v>
      </c>
      <c r="B71">
        <v>-0.5</v>
      </c>
    </row>
    <row r="72" spans="1:2" x14ac:dyDescent="0.25">
      <c r="A72" s="40">
        <v>43935</v>
      </c>
      <c r="B72">
        <v>-0.53</v>
      </c>
    </row>
    <row r="73" spans="1:2" x14ac:dyDescent="0.25">
      <c r="A73" s="40">
        <v>43936</v>
      </c>
      <c r="B73">
        <v>-0.56000000000000005</v>
      </c>
    </row>
    <row r="74" spans="1:2" x14ac:dyDescent="0.25">
      <c r="A74" s="40">
        <v>43937</v>
      </c>
      <c r="B74">
        <v>-0.42</v>
      </c>
    </row>
    <row r="75" spans="1:2" x14ac:dyDescent="0.25">
      <c r="A75" s="40">
        <v>43938</v>
      </c>
      <c r="B75">
        <v>-0.36</v>
      </c>
    </row>
    <row r="76" spans="1:2" x14ac:dyDescent="0.25">
      <c r="A76" s="40">
        <v>43941</v>
      </c>
      <c r="B76">
        <v>-0.31</v>
      </c>
    </row>
    <row r="77" spans="1:2" x14ac:dyDescent="0.25">
      <c r="A77" s="40">
        <v>43942</v>
      </c>
      <c r="B77">
        <v>-0.38</v>
      </c>
    </row>
    <row r="78" spans="1:2" x14ac:dyDescent="0.25">
      <c r="A78" s="40">
        <v>43943</v>
      </c>
      <c r="B78">
        <v>-0.43</v>
      </c>
    </row>
    <row r="79" spans="1:2" x14ac:dyDescent="0.25">
      <c r="A79" s="40">
        <v>43944</v>
      </c>
      <c r="B79">
        <v>-0.44</v>
      </c>
    </row>
    <row r="80" spans="1:2" x14ac:dyDescent="0.25">
      <c r="A80" s="40">
        <v>43945</v>
      </c>
      <c r="B80">
        <v>-0.51</v>
      </c>
    </row>
    <row r="81" spans="1:2" x14ac:dyDescent="0.25">
      <c r="A81" s="40">
        <v>43948</v>
      </c>
      <c r="B81">
        <v>-0.5</v>
      </c>
    </row>
    <row r="82" spans="1:2" x14ac:dyDescent="0.25">
      <c r="A82" s="40">
        <v>43949</v>
      </c>
      <c r="B82">
        <v>-0.52</v>
      </c>
    </row>
    <row r="83" spans="1:2" x14ac:dyDescent="0.25">
      <c r="A83" s="40">
        <v>43950</v>
      </c>
      <c r="B83">
        <v>-0.51</v>
      </c>
    </row>
    <row r="84" spans="1:2" x14ac:dyDescent="0.25">
      <c r="A84" s="40">
        <v>43951</v>
      </c>
      <c r="B84">
        <v>-0.43</v>
      </c>
    </row>
    <row r="85" spans="1:2" x14ac:dyDescent="0.25">
      <c r="A85" s="40">
        <v>43952</v>
      </c>
      <c r="B85">
        <v>-0.42</v>
      </c>
    </row>
    <row r="86" spans="1:2" x14ac:dyDescent="0.25">
      <c r="A86" s="40">
        <v>43955</v>
      </c>
      <c r="B86">
        <v>-0.43</v>
      </c>
    </row>
    <row r="87" spans="1:2" x14ac:dyDescent="0.25">
      <c r="A87" s="40">
        <v>43956</v>
      </c>
      <c r="B87">
        <v>-0.44</v>
      </c>
    </row>
    <row r="88" spans="1:2" x14ac:dyDescent="0.25">
      <c r="A88" s="40">
        <v>43957</v>
      </c>
      <c r="B88">
        <v>-0.38</v>
      </c>
    </row>
    <row r="89" spans="1:2" x14ac:dyDescent="0.25">
      <c r="A89" s="40">
        <v>43958</v>
      </c>
      <c r="B89">
        <v>-0.45</v>
      </c>
    </row>
    <row r="90" spans="1:2" x14ac:dyDescent="0.25">
      <c r="A90" s="40">
        <v>43959</v>
      </c>
      <c r="B90">
        <v>-0.43</v>
      </c>
    </row>
    <row r="91" spans="1:2" x14ac:dyDescent="0.25">
      <c r="A91" s="40">
        <v>43962</v>
      </c>
      <c r="B91">
        <v>-0.4</v>
      </c>
    </row>
    <row r="92" spans="1:2" x14ac:dyDescent="0.25">
      <c r="A92" s="40">
        <v>43963</v>
      </c>
      <c r="B92">
        <v>-0.4</v>
      </c>
    </row>
    <row r="93" spans="1:2" x14ac:dyDescent="0.25">
      <c r="A93" s="40">
        <v>43964</v>
      </c>
      <c r="B93">
        <v>-0.43</v>
      </c>
    </row>
    <row r="94" spans="1:2" x14ac:dyDescent="0.25">
      <c r="A94" s="40">
        <v>43965</v>
      </c>
      <c r="B94">
        <v>-0.43</v>
      </c>
    </row>
    <row r="95" spans="1:2" x14ac:dyDescent="0.25">
      <c r="A95" s="40">
        <v>43966</v>
      </c>
      <c r="B95">
        <v>-0.45</v>
      </c>
    </row>
    <row r="96" spans="1:2" x14ac:dyDescent="0.25">
      <c r="A96" s="40">
        <v>43969</v>
      </c>
      <c r="B96">
        <v>-0.44</v>
      </c>
    </row>
    <row r="97" spans="1:2" x14ac:dyDescent="0.25">
      <c r="A97" s="40">
        <v>43970</v>
      </c>
      <c r="B97">
        <v>-0.45</v>
      </c>
    </row>
    <row r="98" spans="1:2" x14ac:dyDescent="0.25">
      <c r="A98" s="40">
        <v>43971</v>
      </c>
      <c r="B98">
        <v>-0.48</v>
      </c>
    </row>
    <row r="99" spans="1:2" x14ac:dyDescent="0.25">
      <c r="A99" s="40">
        <v>43972</v>
      </c>
      <c r="B99">
        <v>-0.46</v>
      </c>
    </row>
    <row r="100" spans="1:2" x14ac:dyDescent="0.25">
      <c r="A100" s="40">
        <v>43973</v>
      </c>
      <c r="B100">
        <v>-0.46</v>
      </c>
    </row>
    <row r="101" spans="1:2" x14ac:dyDescent="0.25">
      <c r="A101" s="40">
        <v>43977</v>
      </c>
      <c r="B101">
        <v>-0.44</v>
      </c>
    </row>
    <row r="102" spans="1:2" x14ac:dyDescent="0.25">
      <c r="A102" s="40">
        <v>43978</v>
      </c>
      <c r="B102">
        <v>-0.46</v>
      </c>
    </row>
    <row r="103" spans="1:2" x14ac:dyDescent="0.25">
      <c r="A103" s="40">
        <v>43979</v>
      </c>
      <c r="B103">
        <v>-0.48</v>
      </c>
    </row>
    <row r="104" spans="1:2" x14ac:dyDescent="0.25">
      <c r="A104" s="40">
        <v>43980</v>
      </c>
      <c r="B104">
        <v>-0.5</v>
      </c>
    </row>
    <row r="105" spans="1:2" x14ac:dyDescent="0.25">
      <c r="A105" s="40">
        <v>43983</v>
      </c>
      <c r="B105">
        <v>-0.52</v>
      </c>
    </row>
    <row r="106" spans="1:2" x14ac:dyDescent="0.25">
      <c r="A106" s="40">
        <v>43984</v>
      </c>
      <c r="B106">
        <v>-0.5</v>
      </c>
    </row>
    <row r="107" spans="1:2" x14ac:dyDescent="0.25">
      <c r="A107" s="40">
        <v>43985</v>
      </c>
      <c r="B107">
        <v>-0.44</v>
      </c>
    </row>
    <row r="108" spans="1:2" x14ac:dyDescent="0.25">
      <c r="A108" s="40">
        <v>43986</v>
      </c>
      <c r="B108">
        <v>-0.4</v>
      </c>
    </row>
    <row r="109" spans="1:2" x14ac:dyDescent="0.25">
      <c r="A109" s="40">
        <v>43987</v>
      </c>
      <c r="B109">
        <v>-0.36</v>
      </c>
    </row>
    <row r="110" spans="1:2" x14ac:dyDescent="0.25">
      <c r="A110" s="40">
        <v>43990</v>
      </c>
      <c r="B110">
        <v>-0.4</v>
      </c>
    </row>
    <row r="111" spans="1:2" x14ac:dyDescent="0.25">
      <c r="A111" s="40">
        <v>43991</v>
      </c>
      <c r="B111">
        <v>-0.42</v>
      </c>
    </row>
    <row r="112" spans="1:2" x14ac:dyDescent="0.25">
      <c r="A112" s="40">
        <v>43992</v>
      </c>
      <c r="B112">
        <v>-0.52</v>
      </c>
    </row>
    <row r="113" spans="1:2" x14ac:dyDescent="0.25">
      <c r="A113" s="40">
        <v>43993</v>
      </c>
      <c r="B113">
        <v>-0.55000000000000004</v>
      </c>
    </row>
    <row r="114" spans="1:2" x14ac:dyDescent="0.25">
      <c r="A114" s="40">
        <v>43994</v>
      </c>
      <c r="B114">
        <v>-0.5</v>
      </c>
    </row>
    <row r="115" spans="1:2" x14ac:dyDescent="0.25">
      <c r="A115" s="40">
        <v>43997</v>
      </c>
      <c r="B115">
        <v>-0.52</v>
      </c>
    </row>
    <row r="116" spans="1:2" x14ac:dyDescent="0.25">
      <c r="A116" s="40">
        <v>43998</v>
      </c>
      <c r="B116">
        <v>-0.52</v>
      </c>
    </row>
    <row r="117" spans="1:2" x14ac:dyDescent="0.25">
      <c r="A117" s="40">
        <v>43999</v>
      </c>
      <c r="B117">
        <v>-0.52</v>
      </c>
    </row>
    <row r="118" spans="1:2" x14ac:dyDescent="0.25">
      <c r="A118" s="40">
        <v>44000</v>
      </c>
      <c r="B118">
        <v>-0.56999999999999995</v>
      </c>
    </row>
    <row r="119" spans="1:2" x14ac:dyDescent="0.25">
      <c r="A119" s="40">
        <v>44001</v>
      </c>
      <c r="B119">
        <v>-0.6</v>
      </c>
    </row>
    <row r="120" spans="1:2" x14ac:dyDescent="0.25">
      <c r="A120" s="40">
        <v>44004</v>
      </c>
      <c r="B120">
        <v>-0.63</v>
      </c>
    </row>
    <row r="121" spans="1:2" x14ac:dyDescent="0.25">
      <c r="A121" s="40">
        <v>44005</v>
      </c>
      <c r="B121">
        <v>-0.66</v>
      </c>
    </row>
    <row r="122" spans="1:2" x14ac:dyDescent="0.25">
      <c r="A122" s="40">
        <v>44006</v>
      </c>
      <c r="B122">
        <v>-0.64</v>
      </c>
    </row>
    <row r="123" spans="1:2" x14ac:dyDescent="0.25">
      <c r="A123" s="40">
        <v>44007</v>
      </c>
      <c r="B123">
        <v>-0.65</v>
      </c>
    </row>
    <row r="124" spans="1:2" x14ac:dyDescent="0.25">
      <c r="A124" s="40">
        <v>44008</v>
      </c>
      <c r="B124">
        <v>-0.68</v>
      </c>
    </row>
    <row r="125" spans="1:2" x14ac:dyDescent="0.25">
      <c r="A125" s="40">
        <v>44011</v>
      </c>
      <c r="B125">
        <v>-0.7</v>
      </c>
    </row>
    <row r="126" spans="1:2" x14ac:dyDescent="0.25">
      <c r="A126" s="40">
        <v>44012</v>
      </c>
      <c r="B126">
        <v>-0.68</v>
      </c>
    </row>
    <row r="127" spans="1:2" x14ac:dyDescent="0.25">
      <c r="A127" s="40">
        <v>44013</v>
      </c>
      <c r="B127">
        <v>-0.68</v>
      </c>
    </row>
    <row r="128" spans="1:2" x14ac:dyDescent="0.25">
      <c r="A128" s="40">
        <v>44014</v>
      </c>
      <c r="B128">
        <v>-0.73</v>
      </c>
    </row>
    <row r="129" spans="1:2" x14ac:dyDescent="0.25">
      <c r="A129" s="40">
        <v>44018</v>
      </c>
      <c r="B129">
        <v>-0.76</v>
      </c>
    </row>
    <row r="130" spans="1:2" x14ac:dyDescent="0.25">
      <c r="A130" s="40">
        <v>44019</v>
      </c>
      <c r="B130">
        <v>-0.78</v>
      </c>
    </row>
    <row r="131" spans="1:2" x14ac:dyDescent="0.25">
      <c r="A131" s="40">
        <v>44020</v>
      </c>
      <c r="B131">
        <v>-0.75</v>
      </c>
    </row>
    <row r="132" spans="1:2" x14ac:dyDescent="0.25">
      <c r="A132" s="40">
        <v>44021</v>
      </c>
      <c r="B132">
        <v>-0.77</v>
      </c>
    </row>
    <row r="133" spans="1:2" x14ac:dyDescent="0.25">
      <c r="A133" s="40">
        <v>44022</v>
      </c>
      <c r="B133">
        <v>-0.76</v>
      </c>
    </row>
    <row r="134" spans="1:2" x14ac:dyDescent="0.25">
      <c r="A134" s="40">
        <v>44025</v>
      </c>
      <c r="B134">
        <v>-0.78</v>
      </c>
    </row>
    <row r="135" spans="1:2" x14ac:dyDescent="0.25">
      <c r="A135" s="40">
        <v>44026</v>
      </c>
      <c r="B135">
        <v>-0.78</v>
      </c>
    </row>
    <row r="136" spans="1:2" x14ac:dyDescent="0.25">
      <c r="A136" s="40">
        <v>44027</v>
      </c>
      <c r="B136">
        <v>-0.77</v>
      </c>
    </row>
    <row r="137" spans="1:2" x14ac:dyDescent="0.25">
      <c r="A137" s="40">
        <v>44028</v>
      </c>
      <c r="B137">
        <v>-0.79</v>
      </c>
    </row>
    <row r="138" spans="1:2" x14ac:dyDescent="0.25">
      <c r="A138" s="40">
        <v>44029</v>
      </c>
      <c r="B138">
        <v>-0.82</v>
      </c>
    </row>
    <row r="139" spans="1:2" x14ac:dyDescent="0.25">
      <c r="A139" s="40">
        <v>44032</v>
      </c>
      <c r="B139">
        <v>-0.84</v>
      </c>
    </row>
    <row r="140" spans="1:2" x14ac:dyDescent="0.25">
      <c r="A140" s="40">
        <v>44033</v>
      </c>
      <c r="B140">
        <v>-0.87</v>
      </c>
    </row>
    <row r="141" spans="1:2" x14ac:dyDescent="0.25">
      <c r="A141" s="40">
        <v>44034</v>
      </c>
      <c r="B141">
        <v>-0.88</v>
      </c>
    </row>
    <row r="142" spans="1:2" x14ac:dyDescent="0.25">
      <c r="A142" s="40">
        <v>44035</v>
      </c>
      <c r="B142">
        <v>-0.9</v>
      </c>
    </row>
    <row r="143" spans="1:2" x14ac:dyDescent="0.25">
      <c r="A143" s="40">
        <v>44036</v>
      </c>
      <c r="B143">
        <v>-0.92</v>
      </c>
    </row>
    <row r="144" spans="1:2" x14ac:dyDescent="0.25">
      <c r="A144" s="40">
        <v>44039</v>
      </c>
      <c r="B144">
        <v>-0.9</v>
      </c>
    </row>
    <row r="145" spans="1:2" x14ac:dyDescent="0.25">
      <c r="A145" s="40">
        <v>44040</v>
      </c>
      <c r="B145">
        <v>-0.92</v>
      </c>
    </row>
    <row r="146" spans="1:2" x14ac:dyDescent="0.25">
      <c r="A146" s="40">
        <v>44041</v>
      </c>
      <c r="B146">
        <v>-0.95</v>
      </c>
    </row>
    <row r="147" spans="1:2" x14ac:dyDescent="0.25">
      <c r="A147" s="40">
        <v>44042</v>
      </c>
      <c r="B147">
        <v>-0.97</v>
      </c>
    </row>
    <row r="148" spans="1:2" x14ac:dyDescent="0.25">
      <c r="A148" s="40">
        <v>44043</v>
      </c>
      <c r="B148">
        <v>-1</v>
      </c>
    </row>
    <row r="149" spans="1:2" x14ac:dyDescent="0.25">
      <c r="A149" s="40">
        <v>44046</v>
      </c>
      <c r="B149">
        <v>-1.02</v>
      </c>
    </row>
    <row r="150" spans="1:2" x14ac:dyDescent="0.25">
      <c r="A150" s="40">
        <v>44047</v>
      </c>
      <c r="B150">
        <v>-1.05</v>
      </c>
    </row>
    <row r="151" spans="1:2" x14ac:dyDescent="0.25">
      <c r="A151" s="40">
        <v>44048</v>
      </c>
      <c r="B151">
        <v>-1.06</v>
      </c>
    </row>
    <row r="152" spans="1:2" x14ac:dyDescent="0.25">
      <c r="A152" s="40">
        <v>44049</v>
      </c>
      <c r="B152">
        <v>-1.08</v>
      </c>
    </row>
    <row r="153" spans="1:2" x14ac:dyDescent="0.25">
      <c r="A153" s="40">
        <v>44050</v>
      </c>
      <c r="B153">
        <v>-1.04</v>
      </c>
    </row>
    <row r="154" spans="1:2" x14ac:dyDescent="0.25">
      <c r="A154" s="40">
        <v>44053</v>
      </c>
      <c r="B154">
        <v>-1.02</v>
      </c>
    </row>
    <row r="155" spans="1:2" x14ac:dyDescent="0.25">
      <c r="A155" s="40">
        <v>44054</v>
      </c>
      <c r="B155">
        <v>-0.99</v>
      </c>
    </row>
    <row r="156" spans="1:2" x14ac:dyDescent="0.25">
      <c r="A156" s="40">
        <v>44055</v>
      </c>
      <c r="B156">
        <v>-0.98</v>
      </c>
    </row>
    <row r="157" spans="1:2" x14ac:dyDescent="0.25">
      <c r="A157" s="40">
        <v>44056</v>
      </c>
      <c r="B157">
        <v>-0.96</v>
      </c>
    </row>
    <row r="158" spans="1:2" x14ac:dyDescent="0.25">
      <c r="A158" s="40">
        <v>44057</v>
      </c>
      <c r="B158">
        <v>-0.94</v>
      </c>
    </row>
    <row r="159" spans="1:2" x14ac:dyDescent="0.25">
      <c r="A159" s="40">
        <v>44060</v>
      </c>
      <c r="B159">
        <v>-0.97</v>
      </c>
    </row>
    <row r="160" spans="1:2" x14ac:dyDescent="0.25">
      <c r="A160" s="40">
        <v>44061</v>
      </c>
      <c r="B160">
        <v>-1.01</v>
      </c>
    </row>
    <row r="161" spans="1:2" x14ac:dyDescent="0.25">
      <c r="A161" s="40">
        <v>44062</v>
      </c>
      <c r="B161">
        <v>-0.99</v>
      </c>
    </row>
    <row r="162" spans="1:2" x14ac:dyDescent="0.25">
      <c r="A162" s="40">
        <v>44063</v>
      </c>
      <c r="B162">
        <v>-0.97</v>
      </c>
    </row>
    <row r="163" spans="1:2" x14ac:dyDescent="0.25">
      <c r="A163" s="40">
        <v>44064</v>
      </c>
      <c r="B163">
        <v>-1</v>
      </c>
    </row>
    <row r="164" spans="1:2" x14ac:dyDescent="0.25">
      <c r="A164" s="40">
        <v>44067</v>
      </c>
      <c r="B164">
        <v>-1.02</v>
      </c>
    </row>
    <row r="165" spans="1:2" x14ac:dyDescent="0.25">
      <c r="A165" s="40">
        <v>44068</v>
      </c>
      <c r="B165">
        <v>-1.01</v>
      </c>
    </row>
    <row r="166" spans="1:2" x14ac:dyDescent="0.25">
      <c r="A166" s="40">
        <v>44069</v>
      </c>
      <c r="B166">
        <v>-1.03</v>
      </c>
    </row>
    <row r="167" spans="1:2" x14ac:dyDescent="0.25">
      <c r="A167" s="40">
        <v>44070</v>
      </c>
      <c r="B167">
        <v>-0.99</v>
      </c>
    </row>
    <row r="168" spans="1:2" x14ac:dyDescent="0.25">
      <c r="A168" s="40">
        <v>44071</v>
      </c>
      <c r="B168">
        <v>-1.03</v>
      </c>
    </row>
    <row r="169" spans="1:2" x14ac:dyDescent="0.25">
      <c r="A169" s="40">
        <v>44074</v>
      </c>
      <c r="B169">
        <v>-1.08</v>
      </c>
    </row>
    <row r="170" spans="1:2" x14ac:dyDescent="0.25">
      <c r="A170" s="40">
        <v>44075</v>
      </c>
      <c r="B170">
        <v>-1.08</v>
      </c>
    </row>
    <row r="171" spans="1:2" x14ac:dyDescent="0.25">
      <c r="A171" s="40">
        <v>44076</v>
      </c>
      <c r="B171">
        <v>-1.07</v>
      </c>
    </row>
    <row r="172" spans="1:2" x14ac:dyDescent="0.25">
      <c r="A172" s="40">
        <v>44077</v>
      </c>
      <c r="B172">
        <v>-1.02</v>
      </c>
    </row>
    <row r="173" spans="1:2" x14ac:dyDescent="0.25">
      <c r="A173" s="40">
        <v>44078</v>
      </c>
      <c r="B173">
        <v>-0.98</v>
      </c>
    </row>
    <row r="174" spans="1:2" x14ac:dyDescent="0.25">
      <c r="A174" s="40">
        <v>44082</v>
      </c>
      <c r="B174">
        <v>-0.99</v>
      </c>
    </row>
    <row r="175" spans="1:2" x14ac:dyDescent="0.25">
      <c r="A175" s="40">
        <v>44083</v>
      </c>
      <c r="B175">
        <v>-1</v>
      </c>
    </row>
    <row r="176" spans="1:2" x14ac:dyDescent="0.25">
      <c r="A176" s="40">
        <v>44084</v>
      </c>
      <c r="B176">
        <v>-1.01</v>
      </c>
    </row>
    <row r="177" spans="1:2" x14ac:dyDescent="0.25">
      <c r="A177" s="40">
        <v>44085</v>
      </c>
      <c r="B177">
        <v>-0.98</v>
      </c>
    </row>
    <row r="178" spans="1:2" x14ac:dyDescent="0.25">
      <c r="A178" s="40">
        <v>44088</v>
      </c>
      <c r="B178">
        <v>-0.97</v>
      </c>
    </row>
    <row r="179" spans="1:2" x14ac:dyDescent="0.25">
      <c r="A179" s="40">
        <v>44089</v>
      </c>
      <c r="B179">
        <v>-0.99</v>
      </c>
    </row>
    <row r="180" spans="1:2" x14ac:dyDescent="0.25">
      <c r="A180" s="40">
        <v>44090</v>
      </c>
      <c r="B180">
        <v>-0.99</v>
      </c>
    </row>
    <row r="181" spans="1:2" x14ac:dyDescent="0.25">
      <c r="A181" s="40">
        <v>44091</v>
      </c>
      <c r="B181">
        <v>-0.97</v>
      </c>
    </row>
    <row r="182" spans="1:2" x14ac:dyDescent="0.25">
      <c r="A182" s="40">
        <v>44092</v>
      </c>
      <c r="B182">
        <v>-0.97</v>
      </c>
    </row>
    <row r="183" spans="1:2" x14ac:dyDescent="0.25">
      <c r="A183" s="40">
        <v>44095</v>
      </c>
      <c r="B183">
        <v>-0.94</v>
      </c>
    </row>
    <row r="184" spans="1:2" x14ac:dyDescent="0.25">
      <c r="A184" s="40">
        <v>44096</v>
      </c>
      <c r="B184">
        <v>-0.94</v>
      </c>
    </row>
    <row r="185" spans="1:2" x14ac:dyDescent="0.25">
      <c r="A185" s="40">
        <v>44097</v>
      </c>
      <c r="B185">
        <v>-0.92</v>
      </c>
    </row>
    <row r="186" spans="1:2" x14ac:dyDescent="0.25">
      <c r="A186" s="40">
        <v>44098</v>
      </c>
      <c r="B186">
        <v>-0.91</v>
      </c>
    </row>
    <row r="187" spans="1:2" x14ac:dyDescent="0.25">
      <c r="A187" s="40">
        <v>44099</v>
      </c>
      <c r="B187">
        <v>-0.92</v>
      </c>
    </row>
    <row r="188" spans="1:2" x14ac:dyDescent="0.25">
      <c r="A188" s="40">
        <v>44102</v>
      </c>
      <c r="B188">
        <v>-0.94</v>
      </c>
    </row>
    <row r="189" spans="1:2" x14ac:dyDescent="0.25">
      <c r="A189" s="40">
        <v>44103</v>
      </c>
      <c r="B189">
        <v>-0.98</v>
      </c>
    </row>
    <row r="190" spans="1:2" x14ac:dyDescent="0.25">
      <c r="A190" s="40">
        <v>44104</v>
      </c>
      <c r="B190">
        <v>-0.94</v>
      </c>
    </row>
    <row r="191" spans="1:2" x14ac:dyDescent="0.25">
      <c r="A191" s="40">
        <v>44105</v>
      </c>
      <c r="B191">
        <v>-0.95</v>
      </c>
    </row>
    <row r="192" spans="1:2" x14ac:dyDescent="0.25">
      <c r="A192" s="40">
        <v>44106</v>
      </c>
      <c r="B192">
        <v>-0.94</v>
      </c>
    </row>
    <row r="193" spans="1:2" x14ac:dyDescent="0.25">
      <c r="A193" s="40">
        <v>44109</v>
      </c>
      <c r="B193">
        <v>-0.9</v>
      </c>
    </row>
    <row r="194" spans="1:2" x14ac:dyDescent="0.25">
      <c r="A194" s="40">
        <v>44110</v>
      </c>
      <c r="B194">
        <v>-0.9</v>
      </c>
    </row>
    <row r="195" spans="1:2" x14ac:dyDescent="0.25">
      <c r="A195" s="40">
        <v>44111</v>
      </c>
      <c r="B195">
        <v>-0.9</v>
      </c>
    </row>
    <row r="196" spans="1:2" x14ac:dyDescent="0.25">
      <c r="A196" s="40">
        <v>44112</v>
      </c>
      <c r="B196">
        <v>-0.94</v>
      </c>
    </row>
    <row r="197" spans="1:2" x14ac:dyDescent="0.25">
      <c r="A197" s="40">
        <v>44113</v>
      </c>
      <c r="B197">
        <v>-0.94</v>
      </c>
    </row>
    <row r="198" spans="1:2" x14ac:dyDescent="0.25">
      <c r="A198" s="40">
        <v>44117</v>
      </c>
      <c r="B198">
        <v>-0.96</v>
      </c>
    </row>
    <row r="199" spans="1:2" x14ac:dyDescent="0.25">
      <c r="A199" s="40">
        <v>44118</v>
      </c>
      <c r="B199">
        <v>-0.96</v>
      </c>
    </row>
    <row r="200" spans="1:2" x14ac:dyDescent="0.25">
      <c r="A200" s="40">
        <v>44119</v>
      </c>
      <c r="B200">
        <v>-0.95</v>
      </c>
    </row>
    <row r="201" spans="1:2" x14ac:dyDescent="0.25">
      <c r="A201" s="40">
        <v>44120</v>
      </c>
      <c r="B201">
        <v>-0.95</v>
      </c>
    </row>
    <row r="202" spans="1:2" x14ac:dyDescent="0.25">
      <c r="A202" s="40">
        <v>44123</v>
      </c>
      <c r="B202">
        <v>-0.93</v>
      </c>
    </row>
    <row r="203" spans="1:2" x14ac:dyDescent="0.25">
      <c r="A203" s="40">
        <v>44124</v>
      </c>
      <c r="B203">
        <v>-0.91</v>
      </c>
    </row>
    <row r="204" spans="1:2" x14ac:dyDescent="0.25">
      <c r="A204" s="40">
        <v>44125</v>
      </c>
      <c r="B204">
        <v>-0.91</v>
      </c>
    </row>
    <row r="205" spans="1:2" x14ac:dyDescent="0.25">
      <c r="A205" s="40">
        <v>44126</v>
      </c>
      <c r="B205">
        <v>-0.89</v>
      </c>
    </row>
    <row r="206" spans="1:2" x14ac:dyDescent="0.25">
      <c r="A206" s="40">
        <v>44127</v>
      </c>
      <c r="B206">
        <v>-0.9</v>
      </c>
    </row>
    <row r="207" spans="1:2" x14ac:dyDescent="0.25">
      <c r="A207" s="40">
        <v>44130</v>
      </c>
      <c r="B207">
        <v>-0.91</v>
      </c>
    </row>
    <row r="208" spans="1:2" x14ac:dyDescent="0.25">
      <c r="A208" s="40">
        <v>44131</v>
      </c>
      <c r="B208">
        <v>-0.92</v>
      </c>
    </row>
    <row r="209" spans="1:2" x14ac:dyDescent="0.25">
      <c r="A209" s="40">
        <v>44132</v>
      </c>
      <c r="B209">
        <v>-0.91</v>
      </c>
    </row>
    <row r="210" spans="1:2" x14ac:dyDescent="0.25">
      <c r="A210" s="40">
        <v>44133</v>
      </c>
      <c r="B210">
        <v>-0.86</v>
      </c>
    </row>
    <row r="211" spans="1:2" x14ac:dyDescent="0.25">
      <c r="A211" s="40">
        <v>44134</v>
      </c>
      <c r="B211">
        <v>-0.82</v>
      </c>
    </row>
    <row r="212" spans="1:2" x14ac:dyDescent="0.25">
      <c r="A212" s="40">
        <v>44137</v>
      </c>
      <c r="B212">
        <v>-0.84</v>
      </c>
    </row>
    <row r="213" spans="1:2" x14ac:dyDescent="0.25">
      <c r="A213" s="40">
        <v>44138</v>
      </c>
      <c r="B213">
        <v>-0.82</v>
      </c>
    </row>
    <row r="214" spans="1:2" x14ac:dyDescent="0.25">
      <c r="A214" s="40">
        <v>44139</v>
      </c>
      <c r="B214">
        <v>-0.86</v>
      </c>
    </row>
    <row r="215" spans="1:2" x14ac:dyDescent="0.25">
      <c r="A215" s="40">
        <v>44140</v>
      </c>
      <c r="B215">
        <v>-0.87</v>
      </c>
    </row>
    <row r="216" spans="1:2" x14ac:dyDescent="0.25">
      <c r="A216" s="40">
        <v>44141</v>
      </c>
      <c r="B216">
        <v>-0.82</v>
      </c>
    </row>
    <row r="217" spans="1:2" x14ac:dyDescent="0.25">
      <c r="A217" s="40">
        <v>44144</v>
      </c>
      <c r="B217">
        <v>-0.77</v>
      </c>
    </row>
    <row r="218" spans="1:2" x14ac:dyDescent="0.25">
      <c r="A218" s="40">
        <v>44145</v>
      </c>
      <c r="B218">
        <v>-0.78</v>
      </c>
    </row>
    <row r="219" spans="1:2" x14ac:dyDescent="0.25">
      <c r="A219" s="40">
        <v>44147</v>
      </c>
      <c r="B219">
        <v>-0.83</v>
      </c>
    </row>
    <row r="220" spans="1:2" x14ac:dyDescent="0.25">
      <c r="A220" s="40">
        <v>44148</v>
      </c>
      <c r="B220">
        <v>-0.83</v>
      </c>
    </row>
    <row r="221" spans="1:2" x14ac:dyDescent="0.25">
      <c r="A221" s="40">
        <v>44151</v>
      </c>
      <c r="B221">
        <v>-0.81</v>
      </c>
    </row>
    <row r="222" spans="1:2" x14ac:dyDescent="0.25">
      <c r="A222" s="40">
        <v>44152</v>
      </c>
      <c r="B222">
        <v>-0.83</v>
      </c>
    </row>
    <row r="223" spans="1:2" x14ac:dyDescent="0.25">
      <c r="A223" s="40">
        <v>44153</v>
      </c>
      <c r="B223">
        <v>-0.82</v>
      </c>
    </row>
    <row r="224" spans="1:2" x14ac:dyDescent="0.25">
      <c r="A224" s="40">
        <v>44154</v>
      </c>
      <c r="B224">
        <v>-0.84</v>
      </c>
    </row>
    <row r="225" spans="1:2" x14ac:dyDescent="0.25">
      <c r="A225" s="40">
        <v>44155</v>
      </c>
      <c r="B225">
        <v>-0.86</v>
      </c>
    </row>
    <row r="226" spans="1:2" x14ac:dyDescent="0.25">
      <c r="A226" s="40">
        <v>44158</v>
      </c>
      <c r="B226">
        <v>-0.85</v>
      </c>
    </row>
    <row r="227" spans="1:2" x14ac:dyDescent="0.25">
      <c r="A227" s="40">
        <v>44159</v>
      </c>
      <c r="B227">
        <v>-0.86</v>
      </c>
    </row>
    <row r="228" spans="1:2" x14ac:dyDescent="0.25">
      <c r="A228" s="40">
        <v>44160</v>
      </c>
      <c r="B228">
        <v>-0.87</v>
      </c>
    </row>
    <row r="229" spans="1:2" x14ac:dyDescent="0.25">
      <c r="A229" s="40">
        <v>44162</v>
      </c>
      <c r="B229">
        <v>-0.91</v>
      </c>
    </row>
    <row r="230" spans="1:2" x14ac:dyDescent="0.25">
      <c r="A230" s="40">
        <v>44165</v>
      </c>
      <c r="B230">
        <v>-0.93</v>
      </c>
    </row>
    <row r="231" spans="1:2" x14ac:dyDescent="0.25">
      <c r="A231" s="40">
        <v>44166</v>
      </c>
      <c r="B231">
        <v>-0.89</v>
      </c>
    </row>
    <row r="232" spans="1:2" x14ac:dyDescent="0.25">
      <c r="A232" s="40">
        <v>44167</v>
      </c>
      <c r="B232">
        <v>-0.9</v>
      </c>
    </row>
    <row r="233" spans="1:2" x14ac:dyDescent="0.25">
      <c r="A233" s="40">
        <v>44168</v>
      </c>
      <c r="B233">
        <v>-0.94</v>
      </c>
    </row>
    <row r="234" spans="1:2" x14ac:dyDescent="0.25">
      <c r="A234" s="40">
        <v>44169</v>
      </c>
      <c r="B234">
        <v>-0.92</v>
      </c>
    </row>
    <row r="235" spans="1:2" x14ac:dyDescent="0.25">
      <c r="A235" s="40">
        <v>44172</v>
      </c>
      <c r="B235">
        <v>-0.94</v>
      </c>
    </row>
    <row r="236" spans="1:2" x14ac:dyDescent="0.25">
      <c r="A236" s="40">
        <v>44173</v>
      </c>
      <c r="B236">
        <v>-0.97</v>
      </c>
    </row>
    <row r="237" spans="1:2" x14ac:dyDescent="0.25">
      <c r="A237" s="40">
        <v>44174</v>
      </c>
      <c r="B237">
        <v>-0.96</v>
      </c>
    </row>
    <row r="238" spans="1:2" x14ac:dyDescent="0.25">
      <c r="A238" s="40">
        <v>44175</v>
      </c>
      <c r="B238">
        <v>-0.96</v>
      </c>
    </row>
    <row r="239" spans="1:2" x14ac:dyDescent="0.25">
      <c r="A239" s="40">
        <v>44176</v>
      </c>
      <c r="B239">
        <v>-0.97</v>
      </c>
    </row>
    <row r="240" spans="1:2" x14ac:dyDescent="0.25">
      <c r="A240" s="40">
        <v>44179</v>
      </c>
      <c r="B240">
        <v>-0.98</v>
      </c>
    </row>
    <row r="241" spans="1:2" x14ac:dyDescent="0.25">
      <c r="A241" s="40">
        <v>44180</v>
      </c>
      <c r="B241">
        <v>-0.99</v>
      </c>
    </row>
    <row r="242" spans="1:2" x14ac:dyDescent="0.25">
      <c r="A242" s="40">
        <v>44181</v>
      </c>
      <c r="B242">
        <v>-1</v>
      </c>
    </row>
    <row r="243" spans="1:2" x14ac:dyDescent="0.25">
      <c r="A243" s="40">
        <v>44182</v>
      </c>
      <c r="B243">
        <v>-1</v>
      </c>
    </row>
    <row r="244" spans="1:2" x14ac:dyDescent="0.25">
      <c r="A244" s="40">
        <v>44183</v>
      </c>
      <c r="B244">
        <v>-1</v>
      </c>
    </row>
    <row r="245" spans="1:2" x14ac:dyDescent="0.25">
      <c r="A245" s="40">
        <v>44186</v>
      </c>
      <c r="B245">
        <v>-1</v>
      </c>
    </row>
    <row r="246" spans="1:2" x14ac:dyDescent="0.25">
      <c r="A246" s="40">
        <v>44187</v>
      </c>
      <c r="B246">
        <v>-1.01</v>
      </c>
    </row>
    <row r="247" spans="1:2" x14ac:dyDescent="0.25">
      <c r="A247" s="40">
        <v>44188</v>
      </c>
      <c r="B247">
        <v>-1.01</v>
      </c>
    </row>
    <row r="248" spans="1:2" x14ac:dyDescent="0.25">
      <c r="A248" s="40">
        <v>44189</v>
      </c>
      <c r="B248">
        <v>-1.03</v>
      </c>
    </row>
    <row r="249" spans="1:2" x14ac:dyDescent="0.25">
      <c r="A249" s="40">
        <v>44193</v>
      </c>
      <c r="B249">
        <v>-1.03</v>
      </c>
    </row>
    <row r="250" spans="1:2" x14ac:dyDescent="0.25">
      <c r="A250" s="40">
        <v>44194</v>
      </c>
      <c r="B250">
        <v>-1.02</v>
      </c>
    </row>
    <row r="251" spans="1:2" x14ac:dyDescent="0.25">
      <c r="A251" s="40">
        <v>44195</v>
      </c>
      <c r="B251">
        <v>-1.03</v>
      </c>
    </row>
    <row r="252" spans="1:2" x14ac:dyDescent="0.25">
      <c r="A252" s="40">
        <v>44196</v>
      </c>
      <c r="B252">
        <v>-1.06</v>
      </c>
    </row>
    <row r="253" spans="1:2" x14ac:dyDescent="0.25">
      <c r="A253" s="40">
        <v>44200</v>
      </c>
      <c r="B253">
        <v>-1.08</v>
      </c>
    </row>
    <row r="254" spans="1:2" x14ac:dyDescent="0.25">
      <c r="A254" s="40">
        <v>44201</v>
      </c>
      <c r="B254">
        <v>-1.07</v>
      </c>
    </row>
    <row r="255" spans="1:2" x14ac:dyDescent="0.25">
      <c r="A255" s="40">
        <v>44202</v>
      </c>
      <c r="B255">
        <v>-1.02</v>
      </c>
    </row>
    <row r="256" spans="1:2" x14ac:dyDescent="0.25">
      <c r="A256" s="40">
        <v>44203</v>
      </c>
      <c r="B256">
        <v>-1.01</v>
      </c>
    </row>
    <row r="257" spans="1:2" x14ac:dyDescent="0.25">
      <c r="A257" s="40">
        <v>44204</v>
      </c>
      <c r="B257">
        <v>-0.93</v>
      </c>
    </row>
    <row r="258" spans="1:2" x14ac:dyDescent="0.25">
      <c r="A258" s="40">
        <v>44207</v>
      </c>
      <c r="B258">
        <v>-0.91</v>
      </c>
    </row>
    <row r="259" spans="1:2" x14ac:dyDescent="0.25">
      <c r="A259" s="40">
        <v>44208</v>
      </c>
      <c r="B259">
        <v>-0.93</v>
      </c>
    </row>
    <row r="260" spans="1:2" x14ac:dyDescent="0.25">
      <c r="A260" s="40">
        <v>44209</v>
      </c>
      <c r="B260">
        <v>-0.96</v>
      </c>
    </row>
    <row r="261" spans="1:2" x14ac:dyDescent="0.25">
      <c r="A261" s="40">
        <v>44210</v>
      </c>
      <c r="B261">
        <v>-0.94</v>
      </c>
    </row>
    <row r="262" spans="1:2" x14ac:dyDescent="0.25">
      <c r="A262" s="40">
        <v>44211</v>
      </c>
      <c r="B262">
        <v>-0.99</v>
      </c>
    </row>
    <row r="263" spans="1:2" x14ac:dyDescent="0.25">
      <c r="A263" s="40">
        <v>44215</v>
      </c>
      <c r="B263">
        <v>-1</v>
      </c>
    </row>
    <row r="264" spans="1:2" x14ac:dyDescent="0.25">
      <c r="A264" s="40">
        <v>44216</v>
      </c>
      <c r="B264">
        <v>-1.02</v>
      </c>
    </row>
    <row r="265" spans="1:2" x14ac:dyDescent="0.25">
      <c r="A265" s="40">
        <v>44217</v>
      </c>
      <c r="B265">
        <v>-0.98</v>
      </c>
    </row>
    <row r="266" spans="1:2" x14ac:dyDescent="0.25">
      <c r="A266" s="40">
        <v>44218</v>
      </c>
      <c r="B266">
        <v>-0.99</v>
      </c>
    </row>
    <row r="267" spans="1:2" x14ac:dyDescent="0.25">
      <c r="A267" s="40">
        <v>44221</v>
      </c>
      <c r="B267">
        <v>-1.03</v>
      </c>
    </row>
    <row r="268" spans="1:2" x14ac:dyDescent="0.25">
      <c r="A268" s="40">
        <v>44222</v>
      </c>
      <c r="B268">
        <v>-1.03</v>
      </c>
    </row>
    <row r="269" spans="1:2" x14ac:dyDescent="0.25">
      <c r="A269" s="40">
        <v>44223</v>
      </c>
      <c r="B269">
        <v>-1.04</v>
      </c>
    </row>
    <row r="270" spans="1:2" x14ac:dyDescent="0.25">
      <c r="A270" s="40">
        <v>44224</v>
      </c>
      <c r="B270">
        <v>-1.06</v>
      </c>
    </row>
    <row r="271" spans="1:2" x14ac:dyDescent="0.25">
      <c r="A271" s="40">
        <v>44225</v>
      </c>
      <c r="B271">
        <v>-1.02</v>
      </c>
    </row>
    <row r="272" spans="1:2" x14ac:dyDescent="0.25">
      <c r="A272" s="40">
        <v>44228</v>
      </c>
      <c r="B272">
        <v>-1.02</v>
      </c>
    </row>
    <row r="273" spans="1:2" x14ac:dyDescent="0.25">
      <c r="A273" s="40">
        <v>44229</v>
      </c>
      <c r="B273">
        <v>-1.03</v>
      </c>
    </row>
    <row r="274" spans="1:2" x14ac:dyDescent="0.25">
      <c r="A274" s="40">
        <v>44230</v>
      </c>
      <c r="B274">
        <v>-1.04</v>
      </c>
    </row>
    <row r="275" spans="1:2" x14ac:dyDescent="0.25">
      <c r="A275" s="40">
        <v>44231</v>
      </c>
      <c r="B275">
        <v>-1.02</v>
      </c>
    </row>
    <row r="276" spans="1:2" x14ac:dyDescent="0.25">
      <c r="A276" s="40">
        <v>44232</v>
      </c>
      <c r="B276">
        <v>-1.02</v>
      </c>
    </row>
    <row r="277" spans="1:2" x14ac:dyDescent="0.25">
      <c r="A277" s="40">
        <v>44235</v>
      </c>
      <c r="B277">
        <v>-1.03</v>
      </c>
    </row>
    <row r="278" spans="1:2" x14ac:dyDescent="0.25">
      <c r="A278" s="40">
        <v>44236</v>
      </c>
      <c r="B278">
        <v>-1.04</v>
      </c>
    </row>
    <row r="279" spans="1:2" x14ac:dyDescent="0.25">
      <c r="A279" s="40">
        <v>44237</v>
      </c>
      <c r="B279">
        <v>-1.06</v>
      </c>
    </row>
    <row r="280" spans="1:2" x14ac:dyDescent="0.25">
      <c r="A280" s="40">
        <v>44238</v>
      </c>
      <c r="B280">
        <v>-1.04</v>
      </c>
    </row>
    <row r="281" spans="1:2" x14ac:dyDescent="0.25">
      <c r="A281" s="40">
        <v>44239</v>
      </c>
      <c r="B281">
        <v>-1.01</v>
      </c>
    </row>
    <row r="282" spans="1:2" x14ac:dyDescent="0.25">
      <c r="A282" s="40">
        <v>44243</v>
      </c>
      <c r="B282">
        <v>-0.94</v>
      </c>
    </row>
    <row r="283" spans="1:2" x14ac:dyDescent="0.25">
      <c r="A283" s="40">
        <v>44244</v>
      </c>
      <c r="B283">
        <v>-0.92</v>
      </c>
    </row>
    <row r="284" spans="1:2" x14ac:dyDescent="0.25">
      <c r="A284" s="40">
        <v>44245</v>
      </c>
      <c r="B284">
        <v>-0.87</v>
      </c>
    </row>
    <row r="285" spans="1:2" x14ac:dyDescent="0.25">
      <c r="A285" s="40">
        <v>44246</v>
      </c>
      <c r="B285">
        <v>-0.8</v>
      </c>
    </row>
    <row r="286" spans="1:2" x14ac:dyDescent="0.25">
      <c r="A286" s="40">
        <v>44249</v>
      </c>
      <c r="B286">
        <v>-0.79</v>
      </c>
    </row>
    <row r="287" spans="1:2" x14ac:dyDescent="0.25">
      <c r="A287" s="40">
        <v>44250</v>
      </c>
      <c r="B287">
        <v>-0.79</v>
      </c>
    </row>
    <row r="288" spans="1:2" x14ac:dyDescent="0.25">
      <c r="A288" s="40">
        <v>44251</v>
      </c>
      <c r="B288">
        <v>-0.79</v>
      </c>
    </row>
    <row r="289" spans="1:2" x14ac:dyDescent="0.25">
      <c r="A289" s="40">
        <v>44252</v>
      </c>
      <c r="B289">
        <v>-0.6</v>
      </c>
    </row>
    <row r="290" spans="1:2" x14ac:dyDescent="0.25">
      <c r="A290" s="40">
        <v>44253</v>
      </c>
      <c r="B290">
        <v>-0.71</v>
      </c>
    </row>
    <row r="291" spans="1:2" x14ac:dyDescent="0.25">
      <c r="A291" s="40">
        <v>44256</v>
      </c>
      <c r="B291">
        <v>-0.71</v>
      </c>
    </row>
    <row r="292" spans="1:2" x14ac:dyDescent="0.25">
      <c r="A292" s="40">
        <v>44257</v>
      </c>
      <c r="B292">
        <v>-0.78</v>
      </c>
    </row>
    <row r="293" spans="1:2" x14ac:dyDescent="0.25">
      <c r="A293" s="40">
        <v>44258</v>
      </c>
      <c r="B293">
        <v>-0.74</v>
      </c>
    </row>
    <row r="294" spans="1:2" x14ac:dyDescent="0.25">
      <c r="A294" s="40">
        <v>44259</v>
      </c>
      <c r="B294">
        <v>-0.66</v>
      </c>
    </row>
    <row r="295" spans="1:2" x14ac:dyDescent="0.25">
      <c r="A295" s="40">
        <v>44260</v>
      </c>
      <c r="B295">
        <v>-0.66</v>
      </c>
    </row>
    <row r="296" spans="1:2" x14ac:dyDescent="0.25">
      <c r="A296" s="40">
        <v>44263</v>
      </c>
      <c r="B296">
        <v>-0.62</v>
      </c>
    </row>
    <row r="297" spans="1:2" x14ac:dyDescent="0.25">
      <c r="A297" s="40">
        <v>44264</v>
      </c>
      <c r="B297">
        <v>-0.66</v>
      </c>
    </row>
    <row r="298" spans="1:2" x14ac:dyDescent="0.25">
      <c r="A298" s="40">
        <v>44265</v>
      </c>
      <c r="B298">
        <v>-0.73</v>
      </c>
    </row>
    <row r="299" spans="1:2" x14ac:dyDescent="0.25">
      <c r="A299" s="40">
        <v>44266</v>
      </c>
      <c r="B299">
        <v>-0.74</v>
      </c>
    </row>
    <row r="300" spans="1:2" x14ac:dyDescent="0.25">
      <c r="A300" s="40">
        <v>44267</v>
      </c>
      <c r="B300">
        <v>-0.62</v>
      </c>
    </row>
    <row r="301" spans="1:2" x14ac:dyDescent="0.25">
      <c r="A301" s="40">
        <v>44270</v>
      </c>
      <c r="B301">
        <v>-0.65</v>
      </c>
    </row>
    <row r="302" spans="1:2" x14ac:dyDescent="0.25">
      <c r="A302" s="40">
        <v>44271</v>
      </c>
      <c r="B302">
        <v>-0.68</v>
      </c>
    </row>
    <row r="303" spans="1:2" x14ac:dyDescent="0.25">
      <c r="A303" s="40">
        <v>44272</v>
      </c>
      <c r="B303">
        <v>-0.67</v>
      </c>
    </row>
    <row r="304" spans="1:2" x14ac:dyDescent="0.25">
      <c r="A304" s="40">
        <v>44273</v>
      </c>
      <c r="B304">
        <v>-0.56000000000000005</v>
      </c>
    </row>
    <row r="305" spans="1:2" x14ac:dyDescent="0.25">
      <c r="A305" s="40">
        <v>44274</v>
      </c>
      <c r="B305">
        <v>-0.56999999999999995</v>
      </c>
    </row>
    <row r="306" spans="1:2" x14ac:dyDescent="0.25">
      <c r="A306" s="40">
        <v>44277</v>
      </c>
      <c r="B306">
        <v>-0.64</v>
      </c>
    </row>
    <row r="307" spans="1:2" x14ac:dyDescent="0.25">
      <c r="A307" s="40">
        <v>44278</v>
      </c>
      <c r="B307">
        <v>-0.66</v>
      </c>
    </row>
    <row r="308" spans="1:2" x14ac:dyDescent="0.25">
      <c r="A308" s="40">
        <v>44279</v>
      </c>
      <c r="B308">
        <v>-0.69</v>
      </c>
    </row>
    <row r="309" spans="1:2" x14ac:dyDescent="0.25">
      <c r="A309" s="40">
        <v>44280</v>
      </c>
      <c r="B309">
        <v>-0.69</v>
      </c>
    </row>
    <row r="310" spans="1:2" x14ac:dyDescent="0.25">
      <c r="A310" s="40">
        <v>44281</v>
      </c>
      <c r="B310">
        <v>-0.67</v>
      </c>
    </row>
    <row r="311" spans="1:2" x14ac:dyDescent="0.25">
      <c r="A311" s="40">
        <v>44284</v>
      </c>
      <c r="B311">
        <v>-0.63</v>
      </c>
    </row>
    <row r="312" spans="1:2" x14ac:dyDescent="0.25">
      <c r="A312" s="40">
        <v>44285</v>
      </c>
      <c r="B312">
        <v>-0.62</v>
      </c>
    </row>
    <row r="313" spans="1:2" x14ac:dyDescent="0.25">
      <c r="A313" s="40">
        <v>44286</v>
      </c>
      <c r="B313">
        <v>-0.63</v>
      </c>
    </row>
    <row r="314" spans="1:2" x14ac:dyDescent="0.25">
      <c r="A314" s="40">
        <v>44287</v>
      </c>
      <c r="B314">
        <v>-0.66</v>
      </c>
    </row>
    <row r="315" spans="1:2" x14ac:dyDescent="0.25">
      <c r="A315" s="40">
        <v>44288</v>
      </c>
      <c r="B315">
        <v>-0.64</v>
      </c>
    </row>
    <row r="316" spans="1:2" x14ac:dyDescent="0.25">
      <c r="A316" s="40">
        <v>44291</v>
      </c>
      <c r="B316">
        <v>-0.62</v>
      </c>
    </row>
    <row r="317" spans="1:2" x14ac:dyDescent="0.25">
      <c r="A317" s="40">
        <v>44292</v>
      </c>
      <c r="B317">
        <v>-0.65</v>
      </c>
    </row>
    <row r="318" spans="1:2" x14ac:dyDescent="0.25">
      <c r="A318" s="40">
        <v>44293</v>
      </c>
      <c r="B318">
        <v>-0.66</v>
      </c>
    </row>
    <row r="319" spans="1:2" x14ac:dyDescent="0.25">
      <c r="A319" s="40">
        <v>44294</v>
      </c>
      <c r="B319">
        <v>-0.69</v>
      </c>
    </row>
    <row r="320" spans="1:2" x14ac:dyDescent="0.25">
      <c r="A320" s="40">
        <v>44295</v>
      </c>
      <c r="B320">
        <v>-0.64</v>
      </c>
    </row>
    <row r="321" spans="1:2" x14ac:dyDescent="0.25">
      <c r="A321" s="40">
        <v>44298</v>
      </c>
      <c r="B321">
        <v>-0.64</v>
      </c>
    </row>
    <row r="322" spans="1:2" x14ac:dyDescent="0.25">
      <c r="A322" s="40">
        <v>44299</v>
      </c>
      <c r="B322">
        <v>-0.69</v>
      </c>
    </row>
    <row r="323" spans="1:2" x14ac:dyDescent="0.25">
      <c r="A323" s="40">
        <v>44300</v>
      </c>
      <c r="B323">
        <v>-0.69</v>
      </c>
    </row>
    <row r="324" spans="1:2" x14ac:dyDescent="0.25">
      <c r="A324" s="40">
        <v>44301</v>
      </c>
      <c r="B324">
        <v>-0.77</v>
      </c>
    </row>
    <row r="325" spans="1:2" x14ac:dyDescent="0.25">
      <c r="A325" s="40">
        <v>44302</v>
      </c>
      <c r="B325">
        <v>-0.77</v>
      </c>
    </row>
    <row r="326" spans="1:2" x14ac:dyDescent="0.25">
      <c r="A326" s="40">
        <v>44305</v>
      </c>
      <c r="B326">
        <v>-0.73</v>
      </c>
    </row>
    <row r="327" spans="1:2" x14ac:dyDescent="0.25">
      <c r="A327" s="40">
        <v>44306</v>
      </c>
      <c r="B327">
        <v>-0.74</v>
      </c>
    </row>
    <row r="328" spans="1:2" x14ac:dyDescent="0.25">
      <c r="A328" s="40">
        <v>44307</v>
      </c>
      <c r="B328">
        <v>-0.76</v>
      </c>
    </row>
    <row r="329" spans="1:2" x14ac:dyDescent="0.25">
      <c r="A329" s="40">
        <v>44308</v>
      </c>
      <c r="B329">
        <v>-0.76</v>
      </c>
    </row>
    <row r="330" spans="1:2" x14ac:dyDescent="0.25">
      <c r="A330" s="40">
        <v>44309</v>
      </c>
      <c r="B330">
        <v>-0.76</v>
      </c>
    </row>
    <row r="331" spans="1:2" x14ac:dyDescent="0.25">
      <c r="A331" s="40">
        <v>44312</v>
      </c>
      <c r="B331">
        <v>-0.78</v>
      </c>
    </row>
    <row r="332" spans="1:2" x14ac:dyDescent="0.25">
      <c r="A332" s="40">
        <v>44313</v>
      </c>
      <c r="B332">
        <v>-0.76</v>
      </c>
    </row>
    <row r="333" spans="1:2" x14ac:dyDescent="0.25">
      <c r="A333" s="40">
        <v>44314</v>
      </c>
      <c r="B333">
        <v>-0.78</v>
      </c>
    </row>
    <row r="334" spans="1:2" x14ac:dyDescent="0.25">
      <c r="A334" s="40">
        <v>44315</v>
      </c>
      <c r="B334">
        <v>-0.77</v>
      </c>
    </row>
    <row r="335" spans="1:2" x14ac:dyDescent="0.25">
      <c r="A335" s="40">
        <v>44316</v>
      </c>
      <c r="B335">
        <v>-0.76</v>
      </c>
    </row>
    <row r="336" spans="1:2" x14ac:dyDescent="0.25">
      <c r="A336" s="40">
        <v>44319</v>
      </c>
      <c r="B336">
        <v>-0.79</v>
      </c>
    </row>
    <row r="337" spans="1:2" x14ac:dyDescent="0.25">
      <c r="A337" s="40">
        <v>44320</v>
      </c>
      <c r="B337">
        <v>-0.81</v>
      </c>
    </row>
    <row r="338" spans="1:2" x14ac:dyDescent="0.25">
      <c r="A338" s="40">
        <v>44321</v>
      </c>
      <c r="B338">
        <v>-0.88</v>
      </c>
    </row>
    <row r="339" spans="1:2" x14ac:dyDescent="0.25">
      <c r="A339" s="40">
        <v>44322</v>
      </c>
      <c r="B339">
        <v>-0.87</v>
      </c>
    </row>
    <row r="340" spans="1:2" x14ac:dyDescent="0.25">
      <c r="A340" s="40">
        <v>44323</v>
      </c>
      <c r="B340">
        <v>-0.89</v>
      </c>
    </row>
    <row r="341" spans="1:2" x14ac:dyDescent="0.25">
      <c r="A341" s="40">
        <v>44326</v>
      </c>
      <c r="B341">
        <v>-0.91</v>
      </c>
    </row>
    <row r="342" spans="1:2" x14ac:dyDescent="0.25">
      <c r="A342" s="40">
        <v>44327</v>
      </c>
      <c r="B342">
        <v>-0.89</v>
      </c>
    </row>
    <row r="343" spans="1:2" x14ac:dyDescent="0.25">
      <c r="A343" s="40">
        <v>44328</v>
      </c>
      <c r="B343">
        <v>-0.85</v>
      </c>
    </row>
    <row r="344" spans="1:2" x14ac:dyDescent="0.25">
      <c r="A344" s="40">
        <v>44329</v>
      </c>
      <c r="B344">
        <v>-0.85</v>
      </c>
    </row>
    <row r="345" spans="1:2" x14ac:dyDescent="0.25">
      <c r="A345" s="40">
        <v>44330</v>
      </c>
      <c r="B345">
        <v>-0.88</v>
      </c>
    </row>
    <row r="346" spans="1:2" x14ac:dyDescent="0.25">
      <c r="A346" s="40">
        <v>44333</v>
      </c>
      <c r="B346">
        <v>-0.9</v>
      </c>
    </row>
    <row r="347" spans="1:2" x14ac:dyDescent="0.25">
      <c r="A347" s="40">
        <v>44334</v>
      </c>
      <c r="B347">
        <v>-0.88</v>
      </c>
    </row>
    <row r="348" spans="1:2" x14ac:dyDescent="0.25">
      <c r="A348" s="40">
        <v>44335</v>
      </c>
      <c r="B348">
        <v>-0.8</v>
      </c>
    </row>
    <row r="349" spans="1:2" x14ac:dyDescent="0.25">
      <c r="A349" s="40">
        <v>44336</v>
      </c>
      <c r="B349">
        <v>-0.78</v>
      </c>
    </row>
    <row r="350" spans="1:2" x14ac:dyDescent="0.25">
      <c r="A350" s="40">
        <v>44337</v>
      </c>
      <c r="B350">
        <v>-0.8</v>
      </c>
    </row>
    <row r="351" spans="1:2" x14ac:dyDescent="0.25">
      <c r="A351" s="40">
        <v>44340</v>
      </c>
      <c r="B351">
        <v>-0.83</v>
      </c>
    </row>
    <row r="352" spans="1:2" x14ac:dyDescent="0.25">
      <c r="A352" s="40">
        <v>44341</v>
      </c>
      <c r="B352">
        <v>-0.86</v>
      </c>
    </row>
    <row r="353" spans="1:2" x14ac:dyDescent="0.25">
      <c r="A353" s="40">
        <v>44342</v>
      </c>
      <c r="B353">
        <v>-0.82</v>
      </c>
    </row>
    <row r="354" spans="1:2" x14ac:dyDescent="0.25">
      <c r="A354" s="40">
        <v>44343</v>
      </c>
      <c r="B354">
        <v>-0.81</v>
      </c>
    </row>
    <row r="355" spans="1:2" x14ac:dyDescent="0.25">
      <c r="A355" s="40">
        <v>44344</v>
      </c>
      <c r="B355">
        <v>-0.84</v>
      </c>
    </row>
    <row r="356" spans="1:2" x14ac:dyDescent="0.25">
      <c r="A356" s="40">
        <v>44348</v>
      </c>
      <c r="B356">
        <v>-0.84</v>
      </c>
    </row>
    <row r="357" spans="1:2" x14ac:dyDescent="0.25">
      <c r="A357" s="40">
        <v>44349</v>
      </c>
      <c r="B357">
        <v>-0.85</v>
      </c>
    </row>
    <row r="358" spans="1:2" x14ac:dyDescent="0.25">
      <c r="A358" s="40">
        <v>44350</v>
      </c>
      <c r="B358">
        <v>-0.79</v>
      </c>
    </row>
    <row r="359" spans="1:2" x14ac:dyDescent="0.25">
      <c r="A359" s="40">
        <v>44351</v>
      </c>
      <c r="B359">
        <v>-0.84</v>
      </c>
    </row>
    <row r="360" spans="1:2" x14ac:dyDescent="0.25">
      <c r="A360" s="40">
        <v>44354</v>
      </c>
      <c r="B360">
        <v>-0.82</v>
      </c>
    </row>
    <row r="361" spans="1:2" x14ac:dyDescent="0.25">
      <c r="A361" s="40">
        <v>44355</v>
      </c>
      <c r="B361">
        <v>-0.83</v>
      </c>
    </row>
    <row r="362" spans="1:2" x14ac:dyDescent="0.25">
      <c r="A362" s="40">
        <v>44356</v>
      </c>
      <c r="B362">
        <v>-0.82</v>
      </c>
    </row>
    <row r="363" spans="1:2" x14ac:dyDescent="0.25">
      <c r="A363" s="40">
        <v>44357</v>
      </c>
      <c r="B363">
        <v>-0.9</v>
      </c>
    </row>
    <row r="364" spans="1:2" x14ac:dyDescent="0.25">
      <c r="A364" s="40">
        <v>44358</v>
      </c>
      <c r="B364">
        <v>-0.85</v>
      </c>
    </row>
    <row r="365" spans="1:2" x14ac:dyDescent="0.25">
      <c r="A365" s="40">
        <v>44361</v>
      </c>
      <c r="B365">
        <v>-0.85</v>
      </c>
    </row>
    <row r="366" spans="1:2" x14ac:dyDescent="0.25">
      <c r="A366" s="40">
        <v>44362</v>
      </c>
      <c r="B366">
        <v>-0.87</v>
      </c>
    </row>
    <row r="367" spans="1:2" x14ac:dyDescent="0.25">
      <c r="A367" s="40">
        <v>44363</v>
      </c>
      <c r="B367">
        <v>-0.75</v>
      </c>
    </row>
    <row r="368" spans="1:2" x14ac:dyDescent="0.25">
      <c r="A368" s="40">
        <v>44364</v>
      </c>
      <c r="B368">
        <v>-0.75</v>
      </c>
    </row>
    <row r="369" spans="1:2" x14ac:dyDescent="0.25">
      <c r="A369" s="40">
        <v>44365</v>
      </c>
      <c r="B369">
        <v>-0.79</v>
      </c>
    </row>
    <row r="370" spans="1:2" x14ac:dyDescent="0.25">
      <c r="A370" s="40">
        <v>44368</v>
      </c>
      <c r="B370">
        <v>-0.75</v>
      </c>
    </row>
    <row r="371" spans="1:2" x14ac:dyDescent="0.25">
      <c r="A371" s="40">
        <v>44369</v>
      </c>
      <c r="B371">
        <v>-0.83</v>
      </c>
    </row>
    <row r="372" spans="1:2" x14ac:dyDescent="0.25">
      <c r="A372" s="40">
        <v>44370</v>
      </c>
      <c r="B372">
        <v>-0.84</v>
      </c>
    </row>
    <row r="373" spans="1:2" x14ac:dyDescent="0.25">
      <c r="A373" s="40">
        <v>44371</v>
      </c>
      <c r="B373">
        <v>-0.81</v>
      </c>
    </row>
    <row r="374" spans="1:2" x14ac:dyDescent="0.25">
      <c r="A374" s="40">
        <v>44372</v>
      </c>
      <c r="B374">
        <v>-0.8</v>
      </c>
    </row>
    <row r="375" spans="1:2" x14ac:dyDescent="0.25">
      <c r="A375" s="40">
        <v>44375</v>
      </c>
      <c r="B375">
        <v>-0.84</v>
      </c>
    </row>
    <row r="376" spans="1:2" x14ac:dyDescent="0.25">
      <c r="A376" s="40">
        <v>44376</v>
      </c>
      <c r="B376">
        <v>-0.83</v>
      </c>
    </row>
    <row r="377" spans="1:2" x14ac:dyDescent="0.25">
      <c r="A377" s="40">
        <v>44377</v>
      </c>
      <c r="B377">
        <v>-0.87</v>
      </c>
    </row>
    <row r="378" spans="1:2" x14ac:dyDescent="0.25">
      <c r="A378" s="40">
        <v>44378</v>
      </c>
      <c r="B378">
        <v>-0.87</v>
      </c>
    </row>
    <row r="379" spans="1:2" x14ac:dyDescent="0.25">
      <c r="A379" s="40">
        <v>44379</v>
      </c>
      <c r="B379">
        <v>-0.89</v>
      </c>
    </row>
    <row r="380" spans="1:2" x14ac:dyDescent="0.25">
      <c r="A380" s="40">
        <v>44383</v>
      </c>
      <c r="B380">
        <v>-0.94</v>
      </c>
    </row>
    <row r="381" spans="1:2" x14ac:dyDescent="0.25">
      <c r="A381" s="40">
        <v>44384</v>
      </c>
      <c r="B381">
        <v>-0.95</v>
      </c>
    </row>
    <row r="382" spans="1:2" x14ac:dyDescent="0.25">
      <c r="A382" s="40">
        <v>44385</v>
      </c>
      <c r="B382">
        <v>-0.92</v>
      </c>
    </row>
    <row r="383" spans="1:2" x14ac:dyDescent="0.25">
      <c r="A383" s="40">
        <v>44386</v>
      </c>
      <c r="B383">
        <v>-0.91</v>
      </c>
    </row>
    <row r="384" spans="1:2" x14ac:dyDescent="0.25">
      <c r="A384" s="40">
        <v>44389</v>
      </c>
      <c r="B384">
        <v>-0.95</v>
      </c>
    </row>
    <row r="385" spans="1:2" x14ac:dyDescent="0.25">
      <c r="A385" s="40">
        <v>44390</v>
      </c>
      <c r="B385">
        <v>-0.94</v>
      </c>
    </row>
    <row r="386" spans="1:2" x14ac:dyDescent="0.25">
      <c r="A386" s="40">
        <v>44391</v>
      </c>
      <c r="B386">
        <v>-0.97</v>
      </c>
    </row>
    <row r="387" spans="1:2" x14ac:dyDescent="0.25">
      <c r="A387" s="40">
        <v>44392</v>
      </c>
      <c r="B387">
        <v>-1.01</v>
      </c>
    </row>
    <row r="388" spans="1:2" x14ac:dyDescent="0.25">
      <c r="A388" s="40">
        <v>44393</v>
      </c>
      <c r="B388">
        <v>-1.02</v>
      </c>
    </row>
    <row r="389" spans="1:2" x14ac:dyDescent="0.25">
      <c r="A389" s="40">
        <v>44396</v>
      </c>
      <c r="B389">
        <v>-1.05</v>
      </c>
    </row>
    <row r="390" spans="1:2" x14ac:dyDescent="0.25">
      <c r="A390" s="40">
        <v>44397</v>
      </c>
      <c r="B390">
        <v>-1.03</v>
      </c>
    </row>
    <row r="391" spans="1:2" x14ac:dyDescent="0.25">
      <c r="A391" s="40">
        <v>44398</v>
      </c>
      <c r="B391">
        <v>-0.98</v>
      </c>
    </row>
    <row r="392" spans="1:2" x14ac:dyDescent="0.25">
      <c r="A392" s="40">
        <v>44399</v>
      </c>
      <c r="B392">
        <v>-1.01</v>
      </c>
    </row>
    <row r="393" spans="1:2" x14ac:dyDescent="0.25">
      <c r="A393" s="40">
        <v>44400</v>
      </c>
      <c r="B393">
        <v>-1.05</v>
      </c>
    </row>
    <row r="394" spans="1:2" x14ac:dyDescent="0.25">
      <c r="A394" s="40">
        <v>44403</v>
      </c>
      <c r="B394">
        <v>-1.1100000000000001</v>
      </c>
    </row>
    <row r="395" spans="1:2" x14ac:dyDescent="0.25">
      <c r="A395" s="40">
        <v>44404</v>
      </c>
      <c r="B395">
        <v>-1.1299999999999999</v>
      </c>
    </row>
    <row r="396" spans="1:2" x14ac:dyDescent="0.25">
      <c r="A396" s="40">
        <v>44405</v>
      </c>
      <c r="B396">
        <v>-1.1499999999999999</v>
      </c>
    </row>
    <row r="397" spans="1:2" x14ac:dyDescent="0.25">
      <c r="A397" s="40">
        <v>44406</v>
      </c>
      <c r="B397">
        <v>-1.1499999999999999</v>
      </c>
    </row>
    <row r="398" spans="1:2" x14ac:dyDescent="0.25">
      <c r="A398" s="40">
        <v>44407</v>
      </c>
      <c r="B398">
        <v>-1.1599999999999999</v>
      </c>
    </row>
    <row r="399" spans="1:2" x14ac:dyDescent="0.25">
      <c r="A399" s="40">
        <v>44410</v>
      </c>
      <c r="B399">
        <v>-1.17</v>
      </c>
    </row>
    <row r="400" spans="1:2" x14ac:dyDescent="0.25">
      <c r="A400" s="40">
        <v>44411</v>
      </c>
      <c r="B400">
        <v>-1.19</v>
      </c>
    </row>
    <row r="401" spans="1:2" x14ac:dyDescent="0.25">
      <c r="A401" s="40">
        <v>44412</v>
      </c>
      <c r="B401">
        <v>-1.1599999999999999</v>
      </c>
    </row>
    <row r="402" spans="1:2" x14ac:dyDescent="0.25">
      <c r="A402" s="40">
        <v>44413</v>
      </c>
      <c r="B402">
        <v>-1.1000000000000001</v>
      </c>
    </row>
    <row r="403" spans="1:2" x14ac:dyDescent="0.25">
      <c r="A403" s="40">
        <v>44414</v>
      </c>
      <c r="B403">
        <v>-1.06</v>
      </c>
    </row>
    <row r="404" spans="1:2" x14ac:dyDescent="0.25">
      <c r="A404" s="40">
        <v>44417</v>
      </c>
      <c r="B404">
        <v>-1.04</v>
      </c>
    </row>
    <row r="405" spans="1:2" x14ac:dyDescent="0.25">
      <c r="A405" s="40">
        <v>44418</v>
      </c>
      <c r="B405">
        <v>-1.04</v>
      </c>
    </row>
    <row r="406" spans="1:2" x14ac:dyDescent="0.25">
      <c r="A406" s="40">
        <v>44419</v>
      </c>
      <c r="B406">
        <v>-1.07</v>
      </c>
    </row>
    <row r="407" spans="1:2" x14ac:dyDescent="0.25">
      <c r="A407" s="40">
        <v>44420</v>
      </c>
      <c r="B407">
        <v>-1.05</v>
      </c>
    </row>
    <row r="408" spans="1:2" x14ac:dyDescent="0.25">
      <c r="A408" s="40">
        <v>44421</v>
      </c>
      <c r="B408">
        <v>-1.08</v>
      </c>
    </row>
    <row r="409" spans="1:2" x14ac:dyDescent="0.25">
      <c r="A409" s="40">
        <v>44424</v>
      </c>
      <c r="B409">
        <v>-1.1000000000000001</v>
      </c>
    </row>
    <row r="410" spans="1:2" x14ac:dyDescent="0.25">
      <c r="A410" s="40">
        <v>44425</v>
      </c>
      <c r="B410">
        <v>-1.07</v>
      </c>
    </row>
    <row r="411" spans="1:2" x14ac:dyDescent="0.25">
      <c r="A411" s="40">
        <v>44426</v>
      </c>
      <c r="B411">
        <v>-1.05</v>
      </c>
    </row>
    <row r="412" spans="1:2" x14ac:dyDescent="0.25">
      <c r="A412" s="40">
        <v>44427</v>
      </c>
      <c r="B412">
        <v>-1.04</v>
      </c>
    </row>
    <row r="413" spans="1:2" x14ac:dyDescent="0.25">
      <c r="A413" s="40">
        <v>44428</v>
      </c>
      <c r="B413">
        <v>-1.01</v>
      </c>
    </row>
    <row r="414" spans="1:2" x14ac:dyDescent="0.25">
      <c r="A414" s="40">
        <v>44431</v>
      </c>
      <c r="B414">
        <v>-1.02</v>
      </c>
    </row>
    <row r="415" spans="1:2" x14ac:dyDescent="0.25">
      <c r="A415" s="40">
        <v>44432</v>
      </c>
      <c r="B415">
        <v>-1.01</v>
      </c>
    </row>
    <row r="416" spans="1:2" x14ac:dyDescent="0.25">
      <c r="A416" s="40">
        <v>44433</v>
      </c>
      <c r="B416">
        <v>-1</v>
      </c>
    </row>
    <row r="417" spans="1:2" x14ac:dyDescent="0.25">
      <c r="A417" s="40">
        <v>44434</v>
      </c>
      <c r="B417">
        <v>-0.99</v>
      </c>
    </row>
    <row r="418" spans="1:2" x14ac:dyDescent="0.25">
      <c r="A418" s="40">
        <v>44435</v>
      </c>
      <c r="B418">
        <v>-1.08</v>
      </c>
    </row>
    <row r="419" spans="1:2" x14ac:dyDescent="0.25">
      <c r="A419" s="40">
        <v>44438</v>
      </c>
      <c r="B419">
        <v>-1.08</v>
      </c>
    </row>
    <row r="420" spans="1:2" x14ac:dyDescent="0.25">
      <c r="A420" s="40">
        <v>44439</v>
      </c>
      <c r="B420">
        <v>-1.03</v>
      </c>
    </row>
    <row r="421" spans="1:2" x14ac:dyDescent="0.25">
      <c r="A421" s="40">
        <v>44440</v>
      </c>
      <c r="B421">
        <v>-1.03</v>
      </c>
    </row>
    <row r="422" spans="1:2" x14ac:dyDescent="0.25">
      <c r="A422" s="40">
        <v>44441</v>
      </c>
      <c r="B422">
        <v>-1.03</v>
      </c>
    </row>
    <row r="423" spans="1:2" x14ac:dyDescent="0.25">
      <c r="A423" s="40">
        <v>44442</v>
      </c>
      <c r="B423">
        <v>-1.01</v>
      </c>
    </row>
    <row r="424" spans="1:2" x14ac:dyDescent="0.25">
      <c r="A424" s="40">
        <v>44446</v>
      </c>
      <c r="B424">
        <v>-0.98</v>
      </c>
    </row>
    <row r="425" spans="1:2" x14ac:dyDescent="0.25">
      <c r="A425" s="40">
        <v>44447</v>
      </c>
      <c r="B425">
        <v>-1.03</v>
      </c>
    </row>
    <row r="426" spans="1:2" x14ac:dyDescent="0.25">
      <c r="A426" s="40">
        <v>44448</v>
      </c>
      <c r="B426">
        <v>-1.08</v>
      </c>
    </row>
    <row r="427" spans="1:2" x14ac:dyDescent="0.25">
      <c r="A427" s="40">
        <v>44449</v>
      </c>
      <c r="B427">
        <v>-1.05</v>
      </c>
    </row>
    <row r="428" spans="1:2" x14ac:dyDescent="0.25">
      <c r="A428" s="40">
        <v>44452</v>
      </c>
      <c r="B428">
        <v>-1.04</v>
      </c>
    </row>
    <row r="429" spans="1:2" x14ac:dyDescent="0.25">
      <c r="A429" s="40">
        <v>44453</v>
      </c>
      <c r="B429">
        <v>-1.05</v>
      </c>
    </row>
    <row r="430" spans="1:2" x14ac:dyDescent="0.25">
      <c r="A430" s="40">
        <v>44454</v>
      </c>
      <c r="B430">
        <v>-1.04</v>
      </c>
    </row>
    <row r="431" spans="1:2" x14ac:dyDescent="0.25">
      <c r="A431" s="40">
        <v>44455</v>
      </c>
      <c r="B431">
        <v>-1.01</v>
      </c>
    </row>
    <row r="432" spans="1:2" x14ac:dyDescent="0.25">
      <c r="A432" s="40">
        <v>44456</v>
      </c>
      <c r="B432">
        <v>-0.96</v>
      </c>
    </row>
    <row r="433" spans="1:2" x14ac:dyDescent="0.25">
      <c r="A433" s="40">
        <v>44459</v>
      </c>
      <c r="B433">
        <v>-0.98</v>
      </c>
    </row>
    <row r="434" spans="1:2" x14ac:dyDescent="0.25">
      <c r="A434" s="40">
        <v>44460</v>
      </c>
      <c r="B434">
        <v>-0.96</v>
      </c>
    </row>
    <row r="435" spans="1:2" x14ac:dyDescent="0.25">
      <c r="A435" s="40">
        <v>44461</v>
      </c>
      <c r="B435">
        <v>-0.96</v>
      </c>
    </row>
    <row r="436" spans="1:2" x14ac:dyDescent="0.25">
      <c r="A436" s="40">
        <v>44462</v>
      </c>
      <c r="B436">
        <v>-0.9</v>
      </c>
    </row>
    <row r="437" spans="1:2" x14ac:dyDescent="0.25">
      <c r="A437" s="40">
        <v>44463</v>
      </c>
      <c r="B437">
        <v>-0.87</v>
      </c>
    </row>
    <row r="438" spans="1:2" x14ac:dyDescent="0.25">
      <c r="A438" s="40">
        <v>44466</v>
      </c>
      <c r="B438">
        <v>-0.87</v>
      </c>
    </row>
    <row r="439" spans="1:2" x14ac:dyDescent="0.25">
      <c r="A439" s="40">
        <v>44467</v>
      </c>
      <c r="B439">
        <v>-0.84</v>
      </c>
    </row>
    <row r="440" spans="1:2" x14ac:dyDescent="0.25">
      <c r="A440" s="40">
        <v>44468</v>
      </c>
      <c r="B440">
        <v>-0.82</v>
      </c>
    </row>
    <row r="441" spans="1:2" x14ac:dyDescent="0.25">
      <c r="A441" s="40">
        <v>44469</v>
      </c>
      <c r="B441">
        <v>-0.85</v>
      </c>
    </row>
    <row r="442" spans="1:2" x14ac:dyDescent="0.25">
      <c r="A442" s="40">
        <v>44470</v>
      </c>
      <c r="B442">
        <v>-0.9</v>
      </c>
    </row>
    <row r="443" spans="1:2" x14ac:dyDescent="0.25">
      <c r="A443" s="40">
        <v>44473</v>
      </c>
      <c r="B443">
        <v>-0.89</v>
      </c>
    </row>
    <row r="444" spans="1:2" x14ac:dyDescent="0.25">
      <c r="A444" s="40">
        <v>44474</v>
      </c>
      <c r="B444">
        <v>-0.91</v>
      </c>
    </row>
    <row r="445" spans="1:2" x14ac:dyDescent="0.25">
      <c r="A445" s="40">
        <v>44475</v>
      </c>
      <c r="B445">
        <v>-0.9</v>
      </c>
    </row>
    <row r="446" spans="1:2" x14ac:dyDescent="0.25">
      <c r="A446" s="40">
        <v>44476</v>
      </c>
      <c r="B446">
        <v>-0.88</v>
      </c>
    </row>
    <row r="447" spans="1:2" x14ac:dyDescent="0.25">
      <c r="A447" s="40">
        <v>44477</v>
      </c>
      <c r="B447">
        <v>-0.89</v>
      </c>
    </row>
    <row r="448" spans="1:2" x14ac:dyDescent="0.25">
      <c r="A448" s="40">
        <v>44481</v>
      </c>
      <c r="B448">
        <v>-0.9</v>
      </c>
    </row>
    <row r="449" spans="1:2" x14ac:dyDescent="0.25">
      <c r="A449" s="40">
        <v>44482</v>
      </c>
      <c r="B449">
        <v>-0.96</v>
      </c>
    </row>
    <row r="450" spans="1:2" x14ac:dyDescent="0.25">
      <c r="A450" s="40">
        <v>44483</v>
      </c>
      <c r="B450">
        <v>-1</v>
      </c>
    </row>
    <row r="451" spans="1:2" x14ac:dyDescent="0.25">
      <c r="A451" s="40">
        <v>44484</v>
      </c>
      <c r="B451">
        <v>-0.97</v>
      </c>
    </row>
    <row r="452" spans="1:2" x14ac:dyDescent="0.25">
      <c r="A452" s="40">
        <v>44487</v>
      </c>
      <c r="B452">
        <v>-0.95</v>
      </c>
    </row>
    <row r="453" spans="1:2" x14ac:dyDescent="0.25">
      <c r="A453" s="40">
        <v>44488</v>
      </c>
      <c r="B453">
        <v>-0.89</v>
      </c>
    </row>
    <row r="454" spans="1:2" x14ac:dyDescent="0.25">
      <c r="A454" s="40">
        <v>44489</v>
      </c>
      <c r="B454">
        <v>-0.92</v>
      </c>
    </row>
    <row r="455" spans="1:2" x14ac:dyDescent="0.25">
      <c r="A455" s="40">
        <v>44490</v>
      </c>
      <c r="B455">
        <v>-0.96</v>
      </c>
    </row>
    <row r="456" spans="1:2" x14ac:dyDescent="0.25">
      <c r="A456" s="40">
        <v>44491</v>
      </c>
      <c r="B456">
        <v>-0.98</v>
      </c>
    </row>
    <row r="457" spans="1:2" x14ac:dyDescent="0.25">
      <c r="A457" s="40">
        <v>44494</v>
      </c>
      <c r="B457">
        <v>-1.02</v>
      </c>
    </row>
    <row r="458" spans="1:2" x14ac:dyDescent="0.25">
      <c r="A458" s="40">
        <v>44495</v>
      </c>
      <c r="B458">
        <v>-1.06</v>
      </c>
    </row>
    <row r="459" spans="1:2" x14ac:dyDescent="0.25">
      <c r="A459" s="40">
        <v>44496</v>
      </c>
      <c r="B459">
        <v>-1.1100000000000001</v>
      </c>
    </row>
    <row r="460" spans="1:2" x14ac:dyDescent="0.25">
      <c r="A460" s="40">
        <v>44497</v>
      </c>
      <c r="B460">
        <v>-1</v>
      </c>
    </row>
    <row r="461" spans="1:2" x14ac:dyDescent="0.25">
      <c r="A461" s="40">
        <v>44498</v>
      </c>
      <c r="B461">
        <v>-0.96</v>
      </c>
    </row>
    <row r="462" spans="1:2" x14ac:dyDescent="0.25">
      <c r="A462" s="40">
        <v>44501</v>
      </c>
      <c r="B462">
        <v>-0.92</v>
      </c>
    </row>
    <row r="463" spans="1:2" x14ac:dyDescent="0.25">
      <c r="A463" s="40">
        <v>44502</v>
      </c>
      <c r="B463">
        <v>-0.95</v>
      </c>
    </row>
    <row r="464" spans="1:2" x14ac:dyDescent="0.25">
      <c r="A464" s="40">
        <v>44503</v>
      </c>
      <c r="B464">
        <v>-0.93</v>
      </c>
    </row>
    <row r="465" spans="1:2" x14ac:dyDescent="0.25">
      <c r="A465" s="40">
        <v>44504</v>
      </c>
      <c r="B465">
        <v>-1.03</v>
      </c>
    </row>
    <row r="466" spans="1:2" x14ac:dyDescent="0.25">
      <c r="A466" s="40">
        <v>44505</v>
      </c>
      <c r="B466">
        <v>-1.0900000000000001</v>
      </c>
    </row>
    <row r="467" spans="1:2" x14ac:dyDescent="0.25">
      <c r="A467" s="40">
        <v>44508</v>
      </c>
      <c r="B467">
        <v>-1.1100000000000001</v>
      </c>
    </row>
    <row r="468" spans="1:2" x14ac:dyDescent="0.25">
      <c r="A468" s="40">
        <v>44509</v>
      </c>
      <c r="B468">
        <v>-1.17</v>
      </c>
    </row>
    <row r="469" spans="1:2" x14ac:dyDescent="0.25">
      <c r="A469" s="40">
        <v>44510</v>
      </c>
      <c r="B469">
        <v>-1.1399999999999999</v>
      </c>
    </row>
    <row r="470" spans="1:2" x14ac:dyDescent="0.25">
      <c r="A470" s="40">
        <v>44512</v>
      </c>
      <c r="B470">
        <v>-1.1499999999999999</v>
      </c>
    </row>
    <row r="471" spans="1:2" x14ac:dyDescent="0.25">
      <c r="A471" s="40">
        <v>44515</v>
      </c>
      <c r="B471">
        <v>-1.1299999999999999</v>
      </c>
    </row>
    <row r="472" spans="1:2" x14ac:dyDescent="0.25">
      <c r="A472" s="40">
        <v>44516</v>
      </c>
      <c r="B472">
        <v>-1.1000000000000001</v>
      </c>
    </row>
    <row r="473" spans="1:2" x14ac:dyDescent="0.25">
      <c r="A473" s="40">
        <v>44517</v>
      </c>
      <c r="B473">
        <v>-1.1000000000000001</v>
      </c>
    </row>
    <row r="474" spans="1:2" x14ac:dyDescent="0.25">
      <c r="A474" s="40">
        <v>44518</v>
      </c>
      <c r="B474">
        <v>-1.1399999999999999</v>
      </c>
    </row>
    <row r="475" spans="1:2" x14ac:dyDescent="0.25">
      <c r="A475" s="40">
        <v>44519</v>
      </c>
      <c r="B475">
        <v>-1.1100000000000001</v>
      </c>
    </row>
    <row r="476" spans="1:2" x14ac:dyDescent="0.25">
      <c r="A476" s="40">
        <v>44522</v>
      </c>
      <c r="B476">
        <v>-0.98</v>
      </c>
    </row>
    <row r="477" spans="1:2" x14ac:dyDescent="0.25">
      <c r="A477" s="40">
        <v>44523</v>
      </c>
      <c r="B477">
        <v>-0.95</v>
      </c>
    </row>
    <row r="478" spans="1:2" x14ac:dyDescent="0.25">
      <c r="A478" s="40">
        <v>44524</v>
      </c>
      <c r="B478">
        <v>-0.97</v>
      </c>
    </row>
    <row r="479" spans="1:2" x14ac:dyDescent="0.25">
      <c r="A479" s="40">
        <v>44526</v>
      </c>
      <c r="B479">
        <v>-1.07</v>
      </c>
    </row>
    <row r="480" spans="1:2" x14ac:dyDescent="0.25">
      <c r="A480" s="40">
        <v>44529</v>
      </c>
      <c r="B480">
        <v>-1.02</v>
      </c>
    </row>
    <row r="481" spans="1:2" x14ac:dyDescent="0.25">
      <c r="A481" s="40">
        <v>44530</v>
      </c>
      <c r="B481">
        <v>-1.07</v>
      </c>
    </row>
    <row r="482" spans="1:2" x14ac:dyDescent="0.25">
      <c r="A482" s="40">
        <v>44531</v>
      </c>
      <c r="B482">
        <v>-1.01</v>
      </c>
    </row>
    <row r="483" spans="1:2" x14ac:dyDescent="0.25">
      <c r="A483" s="40">
        <v>44532</v>
      </c>
      <c r="B483">
        <v>-1.03</v>
      </c>
    </row>
    <row r="484" spans="1:2" x14ac:dyDescent="0.25">
      <c r="A484" s="40">
        <v>44533</v>
      </c>
      <c r="B484">
        <v>-1.08</v>
      </c>
    </row>
    <row r="485" spans="1:2" x14ac:dyDescent="0.25">
      <c r="A485" s="40">
        <v>44536</v>
      </c>
      <c r="B485">
        <v>-1.01</v>
      </c>
    </row>
    <row r="486" spans="1:2" x14ac:dyDescent="0.25">
      <c r="A486" s="40">
        <v>44537</v>
      </c>
      <c r="B486">
        <v>-0.99</v>
      </c>
    </row>
    <row r="487" spans="1:2" x14ac:dyDescent="0.25">
      <c r="A487" s="40">
        <v>44538</v>
      </c>
      <c r="B487">
        <v>-1</v>
      </c>
    </row>
    <row r="488" spans="1:2" x14ac:dyDescent="0.25">
      <c r="A488" s="40">
        <v>44539</v>
      </c>
      <c r="B488">
        <v>-0.98</v>
      </c>
    </row>
    <row r="489" spans="1:2" x14ac:dyDescent="0.25">
      <c r="A489" s="40">
        <v>44540</v>
      </c>
      <c r="B489">
        <v>-0.96</v>
      </c>
    </row>
    <row r="490" spans="1:2" x14ac:dyDescent="0.25">
      <c r="A490" s="40">
        <v>44543</v>
      </c>
      <c r="B490">
        <v>-0.98</v>
      </c>
    </row>
    <row r="491" spans="1:2" x14ac:dyDescent="0.25">
      <c r="A491" s="40">
        <v>44544</v>
      </c>
      <c r="B491">
        <v>-0.93</v>
      </c>
    </row>
    <row r="492" spans="1:2" x14ac:dyDescent="0.25">
      <c r="A492" s="40">
        <v>44545</v>
      </c>
      <c r="B492">
        <v>-0.92</v>
      </c>
    </row>
    <row r="493" spans="1:2" x14ac:dyDescent="0.25">
      <c r="A493" s="40">
        <v>44546</v>
      </c>
      <c r="B493">
        <v>-0.98</v>
      </c>
    </row>
    <row r="494" spans="1:2" x14ac:dyDescent="0.25">
      <c r="A494" s="40">
        <v>44547</v>
      </c>
      <c r="B494">
        <v>-0.97</v>
      </c>
    </row>
    <row r="495" spans="1:2" x14ac:dyDescent="0.25">
      <c r="A495" s="40">
        <v>44550</v>
      </c>
      <c r="B495">
        <v>-0.96</v>
      </c>
    </row>
    <row r="496" spans="1:2" x14ac:dyDescent="0.25">
      <c r="A496" s="40">
        <v>44551</v>
      </c>
      <c r="B496">
        <v>-0.96</v>
      </c>
    </row>
    <row r="497" spans="1:2" x14ac:dyDescent="0.25">
      <c r="A497" s="40">
        <v>44552</v>
      </c>
      <c r="B497">
        <v>-1.01</v>
      </c>
    </row>
    <row r="498" spans="1:2" x14ac:dyDescent="0.25">
      <c r="A498" s="40">
        <v>44553</v>
      </c>
      <c r="B498">
        <v>-0.97</v>
      </c>
    </row>
    <row r="499" spans="1:2" x14ac:dyDescent="0.25">
      <c r="A499" s="40">
        <v>44557</v>
      </c>
      <c r="B499">
        <v>-1.02</v>
      </c>
    </row>
    <row r="500" spans="1:2" x14ac:dyDescent="0.25">
      <c r="A500" s="40">
        <v>44558</v>
      </c>
      <c r="B500">
        <v>-1.01</v>
      </c>
    </row>
    <row r="501" spans="1:2" x14ac:dyDescent="0.25">
      <c r="A501" s="40">
        <v>44559</v>
      </c>
      <c r="B501">
        <v>-0.98</v>
      </c>
    </row>
    <row r="502" spans="1:2" x14ac:dyDescent="0.25">
      <c r="A502" s="40">
        <v>44560</v>
      </c>
      <c r="B502">
        <v>-1.06</v>
      </c>
    </row>
    <row r="503" spans="1:2" x14ac:dyDescent="0.25">
      <c r="A503" s="40">
        <v>44561</v>
      </c>
      <c r="B503">
        <v>-1.04</v>
      </c>
    </row>
    <row r="504" spans="1:2" x14ac:dyDescent="0.25">
      <c r="A504" s="40">
        <v>44564</v>
      </c>
      <c r="B504">
        <v>-0.97</v>
      </c>
    </row>
    <row r="505" spans="1:2" x14ac:dyDescent="0.25">
      <c r="A505" s="40">
        <v>44565</v>
      </c>
      <c r="B505">
        <v>-0.91</v>
      </c>
    </row>
    <row r="506" spans="1:2" x14ac:dyDescent="0.25">
      <c r="A506" s="40">
        <v>44566</v>
      </c>
      <c r="B506">
        <v>-0.82</v>
      </c>
    </row>
    <row r="507" spans="1:2" x14ac:dyDescent="0.25">
      <c r="A507" s="40">
        <v>44567</v>
      </c>
      <c r="B507">
        <v>-0.73</v>
      </c>
    </row>
    <row r="508" spans="1:2" x14ac:dyDescent="0.25">
      <c r="A508" s="40">
        <v>44568</v>
      </c>
      <c r="B508">
        <v>-0.72</v>
      </c>
    </row>
    <row r="509" spans="1:2" x14ac:dyDescent="0.25">
      <c r="A509" s="40">
        <v>44571</v>
      </c>
      <c r="B509">
        <v>-0.7</v>
      </c>
    </row>
    <row r="510" spans="1:2" x14ac:dyDescent="0.25">
      <c r="A510" s="40">
        <v>44572</v>
      </c>
      <c r="B510">
        <v>-0.79</v>
      </c>
    </row>
    <row r="511" spans="1:2" x14ac:dyDescent="0.25">
      <c r="A511" s="40">
        <v>44573</v>
      </c>
      <c r="B511">
        <v>-0.74</v>
      </c>
    </row>
    <row r="512" spans="1:2" x14ac:dyDescent="0.25">
      <c r="A512" s="40">
        <v>44574</v>
      </c>
      <c r="B512">
        <v>-0.73</v>
      </c>
    </row>
    <row r="513" spans="1:2" x14ac:dyDescent="0.25">
      <c r="A513" s="40">
        <v>44575</v>
      </c>
      <c r="B513">
        <v>-0.66</v>
      </c>
    </row>
    <row r="514" spans="1:2" x14ac:dyDescent="0.25">
      <c r="A514" s="40">
        <v>44579</v>
      </c>
      <c r="B514">
        <v>-0.59</v>
      </c>
    </row>
    <row r="515" spans="1:2" x14ac:dyDescent="0.25">
      <c r="A515" s="40">
        <v>44580</v>
      </c>
      <c r="B515">
        <v>-0.56999999999999995</v>
      </c>
    </row>
    <row r="516" spans="1:2" x14ac:dyDescent="0.25">
      <c r="A516" s="40">
        <v>44581</v>
      </c>
      <c r="B516">
        <v>-0.5</v>
      </c>
    </row>
    <row r="517" spans="1:2" x14ac:dyDescent="0.25">
      <c r="A517" s="40">
        <v>44582</v>
      </c>
      <c r="B517">
        <v>-0.59</v>
      </c>
    </row>
    <row r="518" spans="1:2" x14ac:dyDescent="0.25">
      <c r="A518" s="40">
        <v>44585</v>
      </c>
      <c r="B518">
        <v>-0.63</v>
      </c>
    </row>
    <row r="519" spans="1:2" x14ac:dyDescent="0.25">
      <c r="A519" s="40">
        <v>44586</v>
      </c>
      <c r="B519">
        <v>-0.63</v>
      </c>
    </row>
    <row r="520" spans="1:2" x14ac:dyDescent="0.25">
      <c r="A520" s="40">
        <v>44587</v>
      </c>
      <c r="B520">
        <v>-0.53</v>
      </c>
    </row>
    <row r="521" spans="1:2" x14ac:dyDescent="0.25">
      <c r="A521" s="40">
        <v>44588</v>
      </c>
      <c r="B521">
        <v>-0.59</v>
      </c>
    </row>
    <row r="522" spans="1:2" x14ac:dyDescent="0.25">
      <c r="A522" s="40">
        <v>44589</v>
      </c>
      <c r="B522">
        <v>-0.66</v>
      </c>
    </row>
    <row r="523" spans="1:2" x14ac:dyDescent="0.25">
      <c r="A523" s="40">
        <v>44592</v>
      </c>
      <c r="B523">
        <v>-0.65</v>
      </c>
    </row>
    <row r="524" spans="1:2" x14ac:dyDescent="0.25">
      <c r="A524" s="40">
        <v>44593</v>
      </c>
      <c r="B524">
        <v>-0.62</v>
      </c>
    </row>
    <row r="525" spans="1:2" x14ac:dyDescent="0.25">
      <c r="A525" s="40">
        <v>44594</v>
      </c>
      <c r="B525">
        <v>-0.63</v>
      </c>
    </row>
    <row r="526" spans="1:2" x14ac:dyDescent="0.25">
      <c r="A526" s="40">
        <v>44595</v>
      </c>
      <c r="B526">
        <v>-0.56000000000000005</v>
      </c>
    </row>
    <row r="527" spans="1:2" x14ac:dyDescent="0.25">
      <c r="A527" s="40">
        <v>44596</v>
      </c>
      <c r="B527">
        <v>-0.48</v>
      </c>
    </row>
    <row r="528" spans="1:2" x14ac:dyDescent="0.25">
      <c r="A528" s="40">
        <v>44599</v>
      </c>
      <c r="B528">
        <v>-0.48</v>
      </c>
    </row>
    <row r="529" spans="1:2" x14ac:dyDescent="0.25">
      <c r="A529" s="40">
        <v>44600</v>
      </c>
      <c r="B529">
        <v>-0.46</v>
      </c>
    </row>
    <row r="530" spans="1:2" x14ac:dyDescent="0.25">
      <c r="A530" s="40">
        <v>44601</v>
      </c>
      <c r="B530">
        <v>-0.48</v>
      </c>
    </row>
    <row r="531" spans="1:2" x14ac:dyDescent="0.25">
      <c r="A531" s="40">
        <v>44602</v>
      </c>
      <c r="B531">
        <v>-0.42</v>
      </c>
    </row>
    <row r="532" spans="1:2" x14ac:dyDescent="0.25">
      <c r="A532" s="40">
        <v>44603</v>
      </c>
      <c r="B532">
        <v>-0.51</v>
      </c>
    </row>
    <row r="533" spans="1:2" x14ac:dyDescent="0.25">
      <c r="A533" s="40">
        <v>44606</v>
      </c>
      <c r="B533">
        <v>-0.5</v>
      </c>
    </row>
    <row r="534" spans="1:2" x14ac:dyDescent="0.25">
      <c r="A534" s="40">
        <v>44607</v>
      </c>
      <c r="B534">
        <v>-0.43</v>
      </c>
    </row>
    <row r="535" spans="1:2" x14ac:dyDescent="0.25">
      <c r="A535" s="40">
        <v>44608</v>
      </c>
      <c r="B535">
        <v>-0.43</v>
      </c>
    </row>
    <row r="536" spans="1:2" x14ac:dyDescent="0.25">
      <c r="A536" s="40">
        <v>44609</v>
      </c>
      <c r="B536">
        <v>-0.46</v>
      </c>
    </row>
    <row r="537" spans="1:2" x14ac:dyDescent="0.25">
      <c r="A537" s="40">
        <v>44610</v>
      </c>
      <c r="B537">
        <v>-0.49</v>
      </c>
    </row>
    <row r="538" spans="1:2" x14ac:dyDescent="0.25">
      <c r="A538" s="40">
        <v>44614</v>
      </c>
      <c r="B538">
        <v>-0.51</v>
      </c>
    </row>
    <row r="539" spans="1:2" x14ac:dyDescent="0.25">
      <c r="A539" s="40">
        <v>44615</v>
      </c>
      <c r="B539">
        <v>-0.54</v>
      </c>
    </row>
    <row r="540" spans="1:2" x14ac:dyDescent="0.25">
      <c r="A540" s="40">
        <v>44616</v>
      </c>
      <c r="B540">
        <v>-0.59</v>
      </c>
    </row>
    <row r="541" spans="1:2" x14ac:dyDescent="0.25">
      <c r="A541" s="40">
        <v>44617</v>
      </c>
      <c r="B541">
        <v>-0.56999999999999995</v>
      </c>
    </row>
    <row r="542" spans="1:2" x14ac:dyDescent="0.25">
      <c r="A542" s="40">
        <v>44620</v>
      </c>
      <c r="B542">
        <v>-0.79</v>
      </c>
    </row>
    <row r="543" spans="1:2" x14ac:dyDescent="0.25">
      <c r="A543" s="40">
        <v>44621</v>
      </c>
      <c r="B543">
        <v>-0.9</v>
      </c>
    </row>
    <row r="544" spans="1:2" x14ac:dyDescent="0.25">
      <c r="A544" s="40">
        <v>44622</v>
      </c>
      <c r="B544">
        <v>-0.85</v>
      </c>
    </row>
    <row r="545" spans="1:2" x14ac:dyDescent="0.25">
      <c r="A545" s="40">
        <v>44623</v>
      </c>
      <c r="B545">
        <v>-0.83</v>
      </c>
    </row>
    <row r="546" spans="1:2" x14ac:dyDescent="0.25">
      <c r="A546" s="40">
        <v>44624</v>
      </c>
      <c r="B546">
        <v>-0.93</v>
      </c>
    </row>
    <row r="547" spans="1:2" x14ac:dyDescent="0.25">
      <c r="A547" s="40">
        <v>44627</v>
      </c>
      <c r="B547">
        <v>-0.99</v>
      </c>
    </row>
    <row r="548" spans="1:2" x14ac:dyDescent="0.25">
      <c r="A548" s="40">
        <v>44628</v>
      </c>
      <c r="B548">
        <v>-1.04</v>
      </c>
    </row>
    <row r="549" spans="1:2" x14ac:dyDescent="0.25">
      <c r="A549" s="40">
        <v>44629</v>
      </c>
      <c r="B549">
        <v>-0.9</v>
      </c>
    </row>
    <row r="550" spans="1:2" x14ac:dyDescent="0.25">
      <c r="A550" s="40">
        <v>44630</v>
      </c>
      <c r="B550">
        <v>-0.88</v>
      </c>
    </row>
    <row r="551" spans="1:2" x14ac:dyDescent="0.25">
      <c r="A551" s="40">
        <v>44631</v>
      </c>
      <c r="B551">
        <v>-0.94</v>
      </c>
    </row>
    <row r="552" spans="1:2" x14ac:dyDescent="0.25">
      <c r="A552" s="40">
        <v>44634</v>
      </c>
      <c r="B552">
        <v>-0.79</v>
      </c>
    </row>
    <row r="553" spans="1:2" x14ac:dyDescent="0.25">
      <c r="A553" s="40">
        <v>44635</v>
      </c>
      <c r="B553">
        <v>-0.69</v>
      </c>
    </row>
    <row r="554" spans="1:2" x14ac:dyDescent="0.25">
      <c r="A554" s="40">
        <v>44636</v>
      </c>
      <c r="B554">
        <v>-0.61</v>
      </c>
    </row>
    <row r="555" spans="1:2" x14ac:dyDescent="0.25">
      <c r="A555" s="40">
        <v>44637</v>
      </c>
      <c r="B555">
        <v>-0.71</v>
      </c>
    </row>
    <row r="556" spans="1:2" x14ac:dyDescent="0.25">
      <c r="A556" s="40">
        <v>44638</v>
      </c>
      <c r="B556">
        <v>-0.72</v>
      </c>
    </row>
    <row r="557" spans="1:2" x14ac:dyDescent="0.25">
      <c r="A557" s="40">
        <v>44641</v>
      </c>
      <c r="B557">
        <v>-0.57999999999999996</v>
      </c>
    </row>
    <row r="558" spans="1:2" x14ac:dyDescent="0.25">
      <c r="A558" s="40">
        <v>44642</v>
      </c>
      <c r="B558">
        <v>-0.53</v>
      </c>
    </row>
    <row r="559" spans="1:2" x14ac:dyDescent="0.25">
      <c r="A559" s="40">
        <v>44643</v>
      </c>
      <c r="B559">
        <v>-0.62</v>
      </c>
    </row>
    <row r="560" spans="1:2" x14ac:dyDescent="0.25">
      <c r="A560" s="40">
        <v>44644</v>
      </c>
      <c r="B560">
        <v>-0.57999999999999996</v>
      </c>
    </row>
    <row r="561" spans="1:2" x14ac:dyDescent="0.25">
      <c r="A561" s="40">
        <v>44645</v>
      </c>
      <c r="B561">
        <v>-0.47</v>
      </c>
    </row>
    <row r="562" spans="1:2" x14ac:dyDescent="0.25">
      <c r="A562" s="40">
        <v>44648</v>
      </c>
      <c r="B562">
        <v>-0.49</v>
      </c>
    </row>
    <row r="563" spans="1:2" x14ac:dyDescent="0.25">
      <c r="A563" s="40">
        <v>44649</v>
      </c>
      <c r="B563">
        <v>-0.45</v>
      </c>
    </row>
    <row r="564" spans="1:2" x14ac:dyDescent="0.25">
      <c r="A564" s="40">
        <v>44650</v>
      </c>
      <c r="B564">
        <v>-0.51</v>
      </c>
    </row>
    <row r="565" spans="1:2" x14ac:dyDescent="0.25">
      <c r="A565" s="40">
        <v>44651</v>
      </c>
      <c r="B565">
        <v>-0.52</v>
      </c>
    </row>
    <row r="566" spans="1:2" x14ac:dyDescent="0.25">
      <c r="A566" s="40">
        <v>44652</v>
      </c>
      <c r="B566">
        <v>-0.41</v>
      </c>
    </row>
    <row r="567" spans="1:2" x14ac:dyDescent="0.25">
      <c r="A567" s="40">
        <v>44655</v>
      </c>
      <c r="B567">
        <v>-0.38</v>
      </c>
    </row>
    <row r="568" spans="1:2" x14ac:dyDescent="0.25">
      <c r="A568" s="40">
        <v>44656</v>
      </c>
      <c r="B568">
        <v>-0.3</v>
      </c>
    </row>
    <row r="569" spans="1:2" x14ac:dyDescent="0.25">
      <c r="A569" s="40">
        <v>44657</v>
      </c>
      <c r="B569">
        <v>-0.22</v>
      </c>
    </row>
    <row r="570" spans="1:2" x14ac:dyDescent="0.25">
      <c r="A570" s="40">
        <v>44658</v>
      </c>
      <c r="B570">
        <v>-0.16</v>
      </c>
    </row>
    <row r="571" spans="1:2" x14ac:dyDescent="0.25">
      <c r="A571" s="40">
        <v>44659</v>
      </c>
      <c r="B571">
        <v>-0.15</v>
      </c>
    </row>
    <row r="572" spans="1:2" x14ac:dyDescent="0.25">
      <c r="A572" s="40">
        <v>44662</v>
      </c>
      <c r="B572">
        <v>-0.12</v>
      </c>
    </row>
    <row r="573" spans="1:2" x14ac:dyDescent="0.25">
      <c r="A573" s="40">
        <v>44663</v>
      </c>
      <c r="B573">
        <v>-0.14000000000000001</v>
      </c>
    </row>
    <row r="574" spans="1:2" x14ac:dyDescent="0.25">
      <c r="A574" s="40">
        <v>44664</v>
      </c>
      <c r="B574">
        <v>-0.1</v>
      </c>
    </row>
    <row r="575" spans="1:2" x14ac:dyDescent="0.25">
      <c r="A575" s="40">
        <v>44665</v>
      </c>
      <c r="B575">
        <v>-0.06</v>
      </c>
    </row>
    <row r="576" spans="1:2" x14ac:dyDescent="0.25">
      <c r="A576" s="40">
        <v>44669</v>
      </c>
      <c r="B576">
        <v>-7.0000000000000007E-2</v>
      </c>
    </row>
    <row r="577" spans="1:2" x14ac:dyDescent="0.25">
      <c r="A577" s="40">
        <v>44670</v>
      </c>
      <c r="B577">
        <v>0</v>
      </c>
    </row>
    <row r="578" spans="1:2" x14ac:dyDescent="0.25">
      <c r="A578" s="40">
        <v>44671</v>
      </c>
      <c r="B578">
        <v>-7.0000000000000007E-2</v>
      </c>
    </row>
    <row r="579" spans="1:2" x14ac:dyDescent="0.25">
      <c r="A579" s="40">
        <v>44672</v>
      </c>
      <c r="B579">
        <v>-0.12</v>
      </c>
    </row>
    <row r="580" spans="1:2" x14ac:dyDescent="0.25">
      <c r="A580" s="40">
        <v>44673</v>
      </c>
      <c r="B580">
        <v>-0.08</v>
      </c>
    </row>
    <row r="581" spans="1:2" x14ac:dyDescent="0.25">
      <c r="A581" s="40">
        <v>44676</v>
      </c>
      <c r="B581">
        <v>-0.1</v>
      </c>
    </row>
    <row r="582" spans="1:2" x14ac:dyDescent="0.25">
      <c r="A582" s="40">
        <v>44677</v>
      </c>
      <c r="B582">
        <v>-0.08</v>
      </c>
    </row>
    <row r="583" spans="1:2" x14ac:dyDescent="0.25">
      <c r="A583" s="40">
        <v>44678</v>
      </c>
      <c r="B583">
        <v>-0.06</v>
      </c>
    </row>
    <row r="584" spans="1:2" x14ac:dyDescent="0.25">
      <c r="A584" s="40">
        <v>44679</v>
      </c>
      <c r="B584">
        <v>-0.12</v>
      </c>
    </row>
    <row r="585" spans="1:2" x14ac:dyDescent="0.25">
      <c r="A585" s="40">
        <v>44680</v>
      </c>
      <c r="B585">
        <v>0.01</v>
      </c>
    </row>
    <row r="586" spans="1:2" x14ac:dyDescent="0.25">
      <c r="A586" s="40">
        <v>44683</v>
      </c>
      <c r="B586">
        <v>0.18</v>
      </c>
    </row>
    <row r="587" spans="1:2" x14ac:dyDescent="0.25">
      <c r="A587" s="40">
        <v>44684</v>
      </c>
      <c r="B587">
        <v>0.14000000000000001</v>
      </c>
    </row>
    <row r="588" spans="1:2" x14ac:dyDescent="0.25">
      <c r="A588" s="40">
        <v>44685</v>
      </c>
      <c r="B588">
        <v>7.0000000000000007E-2</v>
      </c>
    </row>
    <row r="589" spans="1:2" x14ac:dyDescent="0.25">
      <c r="A589" s="40">
        <v>44686</v>
      </c>
      <c r="B589">
        <v>0.18</v>
      </c>
    </row>
    <row r="590" spans="1:2" x14ac:dyDescent="0.25">
      <c r="A590" s="40">
        <v>44687</v>
      </c>
      <c r="B590">
        <v>0.26</v>
      </c>
    </row>
    <row r="591" spans="1:2" x14ac:dyDescent="0.25">
      <c r="A591" s="40">
        <v>44690</v>
      </c>
      <c r="B591">
        <v>0.3</v>
      </c>
    </row>
    <row r="592" spans="1:2" x14ac:dyDescent="0.25">
      <c r="A592" s="40">
        <v>44691</v>
      </c>
      <c r="B592">
        <v>0.34</v>
      </c>
    </row>
    <row r="593" spans="1:2" x14ac:dyDescent="0.25">
      <c r="A593" s="40">
        <v>44692</v>
      </c>
      <c r="B593">
        <v>0.21</v>
      </c>
    </row>
    <row r="594" spans="1:2" x14ac:dyDescent="0.25">
      <c r="A594" s="40">
        <v>44693</v>
      </c>
      <c r="B594">
        <v>0.25</v>
      </c>
    </row>
    <row r="595" spans="1:2" x14ac:dyDescent="0.25">
      <c r="A595" s="40">
        <v>44694</v>
      </c>
      <c r="B595">
        <v>0.24</v>
      </c>
    </row>
    <row r="596" spans="1:2" x14ac:dyDescent="0.25">
      <c r="A596" s="40">
        <v>44697</v>
      </c>
      <c r="B596">
        <v>0.2</v>
      </c>
    </row>
    <row r="597" spans="1:2" x14ac:dyDescent="0.25">
      <c r="A597" s="40">
        <v>44698</v>
      </c>
      <c r="B597">
        <v>0.27</v>
      </c>
    </row>
    <row r="598" spans="1:2" x14ac:dyDescent="0.25">
      <c r="A598" s="40">
        <v>44699</v>
      </c>
      <c r="B598">
        <v>0.17</v>
      </c>
    </row>
    <row r="599" spans="1:2" x14ac:dyDescent="0.25">
      <c r="A599" s="40">
        <v>44700</v>
      </c>
      <c r="B599">
        <v>0.25</v>
      </c>
    </row>
    <row r="600" spans="1:2" x14ac:dyDescent="0.25">
      <c r="A600" s="40">
        <v>44701</v>
      </c>
      <c r="B600">
        <v>0.23</v>
      </c>
    </row>
    <row r="601" spans="1:2" x14ac:dyDescent="0.25">
      <c r="A601" s="40">
        <v>44704</v>
      </c>
      <c r="B601">
        <v>0.26</v>
      </c>
    </row>
    <row r="602" spans="1:2" x14ac:dyDescent="0.25">
      <c r="A602" s="40">
        <v>44705</v>
      </c>
      <c r="B602">
        <v>0.21</v>
      </c>
    </row>
    <row r="603" spans="1:2" x14ac:dyDescent="0.25">
      <c r="A603" s="40">
        <v>44706</v>
      </c>
      <c r="B603">
        <v>0.19</v>
      </c>
    </row>
    <row r="604" spans="1:2" x14ac:dyDescent="0.25">
      <c r="A604" s="40">
        <v>44707</v>
      </c>
      <c r="B604">
        <v>0.13</v>
      </c>
    </row>
    <row r="605" spans="1:2" x14ac:dyDescent="0.25">
      <c r="A605" s="40">
        <v>44708</v>
      </c>
      <c r="B605">
        <v>0.11</v>
      </c>
    </row>
    <row r="606" spans="1:2" x14ac:dyDescent="0.25">
      <c r="A606" s="40">
        <v>44712</v>
      </c>
      <c r="B606">
        <v>0.21</v>
      </c>
    </row>
    <row r="607" spans="1:2" x14ac:dyDescent="0.25">
      <c r="A607" s="40">
        <v>44713</v>
      </c>
      <c r="B607">
        <v>0.28999999999999998</v>
      </c>
    </row>
    <row r="608" spans="1:2" x14ac:dyDescent="0.25">
      <c r="A608" s="40">
        <v>44714</v>
      </c>
      <c r="B608">
        <v>0.26</v>
      </c>
    </row>
    <row r="609" spans="1:2" x14ac:dyDescent="0.25">
      <c r="A609" s="40">
        <v>44715</v>
      </c>
      <c r="B609">
        <v>0.22</v>
      </c>
    </row>
    <row r="610" spans="1:2" x14ac:dyDescent="0.25">
      <c r="A610" s="40">
        <v>44718</v>
      </c>
      <c r="B610">
        <v>0.28000000000000003</v>
      </c>
    </row>
    <row r="611" spans="1:2" x14ac:dyDescent="0.25">
      <c r="A611" s="40">
        <v>44719</v>
      </c>
      <c r="B611">
        <v>0.25</v>
      </c>
    </row>
    <row r="612" spans="1:2" x14ac:dyDescent="0.25">
      <c r="A612" s="40">
        <v>44720</v>
      </c>
      <c r="B612">
        <v>0.28000000000000003</v>
      </c>
    </row>
    <row r="613" spans="1:2" x14ac:dyDescent="0.25">
      <c r="A613" s="40">
        <v>44721</v>
      </c>
      <c r="B613">
        <v>0.28999999999999998</v>
      </c>
    </row>
    <row r="614" spans="1:2" x14ac:dyDescent="0.25">
      <c r="A614" s="40">
        <v>44722</v>
      </c>
      <c r="B614">
        <v>0.39</v>
      </c>
    </row>
    <row r="615" spans="1:2" x14ac:dyDescent="0.25">
      <c r="A615" s="40">
        <v>44725</v>
      </c>
      <c r="B615">
        <v>0.69</v>
      </c>
    </row>
    <row r="616" spans="1:2" x14ac:dyDescent="0.25">
      <c r="A616" s="40">
        <v>44726</v>
      </c>
      <c r="B616">
        <v>0.89</v>
      </c>
    </row>
    <row r="617" spans="1:2" x14ac:dyDescent="0.25">
      <c r="A617" s="40">
        <v>44727</v>
      </c>
      <c r="B617">
        <v>0.63</v>
      </c>
    </row>
    <row r="618" spans="1:2" x14ac:dyDescent="0.25">
      <c r="A618" s="40">
        <v>44728</v>
      </c>
      <c r="B618">
        <v>0.66</v>
      </c>
    </row>
    <row r="619" spans="1:2" x14ac:dyDescent="0.25">
      <c r="A619" s="40">
        <v>44729</v>
      </c>
      <c r="B619">
        <v>0.67</v>
      </c>
    </row>
    <row r="620" spans="1:2" x14ac:dyDescent="0.25">
      <c r="A620" s="40">
        <v>44733</v>
      </c>
      <c r="B620">
        <v>0.7</v>
      </c>
    </row>
    <row r="621" spans="1:2" x14ac:dyDescent="0.25">
      <c r="A621" s="40">
        <v>44734</v>
      </c>
      <c r="B621">
        <v>0.62</v>
      </c>
    </row>
    <row r="622" spans="1:2" x14ac:dyDescent="0.25">
      <c r="A622" s="40">
        <v>44735</v>
      </c>
      <c r="B622">
        <v>0.59</v>
      </c>
    </row>
    <row r="623" spans="1:2" x14ac:dyDescent="0.25">
      <c r="A623" s="40">
        <v>44736</v>
      </c>
      <c r="B623">
        <v>0.56999999999999995</v>
      </c>
    </row>
    <row r="624" spans="1:2" x14ac:dyDescent="0.25">
      <c r="A624" s="40">
        <v>44739</v>
      </c>
      <c r="B624">
        <v>0.65</v>
      </c>
    </row>
    <row r="625" spans="1:2" x14ac:dyDescent="0.25">
      <c r="A625" s="40">
        <v>44740</v>
      </c>
      <c r="B625">
        <v>0.72</v>
      </c>
    </row>
    <row r="626" spans="1:2" x14ac:dyDescent="0.25">
      <c r="A626" s="40">
        <v>44741</v>
      </c>
      <c r="B626">
        <v>0.74</v>
      </c>
    </row>
    <row r="627" spans="1:2" x14ac:dyDescent="0.25">
      <c r="A627" s="40">
        <v>44742</v>
      </c>
      <c r="B627">
        <v>0.65</v>
      </c>
    </row>
    <row r="628" spans="1:2" x14ac:dyDescent="0.25">
      <c r="A628" s="40">
        <v>44743</v>
      </c>
      <c r="B628">
        <v>0.54</v>
      </c>
    </row>
    <row r="629" spans="1:2" x14ac:dyDescent="0.25">
      <c r="A629" s="40">
        <v>44747</v>
      </c>
      <c r="B629">
        <v>0.52</v>
      </c>
    </row>
    <row r="630" spans="1:2" x14ac:dyDescent="0.25">
      <c r="A630" s="40">
        <v>44748</v>
      </c>
      <c r="B630">
        <v>0.64</v>
      </c>
    </row>
    <row r="631" spans="1:2" x14ac:dyDescent="0.25">
      <c r="A631" s="40">
        <v>44749</v>
      </c>
      <c r="B631">
        <v>0.68</v>
      </c>
    </row>
    <row r="632" spans="1:2" x14ac:dyDescent="0.25">
      <c r="A632" s="40">
        <v>44750</v>
      </c>
      <c r="B632">
        <v>0.72</v>
      </c>
    </row>
    <row r="633" spans="1:2" x14ac:dyDescent="0.25">
      <c r="A633" s="40">
        <v>44753</v>
      </c>
      <c r="B633">
        <v>0.67</v>
      </c>
    </row>
    <row r="634" spans="1:2" x14ac:dyDescent="0.25">
      <c r="A634" s="40">
        <v>44754</v>
      </c>
      <c r="B634">
        <v>0.64</v>
      </c>
    </row>
    <row r="635" spans="1:2" x14ac:dyDescent="0.25">
      <c r="A635" s="40">
        <v>44755</v>
      </c>
      <c r="B635">
        <v>0.6</v>
      </c>
    </row>
    <row r="636" spans="1:2" x14ac:dyDescent="0.25">
      <c r="A636" s="40">
        <v>44756</v>
      </c>
      <c r="B636">
        <v>0.62</v>
      </c>
    </row>
    <row r="637" spans="1:2" x14ac:dyDescent="0.25">
      <c r="A637" s="40">
        <v>44757</v>
      </c>
      <c r="B637">
        <v>0.56999999999999995</v>
      </c>
    </row>
    <row r="638" spans="1:2" x14ac:dyDescent="0.25">
      <c r="A638" s="40">
        <v>44760</v>
      </c>
      <c r="B638">
        <v>0.59</v>
      </c>
    </row>
    <row r="639" spans="1:2" x14ac:dyDescent="0.25">
      <c r="A639" s="40">
        <v>44761</v>
      </c>
      <c r="B639">
        <v>0.62</v>
      </c>
    </row>
    <row r="640" spans="1:2" x14ac:dyDescent="0.25">
      <c r="A640" s="40">
        <v>44762</v>
      </c>
      <c r="B640">
        <v>0.66</v>
      </c>
    </row>
    <row r="641" spans="1:2" x14ac:dyDescent="0.25">
      <c r="A641" s="40">
        <v>44763</v>
      </c>
      <c r="B641">
        <v>0.57999999999999996</v>
      </c>
    </row>
    <row r="642" spans="1:2" x14ac:dyDescent="0.25">
      <c r="A642" s="40">
        <v>44764</v>
      </c>
      <c r="B642">
        <v>0.43</v>
      </c>
    </row>
    <row r="643" spans="1:2" x14ac:dyDescent="0.25">
      <c r="A643" s="40">
        <v>44767</v>
      </c>
      <c r="B643">
        <v>0.45</v>
      </c>
    </row>
    <row r="644" spans="1:2" x14ac:dyDescent="0.25">
      <c r="A644" s="40">
        <v>44768</v>
      </c>
      <c r="B644">
        <v>0.45</v>
      </c>
    </row>
    <row r="645" spans="1:2" x14ac:dyDescent="0.25">
      <c r="A645" s="40">
        <v>44769</v>
      </c>
      <c r="B645">
        <v>0.36</v>
      </c>
    </row>
    <row r="646" spans="1:2" x14ac:dyDescent="0.25">
      <c r="A646" s="40">
        <v>44770</v>
      </c>
      <c r="B646">
        <v>0.2</v>
      </c>
    </row>
    <row r="647" spans="1:2" x14ac:dyDescent="0.25">
      <c r="A647" s="40">
        <v>44771</v>
      </c>
      <c r="B647">
        <v>0.14000000000000001</v>
      </c>
    </row>
    <row r="648" spans="1:2" x14ac:dyDescent="0.25">
      <c r="A648" s="40">
        <v>44774</v>
      </c>
      <c r="B648">
        <v>0.09</v>
      </c>
    </row>
    <row r="649" spans="1:2" x14ac:dyDescent="0.25">
      <c r="A649" s="40">
        <v>44775</v>
      </c>
      <c r="B649">
        <v>0.27</v>
      </c>
    </row>
    <row r="650" spans="1:2" x14ac:dyDescent="0.25">
      <c r="A650" s="40">
        <v>44776</v>
      </c>
      <c r="B650">
        <v>0.23</v>
      </c>
    </row>
    <row r="651" spans="1:2" x14ac:dyDescent="0.25">
      <c r="A651" s="40">
        <v>44777</v>
      </c>
      <c r="B651">
        <v>0.22</v>
      </c>
    </row>
    <row r="652" spans="1:2" x14ac:dyDescent="0.25">
      <c r="A652" s="40">
        <v>44778</v>
      </c>
      <c r="B652">
        <v>0.37</v>
      </c>
    </row>
    <row r="653" spans="1:2" x14ac:dyDescent="0.25">
      <c r="A653" s="40">
        <v>44781</v>
      </c>
      <c r="B653">
        <v>0.28999999999999998</v>
      </c>
    </row>
    <row r="654" spans="1:2" x14ac:dyDescent="0.25">
      <c r="A654" s="40">
        <v>44782</v>
      </c>
      <c r="B654">
        <v>0.33</v>
      </c>
    </row>
    <row r="655" spans="1:2" x14ac:dyDescent="0.25">
      <c r="A655" s="40">
        <v>44783</v>
      </c>
      <c r="B655">
        <v>0.35</v>
      </c>
    </row>
    <row r="656" spans="1:2" x14ac:dyDescent="0.25">
      <c r="A656" s="40">
        <v>44784</v>
      </c>
      <c r="B656">
        <v>0.4</v>
      </c>
    </row>
    <row r="657" spans="1:2" x14ac:dyDescent="0.25">
      <c r="A657" s="40">
        <v>44785</v>
      </c>
      <c r="B657">
        <v>0.37</v>
      </c>
    </row>
    <row r="658" spans="1:2" x14ac:dyDescent="0.25">
      <c r="A658" s="40">
        <v>44788</v>
      </c>
      <c r="B658">
        <v>0.35</v>
      </c>
    </row>
    <row r="659" spans="1:2" x14ac:dyDescent="0.25">
      <c r="A659" s="40">
        <v>44789</v>
      </c>
      <c r="B659">
        <v>0.38</v>
      </c>
    </row>
    <row r="660" spans="1:2" x14ac:dyDescent="0.25">
      <c r="A660" s="40">
        <v>44790</v>
      </c>
      <c r="B660">
        <v>0.43</v>
      </c>
    </row>
    <row r="661" spans="1:2" x14ac:dyDescent="0.25">
      <c r="A661" s="40">
        <v>44791</v>
      </c>
      <c r="B661">
        <v>0.36</v>
      </c>
    </row>
    <row r="662" spans="1:2" x14ac:dyDescent="0.25">
      <c r="A662" s="40">
        <v>44792</v>
      </c>
      <c r="B662">
        <v>0.43</v>
      </c>
    </row>
    <row r="663" spans="1:2" x14ac:dyDescent="0.25">
      <c r="A663" s="40">
        <v>44795</v>
      </c>
      <c r="B663">
        <v>0.46</v>
      </c>
    </row>
    <row r="664" spans="1:2" x14ac:dyDescent="0.25">
      <c r="A664" s="40">
        <v>44796</v>
      </c>
      <c r="B664">
        <v>0.47</v>
      </c>
    </row>
    <row r="665" spans="1:2" x14ac:dyDescent="0.25">
      <c r="A665" s="40">
        <v>44797</v>
      </c>
      <c r="B665">
        <v>0.49</v>
      </c>
    </row>
    <row r="666" spans="1:2" x14ac:dyDescent="0.25">
      <c r="A666" s="40">
        <v>44798</v>
      </c>
      <c r="B666">
        <v>0.43</v>
      </c>
    </row>
    <row r="667" spans="1:2" x14ac:dyDescent="0.25">
      <c r="A667" s="40">
        <v>44799</v>
      </c>
      <c r="B667">
        <v>0.47</v>
      </c>
    </row>
    <row r="668" spans="1:2" x14ac:dyDescent="0.25">
      <c r="A668" s="40">
        <v>44802</v>
      </c>
      <c r="B668">
        <v>0.54</v>
      </c>
    </row>
    <row r="669" spans="1:2" x14ac:dyDescent="0.25">
      <c r="A669" s="40">
        <v>44803</v>
      </c>
      <c r="B669">
        <v>0.56000000000000005</v>
      </c>
    </row>
    <row r="670" spans="1:2" x14ac:dyDescent="0.25">
      <c r="A670" s="40">
        <v>44804</v>
      </c>
      <c r="B670">
        <v>0.67</v>
      </c>
    </row>
    <row r="671" spans="1:2" x14ac:dyDescent="0.25">
      <c r="A671" s="40">
        <v>44805</v>
      </c>
      <c r="B671">
        <v>0.81</v>
      </c>
    </row>
    <row r="672" spans="1:2" x14ac:dyDescent="0.25">
      <c r="A672" s="40">
        <v>44806</v>
      </c>
      <c r="B672">
        <v>0.73</v>
      </c>
    </row>
    <row r="673" spans="1:2" x14ac:dyDescent="0.25">
      <c r="A673" s="40">
        <v>44810</v>
      </c>
      <c r="B673">
        <v>0.85</v>
      </c>
    </row>
    <row r="674" spans="1:2" x14ac:dyDescent="0.25">
      <c r="A674" s="40">
        <v>44811</v>
      </c>
      <c r="B674">
        <v>0.82</v>
      </c>
    </row>
    <row r="675" spans="1:2" x14ac:dyDescent="0.25">
      <c r="A675" s="40">
        <v>44812</v>
      </c>
      <c r="B675">
        <v>0.88</v>
      </c>
    </row>
    <row r="676" spans="1:2" x14ac:dyDescent="0.25">
      <c r="A676" s="40">
        <v>44813</v>
      </c>
      <c r="B676">
        <v>0.91</v>
      </c>
    </row>
    <row r="677" spans="1:2" x14ac:dyDescent="0.25">
      <c r="A677" s="40">
        <v>44816</v>
      </c>
      <c r="B677">
        <v>0.95</v>
      </c>
    </row>
    <row r="678" spans="1:2" x14ac:dyDescent="0.25">
      <c r="A678" s="40">
        <v>44817</v>
      </c>
      <c r="B678">
        <v>0.98</v>
      </c>
    </row>
    <row r="679" spans="1:2" x14ac:dyDescent="0.25">
      <c r="A679" s="40">
        <v>44818</v>
      </c>
      <c r="B679">
        <v>0.95</v>
      </c>
    </row>
    <row r="680" spans="1:2" x14ac:dyDescent="0.25">
      <c r="A680" s="40">
        <v>44819</v>
      </c>
      <c r="B680">
        <v>1.02</v>
      </c>
    </row>
    <row r="681" spans="1:2" x14ac:dyDescent="0.25">
      <c r="A681" s="40">
        <v>44820</v>
      </c>
      <c r="B681">
        <v>1.07</v>
      </c>
    </row>
    <row r="682" spans="1:2" x14ac:dyDescent="0.25">
      <c r="A682" s="40">
        <v>44823</v>
      </c>
      <c r="B682">
        <v>1.1499999999999999</v>
      </c>
    </row>
    <row r="683" spans="1:2" x14ac:dyDescent="0.25">
      <c r="A683" s="40">
        <v>44824</v>
      </c>
      <c r="B683">
        <v>1.17</v>
      </c>
    </row>
    <row r="684" spans="1:2" x14ac:dyDescent="0.25">
      <c r="A684" s="40">
        <v>44825</v>
      </c>
      <c r="B684">
        <v>1.1299999999999999</v>
      </c>
    </row>
    <row r="685" spans="1:2" x14ac:dyDescent="0.25">
      <c r="A685" s="40">
        <v>44826</v>
      </c>
      <c r="B685">
        <v>1.29</v>
      </c>
    </row>
    <row r="686" spans="1:2" x14ac:dyDescent="0.25">
      <c r="A686" s="40">
        <v>44827</v>
      </c>
      <c r="B686">
        <v>1.32</v>
      </c>
    </row>
    <row r="687" spans="1:2" x14ac:dyDescent="0.25">
      <c r="A687" s="40">
        <v>44830</v>
      </c>
      <c r="B687">
        <v>1.56</v>
      </c>
    </row>
    <row r="688" spans="1:2" x14ac:dyDescent="0.25">
      <c r="A688" s="40">
        <v>44831</v>
      </c>
      <c r="B688">
        <v>1.64</v>
      </c>
    </row>
    <row r="689" spans="1:2" x14ac:dyDescent="0.25">
      <c r="A689" s="40">
        <v>44832</v>
      </c>
      <c r="B689">
        <v>1.39</v>
      </c>
    </row>
    <row r="690" spans="1:2" x14ac:dyDescent="0.25">
      <c r="A690" s="40">
        <v>44833</v>
      </c>
      <c r="B690">
        <v>1.57</v>
      </c>
    </row>
    <row r="691" spans="1:2" x14ac:dyDescent="0.25">
      <c r="A691" s="40">
        <v>44834</v>
      </c>
      <c r="B691">
        <v>1.68</v>
      </c>
    </row>
    <row r="692" spans="1:2" x14ac:dyDescent="0.25">
      <c r="A692" s="40">
        <v>44837</v>
      </c>
      <c r="B692">
        <v>1.43</v>
      </c>
    </row>
    <row r="693" spans="1:2" x14ac:dyDescent="0.25">
      <c r="A693" s="40">
        <v>44838</v>
      </c>
      <c r="B693">
        <v>1.38</v>
      </c>
    </row>
    <row r="694" spans="1:2" x14ac:dyDescent="0.25">
      <c r="A694" s="40">
        <v>44839</v>
      </c>
      <c r="B694">
        <v>1.54</v>
      </c>
    </row>
    <row r="695" spans="1:2" x14ac:dyDescent="0.25">
      <c r="A695" s="40">
        <v>44840</v>
      </c>
      <c r="B695">
        <v>1.61</v>
      </c>
    </row>
    <row r="696" spans="1:2" x14ac:dyDescent="0.25">
      <c r="A696" s="40">
        <v>44841</v>
      </c>
      <c r="B696">
        <v>1.62</v>
      </c>
    </row>
    <row r="697" spans="1:2" x14ac:dyDescent="0.25">
      <c r="A697" s="40">
        <v>44845</v>
      </c>
      <c r="B697">
        <v>1.62</v>
      </c>
    </row>
    <row r="698" spans="1:2" x14ac:dyDescent="0.25">
      <c r="A698" s="40">
        <v>44846</v>
      </c>
      <c r="B698">
        <v>1.62</v>
      </c>
    </row>
    <row r="699" spans="1:2" x14ac:dyDescent="0.25">
      <c r="A699" s="40">
        <v>44847</v>
      </c>
      <c r="B699">
        <v>1.63</v>
      </c>
    </row>
    <row r="700" spans="1:2" x14ac:dyDescent="0.25">
      <c r="A700" s="40">
        <v>44848</v>
      </c>
      <c r="B700">
        <v>1.59</v>
      </c>
    </row>
    <row r="701" spans="1:2" x14ac:dyDescent="0.25">
      <c r="A701" s="40">
        <v>44851</v>
      </c>
      <c r="B701">
        <v>1.57</v>
      </c>
    </row>
    <row r="702" spans="1:2" x14ac:dyDescent="0.25">
      <c r="A702" s="40">
        <v>44852</v>
      </c>
      <c r="B702">
        <v>1.6</v>
      </c>
    </row>
    <row r="703" spans="1:2" x14ac:dyDescent="0.25">
      <c r="A703" s="40">
        <v>44853</v>
      </c>
      <c r="B703">
        <v>1.72</v>
      </c>
    </row>
    <row r="704" spans="1:2" x14ac:dyDescent="0.25">
      <c r="A704" s="40">
        <v>44854</v>
      </c>
      <c r="B704">
        <v>1.73</v>
      </c>
    </row>
    <row r="705" spans="1:2" x14ac:dyDescent="0.25">
      <c r="A705" s="40">
        <v>44855</v>
      </c>
      <c r="B705">
        <v>1.69</v>
      </c>
    </row>
    <row r="706" spans="1:2" x14ac:dyDescent="0.25">
      <c r="A706" s="40">
        <v>44858</v>
      </c>
      <c r="B706">
        <v>1.66</v>
      </c>
    </row>
    <row r="707" spans="1:2" x14ac:dyDescent="0.25">
      <c r="A707" s="40">
        <v>44859</v>
      </c>
      <c r="B707">
        <v>1.59</v>
      </c>
    </row>
    <row r="708" spans="1:2" x14ac:dyDescent="0.25">
      <c r="A708" s="40">
        <v>44860</v>
      </c>
      <c r="B708">
        <v>1.6</v>
      </c>
    </row>
    <row r="709" spans="1:2" x14ac:dyDescent="0.25">
      <c r="A709" s="40">
        <v>44861</v>
      </c>
      <c r="B709">
        <v>1.51</v>
      </c>
    </row>
    <row r="710" spans="1:2" x14ac:dyDescent="0.25">
      <c r="A710" s="40">
        <v>44862</v>
      </c>
      <c r="B710">
        <v>1.51</v>
      </c>
    </row>
    <row r="711" spans="1:2" x14ac:dyDescent="0.25">
      <c r="A711" s="40">
        <v>44865</v>
      </c>
      <c r="B711">
        <v>1.58</v>
      </c>
    </row>
    <row r="712" spans="1:2" x14ac:dyDescent="0.25">
      <c r="A712" s="40">
        <v>44866</v>
      </c>
      <c r="B712">
        <v>1.56</v>
      </c>
    </row>
    <row r="713" spans="1:2" x14ac:dyDescent="0.25">
      <c r="A713" s="40">
        <v>44867</v>
      </c>
      <c r="B713">
        <v>1.57</v>
      </c>
    </row>
    <row r="714" spans="1:2" x14ac:dyDescent="0.25">
      <c r="A714" s="40">
        <v>44868</v>
      </c>
      <c r="B714">
        <v>1.74</v>
      </c>
    </row>
    <row r="715" spans="1:2" x14ac:dyDescent="0.25">
      <c r="A715" s="40">
        <v>44869</v>
      </c>
      <c r="B715">
        <v>1.69</v>
      </c>
    </row>
    <row r="716" spans="1:2" x14ac:dyDescent="0.25">
      <c r="A716" s="40">
        <v>44872</v>
      </c>
      <c r="B716">
        <v>1.69</v>
      </c>
    </row>
    <row r="717" spans="1:2" x14ac:dyDescent="0.25">
      <c r="A717" s="40">
        <v>44873</v>
      </c>
      <c r="B717">
        <v>1.64</v>
      </c>
    </row>
    <row r="718" spans="1:2" x14ac:dyDescent="0.25">
      <c r="A718" s="40">
        <v>44874</v>
      </c>
      <c r="B718">
        <v>1.7</v>
      </c>
    </row>
    <row r="719" spans="1:2" x14ac:dyDescent="0.25">
      <c r="A719" s="40">
        <v>44875</v>
      </c>
      <c r="B719">
        <v>1.43</v>
      </c>
    </row>
    <row r="720" spans="1:2" x14ac:dyDescent="0.25">
      <c r="A720" s="40">
        <v>44879</v>
      </c>
      <c r="B720">
        <v>1.51</v>
      </c>
    </row>
    <row r="721" spans="1:2" x14ac:dyDescent="0.25">
      <c r="A721" s="40">
        <v>44880</v>
      </c>
      <c r="B721">
        <v>1.45</v>
      </c>
    </row>
    <row r="722" spans="1:2" x14ac:dyDescent="0.25">
      <c r="A722" s="40">
        <v>44881</v>
      </c>
      <c r="B722">
        <v>1.38</v>
      </c>
    </row>
    <row r="723" spans="1:2" x14ac:dyDescent="0.25">
      <c r="A723" s="40">
        <v>44882</v>
      </c>
      <c r="B723">
        <v>1.49</v>
      </c>
    </row>
    <row r="724" spans="1:2" x14ac:dyDescent="0.25">
      <c r="A724" s="40">
        <v>44883</v>
      </c>
      <c r="B724">
        <v>1.57</v>
      </c>
    </row>
    <row r="725" spans="1:2" x14ac:dyDescent="0.25">
      <c r="A725" s="40">
        <v>44886</v>
      </c>
      <c r="B725">
        <v>1.52</v>
      </c>
    </row>
    <row r="726" spans="1:2" x14ac:dyDescent="0.25">
      <c r="A726" s="40">
        <v>44887</v>
      </c>
      <c r="B726">
        <v>1.44</v>
      </c>
    </row>
    <row r="727" spans="1:2" x14ac:dyDescent="0.25">
      <c r="A727" s="40">
        <v>44888</v>
      </c>
      <c r="B727">
        <v>1.39</v>
      </c>
    </row>
    <row r="728" spans="1:2" x14ac:dyDescent="0.25">
      <c r="A728" s="40">
        <v>44890</v>
      </c>
      <c r="B728">
        <v>1.36</v>
      </c>
    </row>
    <row r="729" spans="1:2" x14ac:dyDescent="0.25">
      <c r="A729" s="40">
        <v>44893</v>
      </c>
      <c r="B729">
        <v>1.43</v>
      </c>
    </row>
    <row r="730" spans="1:2" x14ac:dyDescent="0.25">
      <c r="A730" s="40">
        <v>44894</v>
      </c>
      <c r="B730">
        <v>1.5</v>
      </c>
    </row>
    <row r="731" spans="1:2" x14ac:dyDescent="0.25">
      <c r="A731" s="40">
        <v>44895</v>
      </c>
      <c r="B731">
        <v>1.34</v>
      </c>
    </row>
    <row r="732" spans="1:2" x14ac:dyDescent="0.25">
      <c r="A732" s="40">
        <v>44896</v>
      </c>
      <c r="B732">
        <v>1.17</v>
      </c>
    </row>
    <row r="733" spans="1:2" x14ac:dyDescent="0.25">
      <c r="A733" s="40">
        <v>44897</v>
      </c>
      <c r="B733">
        <v>1.08</v>
      </c>
    </row>
    <row r="734" spans="1:2" x14ac:dyDescent="0.25">
      <c r="A734" s="40">
        <v>44900</v>
      </c>
      <c r="B734">
        <v>1.21</v>
      </c>
    </row>
    <row r="735" spans="1:2" x14ac:dyDescent="0.25">
      <c r="A735" s="40">
        <v>44901</v>
      </c>
      <c r="B735">
        <v>1.2</v>
      </c>
    </row>
    <row r="736" spans="1:2" x14ac:dyDescent="0.25">
      <c r="A736" s="40">
        <v>44902</v>
      </c>
      <c r="B736">
        <v>1.1599999999999999</v>
      </c>
    </row>
    <row r="737" spans="1:2" x14ac:dyDescent="0.25">
      <c r="A737" s="40">
        <v>44903</v>
      </c>
      <c r="B737">
        <v>1.2</v>
      </c>
    </row>
    <row r="738" spans="1:2" x14ac:dyDescent="0.25">
      <c r="A738" s="40">
        <v>44904</v>
      </c>
      <c r="B738">
        <v>1.31</v>
      </c>
    </row>
    <row r="739" spans="1:2" x14ac:dyDescent="0.25">
      <c r="A739" s="40">
        <v>44907</v>
      </c>
      <c r="B739">
        <v>1.33</v>
      </c>
    </row>
    <row r="740" spans="1:2" x14ac:dyDescent="0.25">
      <c r="A740" s="40">
        <v>44908</v>
      </c>
      <c r="B740">
        <v>1.27</v>
      </c>
    </row>
    <row r="741" spans="1:2" x14ac:dyDescent="0.25">
      <c r="A741" s="40">
        <v>44909</v>
      </c>
      <c r="B741">
        <v>1.3</v>
      </c>
    </row>
    <row r="742" spans="1:2" x14ac:dyDescent="0.25">
      <c r="A742" s="40">
        <v>44910</v>
      </c>
      <c r="B742">
        <v>1.28</v>
      </c>
    </row>
    <row r="743" spans="1:2" x14ac:dyDescent="0.25">
      <c r="A743" s="40">
        <v>44911</v>
      </c>
      <c r="B743">
        <v>1.35</v>
      </c>
    </row>
    <row r="744" spans="1:2" x14ac:dyDescent="0.25">
      <c r="A744" s="40">
        <v>44914</v>
      </c>
      <c r="B744">
        <v>1.42</v>
      </c>
    </row>
    <row r="745" spans="1:2" x14ac:dyDescent="0.25">
      <c r="A745" s="40">
        <v>44915</v>
      </c>
      <c r="B745">
        <v>1.45</v>
      </c>
    </row>
    <row r="746" spans="1:2" x14ac:dyDescent="0.25">
      <c r="A746" s="40">
        <v>44916</v>
      </c>
      <c r="B746">
        <v>1.41</v>
      </c>
    </row>
    <row r="747" spans="1:2" x14ac:dyDescent="0.25">
      <c r="A747" s="40">
        <v>44917</v>
      </c>
      <c r="B747">
        <v>1.48</v>
      </c>
    </row>
    <row r="748" spans="1:2" x14ac:dyDescent="0.25">
      <c r="A748" s="40">
        <v>44918</v>
      </c>
      <c r="B748">
        <v>1.55</v>
      </c>
    </row>
    <row r="749" spans="1:2" x14ac:dyDescent="0.25">
      <c r="A749" s="40">
        <v>44922</v>
      </c>
      <c r="B749">
        <v>1.58</v>
      </c>
    </row>
    <row r="750" spans="1:2" x14ac:dyDescent="0.25">
      <c r="A750" s="40">
        <v>44923</v>
      </c>
      <c r="B750">
        <v>1.6</v>
      </c>
    </row>
    <row r="751" spans="1:2" x14ac:dyDescent="0.25">
      <c r="A751" s="40">
        <v>44924</v>
      </c>
      <c r="B751">
        <v>1.56</v>
      </c>
    </row>
    <row r="752" spans="1:2" x14ac:dyDescent="0.25">
      <c r="A752" s="40">
        <v>44925</v>
      </c>
      <c r="B752">
        <v>1.58</v>
      </c>
    </row>
    <row r="753" spans="1:2" x14ac:dyDescent="0.25">
      <c r="A753" s="40">
        <v>44929</v>
      </c>
      <c r="B753">
        <v>1.53</v>
      </c>
    </row>
    <row r="754" spans="1:2" x14ac:dyDescent="0.25">
      <c r="A754" s="40">
        <v>44930</v>
      </c>
      <c r="B754">
        <v>1.47</v>
      </c>
    </row>
    <row r="755" spans="1:2" x14ac:dyDescent="0.25">
      <c r="A755" s="40">
        <v>44931</v>
      </c>
      <c r="B755">
        <v>1.49</v>
      </c>
    </row>
    <row r="756" spans="1:2" x14ac:dyDescent="0.25">
      <c r="A756" s="40">
        <v>44932</v>
      </c>
      <c r="B756">
        <v>1.34</v>
      </c>
    </row>
    <row r="757" spans="1:2" x14ac:dyDescent="0.25">
      <c r="A757" s="40">
        <v>44935</v>
      </c>
      <c r="B757">
        <v>1.31</v>
      </c>
    </row>
    <row r="758" spans="1:2" x14ac:dyDescent="0.25">
      <c r="A758" s="40">
        <v>44936</v>
      </c>
      <c r="B758">
        <v>1.37</v>
      </c>
    </row>
    <row r="759" spans="1:2" x14ac:dyDescent="0.25">
      <c r="A759" s="40">
        <v>44937</v>
      </c>
      <c r="B759">
        <v>1.31</v>
      </c>
    </row>
    <row r="760" spans="1:2" x14ac:dyDescent="0.25">
      <c r="A760" s="40">
        <v>44938</v>
      </c>
      <c r="B760">
        <v>1.22</v>
      </c>
    </row>
    <row r="761" spans="1:2" x14ac:dyDescent="0.25">
      <c r="A761" s="40">
        <v>44939</v>
      </c>
      <c r="B761">
        <v>1.31</v>
      </c>
    </row>
    <row r="762" spans="1:2" x14ac:dyDescent="0.25">
      <c r="A762" s="40">
        <v>44943</v>
      </c>
      <c r="B762">
        <v>1.36</v>
      </c>
    </row>
    <row r="763" spans="1:2" x14ac:dyDescent="0.25">
      <c r="A763" s="40">
        <v>44944</v>
      </c>
      <c r="B763">
        <v>1.25</v>
      </c>
    </row>
    <row r="764" spans="1:2" x14ac:dyDescent="0.25">
      <c r="A764" s="40">
        <v>44945</v>
      </c>
      <c r="B764">
        <v>1.19</v>
      </c>
    </row>
    <row r="765" spans="1:2" x14ac:dyDescent="0.25">
      <c r="A765" s="40">
        <v>44946</v>
      </c>
      <c r="B765">
        <v>1.25</v>
      </c>
    </row>
    <row r="766" spans="1:2" x14ac:dyDescent="0.25">
      <c r="A766" s="40">
        <v>44949</v>
      </c>
      <c r="B766">
        <v>1.24</v>
      </c>
    </row>
    <row r="767" spans="1:2" x14ac:dyDescent="0.25">
      <c r="A767" s="40">
        <v>44950</v>
      </c>
      <c r="B767">
        <v>1.19</v>
      </c>
    </row>
    <row r="768" spans="1:2" x14ac:dyDescent="0.25">
      <c r="A768" s="40">
        <v>44951</v>
      </c>
      <c r="B768">
        <v>1.17</v>
      </c>
    </row>
    <row r="769" spans="1:2" x14ac:dyDescent="0.25">
      <c r="A769" s="40">
        <v>44952</v>
      </c>
      <c r="B769">
        <v>1.1599999999999999</v>
      </c>
    </row>
    <row r="770" spans="1:2" x14ac:dyDescent="0.25">
      <c r="A770" s="40">
        <v>44953</v>
      </c>
      <c r="B770">
        <v>1.19</v>
      </c>
    </row>
    <row r="771" spans="1:2" x14ac:dyDescent="0.25">
      <c r="A771" s="40">
        <v>44956</v>
      </c>
      <c r="B771">
        <v>1.26</v>
      </c>
    </row>
    <row r="772" spans="1:2" x14ac:dyDescent="0.25">
      <c r="A772" s="40">
        <v>44957</v>
      </c>
      <c r="B772">
        <v>1.28</v>
      </c>
    </row>
    <row r="773" spans="1:2" x14ac:dyDescent="0.25">
      <c r="A773" s="40">
        <v>44958</v>
      </c>
      <c r="B773">
        <v>1.1399999999999999</v>
      </c>
    </row>
    <row r="774" spans="1:2" x14ac:dyDescent="0.25">
      <c r="A774" s="40">
        <v>44959</v>
      </c>
      <c r="B774">
        <v>1.18</v>
      </c>
    </row>
    <row r="775" spans="1:2" x14ac:dyDescent="0.25">
      <c r="A775" s="40">
        <v>44960</v>
      </c>
      <c r="B775">
        <v>1.31</v>
      </c>
    </row>
    <row r="776" spans="1:2" x14ac:dyDescent="0.25">
      <c r="A776" s="40">
        <v>44963</v>
      </c>
      <c r="B776">
        <v>1.38</v>
      </c>
    </row>
    <row r="777" spans="1:2" x14ac:dyDescent="0.25">
      <c r="A777" s="40">
        <v>44964</v>
      </c>
      <c r="B777">
        <v>1.36</v>
      </c>
    </row>
    <row r="778" spans="1:2" x14ac:dyDescent="0.25">
      <c r="A778" s="40">
        <v>44965</v>
      </c>
      <c r="B778">
        <v>1.29</v>
      </c>
    </row>
    <row r="779" spans="1:2" x14ac:dyDescent="0.25">
      <c r="A779" s="40">
        <v>44966</v>
      </c>
      <c r="B779">
        <v>1.34</v>
      </c>
    </row>
    <row r="780" spans="1:2" x14ac:dyDescent="0.25">
      <c r="A780" s="40">
        <v>44967</v>
      </c>
      <c r="B780">
        <v>1.41</v>
      </c>
    </row>
    <row r="781" spans="1:2" x14ac:dyDescent="0.25">
      <c r="A781" s="40">
        <v>44970</v>
      </c>
      <c r="B781">
        <v>1.41</v>
      </c>
    </row>
    <row r="782" spans="1:2" x14ac:dyDescent="0.25">
      <c r="A782" s="40">
        <v>44971</v>
      </c>
      <c r="B782">
        <v>1.46</v>
      </c>
    </row>
    <row r="783" spans="1:2" x14ac:dyDescent="0.25">
      <c r="A783" s="40">
        <v>44972</v>
      </c>
      <c r="B783">
        <v>1.46</v>
      </c>
    </row>
    <row r="784" spans="1:2" x14ac:dyDescent="0.25">
      <c r="A784" s="40">
        <v>44973</v>
      </c>
      <c r="B784">
        <v>1.49</v>
      </c>
    </row>
    <row r="785" spans="1:2" x14ac:dyDescent="0.25">
      <c r="A785" s="40">
        <v>44974</v>
      </c>
      <c r="B785">
        <v>1.46</v>
      </c>
    </row>
    <row r="786" spans="1:2" x14ac:dyDescent="0.25">
      <c r="A786" s="40">
        <v>44978</v>
      </c>
      <c r="B786">
        <v>1.53</v>
      </c>
    </row>
    <row r="787" spans="1:2" x14ac:dyDescent="0.25">
      <c r="A787" s="40">
        <v>44979</v>
      </c>
      <c r="B787">
        <v>1.52</v>
      </c>
    </row>
    <row r="788" spans="1:2" x14ac:dyDescent="0.25">
      <c r="A788" s="40">
        <v>44980</v>
      </c>
      <c r="B788">
        <v>1.49</v>
      </c>
    </row>
    <row r="789" spans="1:2" x14ac:dyDescent="0.25">
      <c r="A789" s="40">
        <v>44981</v>
      </c>
      <c r="B789">
        <v>1.57</v>
      </c>
    </row>
    <row r="790" spans="1:2" x14ac:dyDescent="0.25">
      <c r="A790" s="40">
        <v>44984</v>
      </c>
      <c r="B790">
        <v>1.56</v>
      </c>
    </row>
    <row r="791" spans="1:2" x14ac:dyDescent="0.25">
      <c r="A791" s="40">
        <v>44985</v>
      </c>
      <c r="B791">
        <v>1.49</v>
      </c>
    </row>
    <row r="792" spans="1:2" x14ac:dyDescent="0.25">
      <c r="A792" s="40">
        <v>44986</v>
      </c>
      <c r="B792">
        <v>1.57</v>
      </c>
    </row>
    <row r="793" spans="1:2" x14ac:dyDescent="0.25">
      <c r="A793" s="40">
        <v>44987</v>
      </c>
      <c r="B793">
        <v>1.6</v>
      </c>
    </row>
    <row r="794" spans="1:2" x14ac:dyDescent="0.25">
      <c r="A794" s="40">
        <v>44988</v>
      </c>
      <c r="B794">
        <v>1.45</v>
      </c>
    </row>
    <row r="795" spans="1:2" x14ac:dyDescent="0.25">
      <c r="A795" s="40">
        <v>44991</v>
      </c>
      <c r="B795">
        <v>1.49</v>
      </c>
    </row>
    <row r="796" spans="1:2" x14ac:dyDescent="0.25">
      <c r="A796" s="40">
        <v>44992</v>
      </c>
      <c r="B796">
        <v>1.59</v>
      </c>
    </row>
    <row r="797" spans="1:2" x14ac:dyDescent="0.25">
      <c r="A797" s="40">
        <v>44993</v>
      </c>
      <c r="B797">
        <v>1.66</v>
      </c>
    </row>
    <row r="798" spans="1:2" x14ac:dyDescent="0.25">
      <c r="A798" s="40">
        <v>44994</v>
      </c>
      <c r="B798">
        <v>1.63</v>
      </c>
    </row>
    <row r="799" spans="1:2" x14ac:dyDescent="0.25">
      <c r="A799" s="40">
        <v>44995</v>
      </c>
      <c r="B799">
        <v>1.44</v>
      </c>
    </row>
    <row r="800" spans="1:2" x14ac:dyDescent="0.25">
      <c r="A800" s="40">
        <v>44998</v>
      </c>
      <c r="B800">
        <v>1.31</v>
      </c>
    </row>
    <row r="801" spans="1:2" x14ac:dyDescent="0.25">
      <c r="A801" s="40">
        <v>44999</v>
      </c>
      <c r="B801">
        <v>1.33</v>
      </c>
    </row>
    <row r="802" spans="1:2" x14ac:dyDescent="0.25">
      <c r="A802" s="40">
        <v>45000</v>
      </c>
      <c r="B802">
        <v>1.22</v>
      </c>
    </row>
    <row r="803" spans="1:2" x14ac:dyDescent="0.25">
      <c r="A803" s="40">
        <v>45001</v>
      </c>
      <c r="B803">
        <v>1.34</v>
      </c>
    </row>
    <row r="804" spans="1:2" x14ac:dyDescent="0.25">
      <c r="A804" s="40">
        <v>45002</v>
      </c>
      <c r="B804">
        <v>1.29</v>
      </c>
    </row>
    <row r="805" spans="1:2" x14ac:dyDescent="0.25">
      <c r="A805" s="40">
        <v>45005</v>
      </c>
      <c r="B805">
        <v>1.33</v>
      </c>
    </row>
    <row r="806" spans="1:2" x14ac:dyDescent="0.25">
      <c r="A806" s="40">
        <v>45006</v>
      </c>
      <c r="B806">
        <v>1.36</v>
      </c>
    </row>
    <row r="807" spans="1:2" x14ac:dyDescent="0.25">
      <c r="A807" s="40">
        <v>45007</v>
      </c>
      <c r="B807">
        <v>1.2</v>
      </c>
    </row>
    <row r="808" spans="1:2" x14ac:dyDescent="0.25">
      <c r="A808" s="40">
        <v>45008</v>
      </c>
      <c r="B808">
        <v>1.19</v>
      </c>
    </row>
    <row r="809" spans="1:2" x14ac:dyDescent="0.25">
      <c r="A809" s="40">
        <v>45009</v>
      </c>
      <c r="B809">
        <v>1.1599999999999999</v>
      </c>
    </row>
    <row r="810" spans="1:2" x14ac:dyDescent="0.25">
      <c r="A810" s="40">
        <v>45012</v>
      </c>
      <c r="B810">
        <v>1.29</v>
      </c>
    </row>
    <row r="811" spans="1:2" x14ac:dyDescent="0.25">
      <c r="A811" s="40">
        <v>45013</v>
      </c>
      <c r="B811">
        <v>1.24</v>
      </c>
    </row>
    <row r="812" spans="1:2" x14ac:dyDescent="0.25">
      <c r="A812" s="40">
        <v>45014</v>
      </c>
      <c r="B812">
        <v>1.24</v>
      </c>
    </row>
    <row r="813" spans="1:2" x14ac:dyDescent="0.25">
      <c r="A813" s="40">
        <v>45015</v>
      </c>
      <c r="B813">
        <v>1.21</v>
      </c>
    </row>
    <row r="814" spans="1:2" x14ac:dyDescent="0.25">
      <c r="A814" s="40">
        <v>45016</v>
      </c>
      <c r="B814">
        <v>1.1599999999999999</v>
      </c>
    </row>
    <row r="815" spans="1:2" x14ac:dyDescent="0.25">
      <c r="A815" s="40">
        <v>45019</v>
      </c>
      <c r="B815">
        <v>1.1399999999999999</v>
      </c>
    </row>
    <row r="816" spans="1:2" x14ac:dyDescent="0.25">
      <c r="A816" s="40">
        <v>45020</v>
      </c>
      <c r="B816">
        <v>1.1000000000000001</v>
      </c>
    </row>
    <row r="817" spans="1:2" x14ac:dyDescent="0.25">
      <c r="A817" s="40">
        <v>45021</v>
      </c>
      <c r="B817">
        <v>1.07</v>
      </c>
    </row>
    <row r="818" spans="1:2" x14ac:dyDescent="0.25">
      <c r="A818" s="40">
        <v>45022</v>
      </c>
      <c r="B818">
        <v>1.06</v>
      </c>
    </row>
    <row r="819" spans="1:2" x14ac:dyDescent="0.25">
      <c r="A819" s="40">
        <v>45023</v>
      </c>
      <c r="B819">
        <v>1.1399999999999999</v>
      </c>
    </row>
    <row r="820" spans="1:2" x14ac:dyDescent="0.25">
      <c r="A820" s="40">
        <v>45026</v>
      </c>
      <c r="B820">
        <v>1.1399999999999999</v>
      </c>
    </row>
    <row r="821" spans="1:2" x14ac:dyDescent="0.25">
      <c r="A821" s="40">
        <v>45027</v>
      </c>
      <c r="B821">
        <v>1.1399999999999999</v>
      </c>
    </row>
    <row r="822" spans="1:2" x14ac:dyDescent="0.25">
      <c r="A822" s="40">
        <v>45028</v>
      </c>
      <c r="B822">
        <v>1.1399999999999999</v>
      </c>
    </row>
    <row r="823" spans="1:2" x14ac:dyDescent="0.25">
      <c r="A823" s="40">
        <v>45029</v>
      </c>
      <c r="B823">
        <v>1.1599999999999999</v>
      </c>
    </row>
    <row r="824" spans="1:2" x14ac:dyDescent="0.25">
      <c r="A824" s="40">
        <v>45030</v>
      </c>
      <c r="B824">
        <v>1.22</v>
      </c>
    </row>
    <row r="825" spans="1:2" x14ac:dyDescent="0.25">
      <c r="A825" s="40">
        <v>45033</v>
      </c>
      <c r="B825">
        <v>1.28</v>
      </c>
    </row>
    <row r="826" spans="1:2" x14ac:dyDescent="0.25">
      <c r="A826" s="40">
        <v>45034</v>
      </c>
      <c r="B826">
        <v>1.3</v>
      </c>
    </row>
    <row r="827" spans="1:2" x14ac:dyDescent="0.25">
      <c r="A827" s="40">
        <v>45035</v>
      </c>
      <c r="B827">
        <v>1.32</v>
      </c>
    </row>
    <row r="828" spans="1:2" x14ac:dyDescent="0.25">
      <c r="A828" s="40">
        <v>45036</v>
      </c>
      <c r="B828">
        <v>1.28</v>
      </c>
    </row>
    <row r="829" spans="1:2" x14ac:dyDescent="0.25">
      <c r="A829" s="40">
        <v>45037</v>
      </c>
      <c r="B829">
        <v>1.29</v>
      </c>
    </row>
    <row r="830" spans="1:2" x14ac:dyDescent="0.25">
      <c r="A830" s="40">
        <v>45040</v>
      </c>
      <c r="B830">
        <v>1.24</v>
      </c>
    </row>
    <row r="831" spans="1:2" x14ac:dyDescent="0.25">
      <c r="A831" s="40">
        <v>45041</v>
      </c>
      <c r="B831">
        <v>1.1499999999999999</v>
      </c>
    </row>
    <row r="832" spans="1:2" x14ac:dyDescent="0.25">
      <c r="A832" s="40">
        <v>45042</v>
      </c>
      <c r="B832">
        <v>1.18</v>
      </c>
    </row>
    <row r="833" spans="1:2" x14ac:dyDescent="0.25">
      <c r="A833" s="40">
        <v>45043</v>
      </c>
      <c r="B833">
        <v>1.26</v>
      </c>
    </row>
    <row r="834" spans="1:2" x14ac:dyDescent="0.25">
      <c r="A834" s="40">
        <v>45044</v>
      </c>
      <c r="B834">
        <v>1.26</v>
      </c>
    </row>
    <row r="835" spans="1:2" x14ac:dyDescent="0.25">
      <c r="A835" s="40">
        <v>45047</v>
      </c>
      <c r="B835">
        <v>1.36</v>
      </c>
    </row>
    <row r="836" spans="1:2" x14ac:dyDescent="0.25">
      <c r="A836" s="40">
        <v>45048</v>
      </c>
      <c r="B836">
        <v>1.24</v>
      </c>
    </row>
    <row r="837" spans="1:2" x14ac:dyDescent="0.25">
      <c r="A837" s="40">
        <v>45049</v>
      </c>
      <c r="B837">
        <v>1.18</v>
      </c>
    </row>
    <row r="838" spans="1:2" x14ac:dyDescent="0.25">
      <c r="A838" s="40">
        <v>45050</v>
      </c>
      <c r="B838">
        <v>1.18</v>
      </c>
    </row>
    <row r="839" spans="1:2" x14ac:dyDescent="0.25">
      <c r="A839" s="40">
        <v>45051</v>
      </c>
      <c r="B839">
        <v>1.23</v>
      </c>
    </row>
    <row r="840" spans="1:2" x14ac:dyDescent="0.25">
      <c r="A840" s="40">
        <v>45054</v>
      </c>
      <c r="B840">
        <v>1.29</v>
      </c>
    </row>
    <row r="841" spans="1:2" x14ac:dyDescent="0.25">
      <c r="A841" s="40">
        <v>45055</v>
      </c>
      <c r="B841">
        <v>1.3</v>
      </c>
    </row>
    <row r="842" spans="1:2" x14ac:dyDescent="0.25">
      <c r="A842" s="40">
        <v>45056</v>
      </c>
      <c r="B842">
        <v>1.26</v>
      </c>
    </row>
    <row r="843" spans="1:2" x14ac:dyDescent="0.25">
      <c r="A843" s="40">
        <v>45057</v>
      </c>
      <c r="B843">
        <v>1.23</v>
      </c>
    </row>
    <row r="844" spans="1:2" x14ac:dyDescent="0.25">
      <c r="A844" s="40">
        <v>45058</v>
      </c>
      <c r="B844">
        <v>1.28</v>
      </c>
    </row>
    <row r="845" spans="1:2" x14ac:dyDescent="0.25">
      <c r="A845" s="40">
        <v>45061</v>
      </c>
      <c r="B845">
        <v>1.31</v>
      </c>
    </row>
    <row r="846" spans="1:2" x14ac:dyDescent="0.25">
      <c r="A846" s="40">
        <v>45062</v>
      </c>
      <c r="B846">
        <v>1.35</v>
      </c>
    </row>
    <row r="847" spans="1:2" x14ac:dyDescent="0.25">
      <c r="A847" s="40">
        <v>45063</v>
      </c>
      <c r="B847">
        <v>1.35</v>
      </c>
    </row>
    <row r="848" spans="1:2" x14ac:dyDescent="0.25">
      <c r="A848" s="40">
        <v>45064</v>
      </c>
      <c r="B848">
        <v>1.42</v>
      </c>
    </row>
    <row r="849" spans="1:2" x14ac:dyDescent="0.25">
      <c r="A849" s="40">
        <v>45065</v>
      </c>
      <c r="B849">
        <v>1.46</v>
      </c>
    </row>
    <row r="850" spans="1:2" x14ac:dyDescent="0.25">
      <c r="A850" s="40">
        <v>45068</v>
      </c>
      <c r="B850">
        <v>1.48</v>
      </c>
    </row>
    <row r="851" spans="1:2" x14ac:dyDescent="0.25">
      <c r="A851" s="40">
        <v>45069</v>
      </c>
      <c r="B851">
        <v>1.44</v>
      </c>
    </row>
    <row r="852" spans="1:2" x14ac:dyDescent="0.25">
      <c r="A852" s="40">
        <v>45070</v>
      </c>
      <c r="B852">
        <v>1.48</v>
      </c>
    </row>
    <row r="853" spans="1:2" x14ac:dyDescent="0.25">
      <c r="A853" s="40">
        <v>45071</v>
      </c>
      <c r="B853">
        <v>1.58</v>
      </c>
    </row>
    <row r="854" spans="1:2" x14ac:dyDescent="0.25">
      <c r="A854" s="40">
        <v>45072</v>
      </c>
      <c r="B854">
        <v>1.57</v>
      </c>
    </row>
    <row r="855" spans="1:2" x14ac:dyDescent="0.25">
      <c r="A855" s="40">
        <v>45076</v>
      </c>
      <c r="B855">
        <v>1.47</v>
      </c>
    </row>
    <row r="856" spans="1:2" x14ac:dyDescent="0.25">
      <c r="A856" s="40">
        <v>45077</v>
      </c>
      <c r="B856">
        <v>1.46</v>
      </c>
    </row>
    <row r="857" spans="1:2" x14ac:dyDescent="0.25">
      <c r="A857" s="40">
        <v>45078</v>
      </c>
      <c r="B857">
        <v>1.45</v>
      </c>
    </row>
    <row r="858" spans="1:2" x14ac:dyDescent="0.25">
      <c r="A858" s="40">
        <v>45079</v>
      </c>
      <c r="B858">
        <v>1.51</v>
      </c>
    </row>
    <row r="859" spans="1:2" x14ac:dyDescent="0.25">
      <c r="A859" s="40">
        <v>45082</v>
      </c>
      <c r="B859">
        <v>1.5</v>
      </c>
    </row>
    <row r="860" spans="1:2" x14ac:dyDescent="0.25">
      <c r="A860" s="40">
        <v>45083</v>
      </c>
      <c r="B860">
        <v>1.5</v>
      </c>
    </row>
    <row r="861" spans="1:2" x14ac:dyDescent="0.25">
      <c r="A861" s="40">
        <v>45084</v>
      </c>
      <c r="B861">
        <v>1.58</v>
      </c>
    </row>
    <row r="862" spans="1:2" x14ac:dyDescent="0.25">
      <c r="A862" s="40">
        <v>45085</v>
      </c>
      <c r="B862">
        <v>1.53</v>
      </c>
    </row>
    <row r="863" spans="1:2" x14ac:dyDescent="0.25">
      <c r="A863" s="40">
        <v>45086</v>
      </c>
      <c r="B863">
        <v>1.55</v>
      </c>
    </row>
    <row r="864" spans="1:2" x14ac:dyDescent="0.25">
      <c r="A864" s="40">
        <v>45089</v>
      </c>
      <c r="B864">
        <v>1.56</v>
      </c>
    </row>
    <row r="865" spans="1:2" x14ac:dyDescent="0.25">
      <c r="A865" s="40">
        <v>45090</v>
      </c>
      <c r="B865">
        <v>1.64</v>
      </c>
    </row>
    <row r="866" spans="1:2" x14ac:dyDescent="0.25">
      <c r="A866" s="40">
        <v>45091</v>
      </c>
      <c r="B866">
        <v>1.62</v>
      </c>
    </row>
    <row r="867" spans="1:2" x14ac:dyDescent="0.25">
      <c r="A867" s="40">
        <v>45092</v>
      </c>
      <c r="B867">
        <v>1.51</v>
      </c>
    </row>
    <row r="868" spans="1:2" x14ac:dyDescent="0.25">
      <c r="A868" s="40">
        <v>45093</v>
      </c>
      <c r="B868">
        <v>1.55</v>
      </c>
    </row>
    <row r="869" spans="1:2" x14ac:dyDescent="0.25">
      <c r="A869" s="40">
        <v>45097</v>
      </c>
      <c r="B869">
        <v>1.52</v>
      </c>
    </row>
    <row r="870" spans="1:2" x14ac:dyDescent="0.25">
      <c r="A870" s="40">
        <v>45098</v>
      </c>
      <c r="B870">
        <v>1.51</v>
      </c>
    </row>
    <row r="871" spans="1:2" x14ac:dyDescent="0.25">
      <c r="A871" s="40">
        <v>45099</v>
      </c>
      <c r="B871">
        <v>1.56</v>
      </c>
    </row>
    <row r="872" spans="1:2" x14ac:dyDescent="0.25">
      <c r="A872" s="40">
        <v>45100</v>
      </c>
      <c r="B872">
        <v>1.53</v>
      </c>
    </row>
    <row r="873" spans="1:2" x14ac:dyDescent="0.25">
      <c r="A873" s="40">
        <v>45103</v>
      </c>
      <c r="B873">
        <v>1.54</v>
      </c>
    </row>
    <row r="874" spans="1:2" x14ac:dyDescent="0.25">
      <c r="A874" s="40">
        <v>45104</v>
      </c>
      <c r="B874">
        <v>1.57</v>
      </c>
    </row>
    <row r="875" spans="1:2" x14ac:dyDescent="0.25">
      <c r="A875" s="40">
        <v>45105</v>
      </c>
      <c r="B875">
        <v>1.53</v>
      </c>
    </row>
    <row r="876" spans="1:2" x14ac:dyDescent="0.25">
      <c r="A876" s="40">
        <v>45106</v>
      </c>
      <c r="B876">
        <v>1.65</v>
      </c>
    </row>
    <row r="877" spans="1:2" x14ac:dyDescent="0.25">
      <c r="A877" s="40">
        <v>45107</v>
      </c>
      <c r="B877">
        <v>1.59</v>
      </c>
    </row>
    <row r="878" spans="1:2" x14ac:dyDescent="0.25">
      <c r="A878" s="40">
        <v>45110</v>
      </c>
      <c r="B878">
        <v>1.61</v>
      </c>
    </row>
    <row r="879" spans="1:2" x14ac:dyDescent="0.25">
      <c r="A879" s="40">
        <v>45112</v>
      </c>
      <c r="B879">
        <v>1.69</v>
      </c>
    </row>
    <row r="880" spans="1:2" x14ac:dyDescent="0.25">
      <c r="A880" s="40">
        <v>45113</v>
      </c>
      <c r="B880">
        <v>1.78</v>
      </c>
    </row>
    <row r="881" spans="1:2" x14ac:dyDescent="0.25">
      <c r="A881" s="40">
        <v>45114</v>
      </c>
      <c r="B881">
        <v>1.79</v>
      </c>
    </row>
    <row r="882" spans="1:2" x14ac:dyDescent="0.25">
      <c r="A882" s="40">
        <v>45117</v>
      </c>
      <c r="B882">
        <v>1.76</v>
      </c>
    </row>
    <row r="883" spans="1:2" x14ac:dyDescent="0.25">
      <c r="A883" s="40">
        <v>45118</v>
      </c>
      <c r="B883">
        <v>1.75</v>
      </c>
    </row>
    <row r="884" spans="1:2" x14ac:dyDescent="0.25">
      <c r="A884" s="40">
        <v>45119</v>
      </c>
      <c r="B884">
        <v>1.6</v>
      </c>
    </row>
    <row r="885" spans="1:2" x14ac:dyDescent="0.25">
      <c r="A885" s="40">
        <v>45120</v>
      </c>
      <c r="B885">
        <v>1.52</v>
      </c>
    </row>
    <row r="886" spans="1:2" x14ac:dyDescent="0.25">
      <c r="A886" s="40">
        <v>45121</v>
      </c>
      <c r="B886">
        <v>1.59</v>
      </c>
    </row>
    <row r="887" spans="1:2" x14ac:dyDescent="0.25">
      <c r="A887" s="40">
        <v>45124</v>
      </c>
      <c r="B887">
        <v>1.56</v>
      </c>
    </row>
    <row r="888" spans="1:2" x14ac:dyDescent="0.25">
      <c r="A888" s="40">
        <v>45125</v>
      </c>
      <c r="B888">
        <v>1.57</v>
      </c>
    </row>
    <row r="889" spans="1:2" x14ac:dyDescent="0.25">
      <c r="A889" s="40">
        <v>45126</v>
      </c>
      <c r="B889">
        <v>1.53</v>
      </c>
    </row>
    <row r="890" spans="1:2" x14ac:dyDescent="0.25">
      <c r="A890" s="40">
        <v>45127</v>
      </c>
      <c r="B890">
        <v>1.5</v>
      </c>
    </row>
    <row r="891" spans="1:2" x14ac:dyDescent="0.25">
      <c r="A891" s="40">
        <v>45128</v>
      </c>
      <c r="B891">
        <v>1.49</v>
      </c>
    </row>
    <row r="892" spans="1:2" x14ac:dyDescent="0.25">
      <c r="A892" s="40">
        <v>45131</v>
      </c>
      <c r="B892">
        <v>1.48</v>
      </c>
    </row>
    <row r="893" spans="1:2" x14ac:dyDescent="0.25">
      <c r="A893" s="40">
        <v>45132</v>
      </c>
      <c r="B893">
        <v>1.52</v>
      </c>
    </row>
    <row r="894" spans="1:2" x14ac:dyDescent="0.25">
      <c r="A894" s="40">
        <v>45133</v>
      </c>
      <c r="B894">
        <v>1.5</v>
      </c>
    </row>
    <row r="895" spans="1:2" x14ac:dyDescent="0.25">
      <c r="A895" s="40">
        <v>45134</v>
      </c>
      <c r="B895">
        <v>1.64</v>
      </c>
    </row>
    <row r="896" spans="1:2" x14ac:dyDescent="0.25">
      <c r="A896" s="40">
        <v>45135</v>
      </c>
      <c r="B896">
        <v>1.58</v>
      </c>
    </row>
    <row r="897" spans="1:2" x14ac:dyDescent="0.25">
      <c r="A897" s="40">
        <v>45138</v>
      </c>
      <c r="B897">
        <v>1.6</v>
      </c>
    </row>
    <row r="898" spans="1:2" x14ac:dyDescent="0.25">
      <c r="A898" s="40">
        <v>45139</v>
      </c>
      <c r="B898">
        <v>1.68</v>
      </c>
    </row>
    <row r="899" spans="1:2" x14ac:dyDescent="0.25">
      <c r="A899" s="40">
        <v>45140</v>
      </c>
      <c r="B899">
        <v>1.72</v>
      </c>
    </row>
    <row r="900" spans="1:2" x14ac:dyDescent="0.25">
      <c r="A900" s="40">
        <v>45141</v>
      </c>
      <c r="B900">
        <v>1.83</v>
      </c>
    </row>
    <row r="901" spans="1:2" x14ac:dyDescent="0.25">
      <c r="A901" s="40">
        <v>45142</v>
      </c>
      <c r="B901">
        <v>1.67</v>
      </c>
    </row>
    <row r="902" spans="1:2" x14ac:dyDescent="0.25">
      <c r="A902" s="40">
        <v>45145</v>
      </c>
      <c r="B902">
        <v>1.68</v>
      </c>
    </row>
    <row r="903" spans="1:2" x14ac:dyDescent="0.25">
      <c r="A903" s="40">
        <v>45146</v>
      </c>
      <c r="B903">
        <v>1.66</v>
      </c>
    </row>
    <row r="904" spans="1:2" x14ac:dyDescent="0.25">
      <c r="A904" s="40">
        <v>45147</v>
      </c>
      <c r="B904">
        <v>1.66</v>
      </c>
    </row>
    <row r="905" spans="1:2" x14ac:dyDescent="0.25">
      <c r="A905" s="40">
        <v>45148</v>
      </c>
      <c r="B905">
        <v>1.76</v>
      </c>
    </row>
    <row r="906" spans="1:2" x14ac:dyDescent="0.25">
      <c r="A906" s="40">
        <v>45149</v>
      </c>
      <c r="B906">
        <v>1.8</v>
      </c>
    </row>
    <row r="907" spans="1:2" x14ac:dyDescent="0.25">
      <c r="A907" s="40">
        <v>45152</v>
      </c>
      <c r="B907">
        <v>1.83</v>
      </c>
    </row>
    <row r="908" spans="1:2" x14ac:dyDescent="0.25">
      <c r="A908" s="40">
        <v>45153</v>
      </c>
      <c r="B908">
        <v>1.89</v>
      </c>
    </row>
    <row r="909" spans="1:2" x14ac:dyDescent="0.25">
      <c r="A909" s="40">
        <v>45154</v>
      </c>
      <c r="B909">
        <v>1.96</v>
      </c>
    </row>
    <row r="910" spans="1:2" x14ac:dyDescent="0.25">
      <c r="A910" s="40">
        <v>45155</v>
      </c>
      <c r="B910">
        <v>1.97</v>
      </c>
    </row>
    <row r="911" spans="1:2" x14ac:dyDescent="0.25">
      <c r="A911" s="40">
        <v>45156</v>
      </c>
      <c r="B911">
        <v>1.94</v>
      </c>
    </row>
    <row r="912" spans="1:2" x14ac:dyDescent="0.25">
      <c r="A912" s="40">
        <v>45159</v>
      </c>
      <c r="B912">
        <v>2</v>
      </c>
    </row>
    <row r="913" spans="1:2" x14ac:dyDescent="0.25">
      <c r="A913" s="40">
        <v>45160</v>
      </c>
      <c r="B913">
        <v>1.99</v>
      </c>
    </row>
    <row r="914" spans="1:2" x14ac:dyDescent="0.25">
      <c r="A914" s="40">
        <v>45161</v>
      </c>
      <c r="B914">
        <v>1.84</v>
      </c>
    </row>
    <row r="915" spans="1:2" x14ac:dyDescent="0.25">
      <c r="A915" s="40">
        <v>45162</v>
      </c>
      <c r="B915">
        <v>1.91</v>
      </c>
    </row>
    <row r="916" spans="1:2" x14ac:dyDescent="0.25">
      <c r="A916" s="40">
        <v>45163</v>
      </c>
      <c r="B916">
        <v>1.92</v>
      </c>
    </row>
    <row r="917" spans="1:2" x14ac:dyDescent="0.25">
      <c r="A917" s="40">
        <v>45166</v>
      </c>
      <c r="B917">
        <v>1.9</v>
      </c>
    </row>
    <row r="918" spans="1:2" x14ac:dyDescent="0.25">
      <c r="A918" s="40">
        <v>45167</v>
      </c>
      <c r="B918">
        <v>1.83</v>
      </c>
    </row>
    <row r="919" spans="1:2" x14ac:dyDescent="0.25">
      <c r="A919" s="40">
        <v>45168</v>
      </c>
      <c r="B919">
        <v>1.86</v>
      </c>
    </row>
    <row r="920" spans="1:2" x14ac:dyDescent="0.25">
      <c r="A920" s="40">
        <v>45169</v>
      </c>
      <c r="B920">
        <v>1.85</v>
      </c>
    </row>
    <row r="921" spans="1:2" x14ac:dyDescent="0.25">
      <c r="A921" s="40">
        <v>45170</v>
      </c>
      <c r="B921">
        <v>1.92</v>
      </c>
    </row>
    <row r="922" spans="1:2" x14ac:dyDescent="0.25">
      <c r="A922" s="40">
        <v>45174</v>
      </c>
      <c r="B922">
        <v>1.98</v>
      </c>
    </row>
    <row r="923" spans="1:2" x14ac:dyDescent="0.25">
      <c r="A923" s="40">
        <v>45175</v>
      </c>
      <c r="B923">
        <v>2</v>
      </c>
    </row>
    <row r="924" spans="1:2" x14ac:dyDescent="0.25">
      <c r="A924" s="40">
        <v>45176</v>
      </c>
      <c r="B924">
        <v>1.95</v>
      </c>
    </row>
    <row r="925" spans="1:2" x14ac:dyDescent="0.25">
      <c r="A925" s="40">
        <v>45177</v>
      </c>
      <c r="B925">
        <v>1.93</v>
      </c>
    </row>
    <row r="926" spans="1:2" x14ac:dyDescent="0.25">
      <c r="A926" s="40">
        <v>45180</v>
      </c>
      <c r="B926">
        <v>1.94</v>
      </c>
    </row>
    <row r="927" spans="1:2" x14ac:dyDescent="0.25">
      <c r="A927" s="40">
        <v>45181</v>
      </c>
      <c r="B927">
        <v>1.93</v>
      </c>
    </row>
    <row r="928" spans="1:2" x14ac:dyDescent="0.25">
      <c r="A928" s="40">
        <v>45182</v>
      </c>
      <c r="B928">
        <v>1.9</v>
      </c>
    </row>
    <row r="929" spans="1:2" x14ac:dyDescent="0.25">
      <c r="A929" s="40">
        <v>45183</v>
      </c>
      <c r="B929">
        <v>1.95</v>
      </c>
    </row>
    <row r="930" spans="1:2" x14ac:dyDescent="0.25">
      <c r="A930" s="40">
        <v>45184</v>
      </c>
      <c r="B930">
        <v>1.98</v>
      </c>
    </row>
    <row r="931" spans="1:2" x14ac:dyDescent="0.25">
      <c r="A931" s="40">
        <v>45187</v>
      </c>
      <c r="B931">
        <v>1.96</v>
      </c>
    </row>
    <row r="932" spans="1:2" x14ac:dyDescent="0.25">
      <c r="A932" s="40">
        <v>45188</v>
      </c>
      <c r="B932">
        <v>2</v>
      </c>
    </row>
    <row r="933" spans="1:2" x14ac:dyDescent="0.25">
      <c r="A933" s="40">
        <v>45189</v>
      </c>
      <c r="B933">
        <v>2</v>
      </c>
    </row>
    <row r="934" spans="1:2" x14ac:dyDescent="0.25">
      <c r="A934" s="40">
        <v>45190</v>
      </c>
      <c r="B934">
        <v>2.11</v>
      </c>
    </row>
    <row r="935" spans="1:2" x14ac:dyDescent="0.25">
      <c r="A935" s="40">
        <v>45191</v>
      </c>
      <c r="B935">
        <v>2.0699999999999998</v>
      </c>
    </row>
    <row r="936" spans="1:2" x14ac:dyDescent="0.25">
      <c r="A936" s="40">
        <v>45194</v>
      </c>
      <c r="B936">
        <v>2.1800000000000002</v>
      </c>
    </row>
    <row r="937" spans="1:2" x14ac:dyDescent="0.25">
      <c r="A937" s="40">
        <v>45195</v>
      </c>
      <c r="B937">
        <v>2.23</v>
      </c>
    </row>
    <row r="938" spans="1:2" x14ac:dyDescent="0.25">
      <c r="A938" s="40">
        <v>45196</v>
      </c>
      <c r="B938">
        <v>2.27</v>
      </c>
    </row>
    <row r="939" spans="1:2" x14ac:dyDescent="0.25">
      <c r="A939" s="40">
        <v>45197</v>
      </c>
      <c r="B939">
        <v>2.2000000000000002</v>
      </c>
    </row>
    <row r="940" spans="1:2" x14ac:dyDescent="0.25">
      <c r="A940" s="40">
        <v>45198</v>
      </c>
      <c r="B940">
        <v>2.2400000000000002</v>
      </c>
    </row>
    <row r="941" spans="1:2" x14ac:dyDescent="0.25">
      <c r="A941" s="40">
        <v>45201</v>
      </c>
      <c r="B941">
        <v>2.34</v>
      </c>
    </row>
    <row r="942" spans="1:2" x14ac:dyDescent="0.25">
      <c r="A942" s="40">
        <v>45202</v>
      </c>
      <c r="B942">
        <v>2.4500000000000002</v>
      </c>
    </row>
    <row r="943" spans="1:2" x14ac:dyDescent="0.25">
      <c r="A943" s="40">
        <v>45203</v>
      </c>
      <c r="B943">
        <v>2.4</v>
      </c>
    </row>
    <row r="944" spans="1:2" x14ac:dyDescent="0.25">
      <c r="A944" s="40">
        <v>45204</v>
      </c>
      <c r="B944">
        <v>2.41</v>
      </c>
    </row>
    <row r="945" spans="1:2" x14ac:dyDescent="0.25">
      <c r="A945" s="40">
        <v>45205</v>
      </c>
      <c r="B945">
        <v>2.4700000000000002</v>
      </c>
    </row>
    <row r="946" spans="1:2" x14ac:dyDescent="0.25">
      <c r="A946" s="40">
        <v>45209</v>
      </c>
      <c r="B946">
        <v>2.34</v>
      </c>
    </row>
    <row r="947" spans="1:2" x14ac:dyDescent="0.25">
      <c r="A947" s="40">
        <v>45210</v>
      </c>
      <c r="B947">
        <v>2.2599999999999998</v>
      </c>
    </row>
    <row r="948" spans="1:2" x14ac:dyDescent="0.25">
      <c r="A948" s="40">
        <v>45211</v>
      </c>
      <c r="B948">
        <v>2.36</v>
      </c>
    </row>
    <row r="949" spans="1:2" x14ac:dyDescent="0.25">
      <c r="A949" s="40">
        <v>45212</v>
      </c>
      <c r="B949">
        <v>2.29</v>
      </c>
    </row>
    <row r="950" spans="1:2" x14ac:dyDescent="0.25">
      <c r="A950" s="40">
        <v>45215</v>
      </c>
      <c r="B950">
        <v>2.33</v>
      </c>
    </row>
    <row r="951" spans="1:2" x14ac:dyDescent="0.25">
      <c r="A951" s="40">
        <v>45216</v>
      </c>
      <c r="B951">
        <v>2.42</v>
      </c>
    </row>
    <row r="952" spans="1:2" x14ac:dyDescent="0.25">
      <c r="A952" s="40">
        <v>45217</v>
      </c>
      <c r="B952">
        <v>2.4700000000000002</v>
      </c>
    </row>
    <row r="953" spans="1:2" x14ac:dyDescent="0.25">
      <c r="A953" s="40">
        <v>45218</v>
      </c>
      <c r="B953">
        <v>2.4900000000000002</v>
      </c>
    </row>
    <row r="954" spans="1:2" x14ac:dyDescent="0.25">
      <c r="A954" s="40">
        <v>45219</v>
      </c>
      <c r="B954">
        <v>2.46</v>
      </c>
    </row>
    <row r="955" spans="1:2" x14ac:dyDescent="0.25">
      <c r="A955" s="40">
        <v>45222</v>
      </c>
      <c r="B955">
        <v>2.4500000000000002</v>
      </c>
    </row>
    <row r="956" spans="1:2" x14ac:dyDescent="0.25">
      <c r="A956" s="40">
        <v>45223</v>
      </c>
      <c r="B956">
        <v>2.4300000000000002</v>
      </c>
    </row>
    <row r="957" spans="1:2" x14ac:dyDescent="0.25">
      <c r="A957" s="40">
        <v>45224</v>
      </c>
      <c r="B957">
        <v>2.52</v>
      </c>
    </row>
    <row r="958" spans="1:2" x14ac:dyDescent="0.25">
      <c r="A958" s="40">
        <v>45225</v>
      </c>
      <c r="B958">
        <v>2.44</v>
      </c>
    </row>
    <row r="959" spans="1:2" x14ac:dyDescent="0.25">
      <c r="A959" s="40">
        <v>45226</v>
      </c>
      <c r="B959">
        <v>2.42</v>
      </c>
    </row>
    <row r="960" spans="1:2" x14ac:dyDescent="0.25">
      <c r="A960" s="40">
        <v>45229</v>
      </c>
      <c r="B960">
        <v>2.44</v>
      </c>
    </row>
    <row r="961" spans="1:2" x14ac:dyDescent="0.25">
      <c r="A961" s="40">
        <v>45230</v>
      </c>
      <c r="B961">
        <v>2.46</v>
      </c>
    </row>
    <row r="962" spans="1:2" x14ac:dyDescent="0.25">
      <c r="A962" s="40">
        <v>45231</v>
      </c>
      <c r="B962">
        <v>2.36</v>
      </c>
    </row>
    <row r="963" spans="1:2" x14ac:dyDescent="0.25">
      <c r="A963" s="40">
        <v>45232</v>
      </c>
      <c r="B963">
        <v>2.27</v>
      </c>
    </row>
    <row r="964" spans="1:2" x14ac:dyDescent="0.25">
      <c r="A964" s="40">
        <v>45233</v>
      </c>
      <c r="B964">
        <v>2.1800000000000002</v>
      </c>
    </row>
    <row r="965" spans="1:2" x14ac:dyDescent="0.25">
      <c r="A965" s="40">
        <v>45236</v>
      </c>
      <c r="B965">
        <v>2.25</v>
      </c>
    </row>
    <row r="966" spans="1:2" x14ac:dyDescent="0.25">
      <c r="A966" s="40">
        <v>45237</v>
      </c>
      <c r="B966">
        <v>2.19</v>
      </c>
    </row>
    <row r="967" spans="1:2" x14ac:dyDescent="0.25">
      <c r="A967" s="40">
        <v>45238</v>
      </c>
      <c r="B967">
        <v>2.15</v>
      </c>
    </row>
    <row r="968" spans="1:2" x14ac:dyDescent="0.25">
      <c r="A968" s="40">
        <v>45239</v>
      </c>
      <c r="B968">
        <v>2.29</v>
      </c>
    </row>
    <row r="969" spans="1:2" x14ac:dyDescent="0.25">
      <c r="A969" s="40">
        <v>45240</v>
      </c>
      <c r="B969">
        <v>2.29</v>
      </c>
    </row>
    <row r="970" spans="1:2" x14ac:dyDescent="0.25">
      <c r="A970" s="40">
        <v>45243</v>
      </c>
      <c r="B970">
        <v>2.3199999999999998</v>
      </c>
    </row>
    <row r="971" spans="1:2" x14ac:dyDescent="0.25">
      <c r="A971" s="40">
        <v>45244</v>
      </c>
      <c r="B971">
        <v>2.16</v>
      </c>
    </row>
    <row r="972" spans="1:2" x14ac:dyDescent="0.25">
      <c r="A972" s="40">
        <v>45245</v>
      </c>
      <c r="B972">
        <v>2.2200000000000002</v>
      </c>
    </row>
    <row r="973" spans="1:2" x14ac:dyDescent="0.25">
      <c r="A973" s="40">
        <v>45246</v>
      </c>
      <c r="B973">
        <v>2.1800000000000002</v>
      </c>
    </row>
    <row r="974" spans="1:2" x14ac:dyDescent="0.25">
      <c r="A974" s="40">
        <v>45247</v>
      </c>
      <c r="B974">
        <v>2.16</v>
      </c>
    </row>
    <row r="975" spans="1:2" x14ac:dyDescent="0.25">
      <c r="A975" s="40">
        <v>45250</v>
      </c>
      <c r="B975">
        <v>2.12</v>
      </c>
    </row>
    <row r="976" spans="1:2" x14ac:dyDescent="0.25">
      <c r="A976" s="40">
        <v>45251</v>
      </c>
      <c r="B976">
        <v>2.16</v>
      </c>
    </row>
    <row r="977" spans="1:2" x14ac:dyDescent="0.25">
      <c r="A977" s="40">
        <v>45252</v>
      </c>
      <c r="B977">
        <v>2.16</v>
      </c>
    </row>
    <row r="978" spans="1:2" x14ac:dyDescent="0.25">
      <c r="A978" s="40">
        <v>45254</v>
      </c>
      <c r="B978">
        <v>2.21</v>
      </c>
    </row>
    <row r="979" spans="1:2" x14ac:dyDescent="0.25">
      <c r="A979" s="40">
        <v>45257</v>
      </c>
      <c r="B979">
        <v>2.1800000000000002</v>
      </c>
    </row>
    <row r="980" spans="1:2" x14ac:dyDescent="0.25">
      <c r="A980" s="40">
        <v>45258</v>
      </c>
      <c r="B980">
        <v>2.12</v>
      </c>
    </row>
    <row r="981" spans="1:2" x14ac:dyDescent="0.25">
      <c r="A981" s="40">
        <v>45259</v>
      </c>
      <c r="B981">
        <v>2.06</v>
      </c>
    </row>
    <row r="982" spans="1:2" x14ac:dyDescent="0.25">
      <c r="A982" s="40">
        <v>45260</v>
      </c>
      <c r="B982">
        <v>2.14</v>
      </c>
    </row>
    <row r="983" spans="1:2" x14ac:dyDescent="0.25">
      <c r="A983" s="40">
        <v>45261</v>
      </c>
      <c r="B983">
        <v>2</v>
      </c>
    </row>
    <row r="984" spans="1:2" x14ac:dyDescent="0.25">
      <c r="A984" s="40">
        <v>45264</v>
      </c>
      <c r="B984">
        <v>2.0699999999999998</v>
      </c>
    </row>
    <row r="985" spans="1:2" x14ac:dyDescent="0.25">
      <c r="A985" s="40">
        <v>45265</v>
      </c>
      <c r="B985">
        <v>2.0099999999999998</v>
      </c>
    </row>
    <row r="986" spans="1:2" x14ac:dyDescent="0.25">
      <c r="A986" s="40">
        <v>45266</v>
      </c>
      <c r="B986">
        <v>1.98</v>
      </c>
    </row>
    <row r="987" spans="1:2" x14ac:dyDescent="0.25">
      <c r="A987" s="40">
        <v>45267</v>
      </c>
      <c r="B987">
        <v>1.97</v>
      </c>
    </row>
    <row r="988" spans="1:2" x14ac:dyDescent="0.25">
      <c r="A988" s="40">
        <v>45268</v>
      </c>
      <c r="B988">
        <v>2.02</v>
      </c>
    </row>
    <row r="989" spans="1:2" x14ac:dyDescent="0.25">
      <c r="A989" s="40">
        <v>45271</v>
      </c>
      <c r="B989">
        <v>2.04</v>
      </c>
    </row>
    <row r="990" spans="1:2" x14ac:dyDescent="0.25">
      <c r="A990" s="40">
        <v>45272</v>
      </c>
      <c r="B990">
        <v>2.04</v>
      </c>
    </row>
    <row r="991" spans="1:2" x14ac:dyDescent="0.25">
      <c r="A991" s="40">
        <v>45273</v>
      </c>
      <c r="B991">
        <v>1.88</v>
      </c>
    </row>
    <row r="992" spans="1:2" x14ac:dyDescent="0.25">
      <c r="A992" s="40">
        <v>45274</v>
      </c>
      <c r="B992">
        <v>1.7</v>
      </c>
    </row>
    <row r="993" spans="1:2" x14ac:dyDescent="0.25">
      <c r="A993" s="40">
        <v>45275</v>
      </c>
      <c r="B993">
        <v>1.69</v>
      </c>
    </row>
    <row r="994" spans="1:2" x14ac:dyDescent="0.25">
      <c r="A994" s="40">
        <v>45278</v>
      </c>
      <c r="B994">
        <v>1.74</v>
      </c>
    </row>
    <row r="995" spans="1:2" x14ac:dyDescent="0.25">
      <c r="A995" s="40">
        <v>45279</v>
      </c>
      <c r="B995">
        <v>1.74</v>
      </c>
    </row>
    <row r="996" spans="1:2" x14ac:dyDescent="0.25">
      <c r="A996" s="40">
        <v>45280</v>
      </c>
      <c r="B996">
        <v>1.67</v>
      </c>
    </row>
    <row r="997" spans="1:2" x14ac:dyDescent="0.25">
      <c r="A997" s="40">
        <v>45281</v>
      </c>
      <c r="B997">
        <v>1.7</v>
      </c>
    </row>
    <row r="998" spans="1:2" x14ac:dyDescent="0.25">
      <c r="A998" s="40">
        <v>45282</v>
      </c>
      <c r="B998">
        <v>1.71</v>
      </c>
    </row>
    <row r="999" spans="1:2" x14ac:dyDescent="0.25">
      <c r="A999" s="40">
        <v>45286</v>
      </c>
      <c r="B999">
        <v>1.71</v>
      </c>
    </row>
    <row r="1000" spans="1:2" x14ac:dyDescent="0.25">
      <c r="A1000" s="40">
        <v>45287</v>
      </c>
      <c r="B1000">
        <v>1.64</v>
      </c>
    </row>
    <row r="1001" spans="1:2" x14ac:dyDescent="0.25">
      <c r="A1001" s="40">
        <v>45288</v>
      </c>
      <c r="B1001">
        <v>1.68</v>
      </c>
    </row>
    <row r="1002" spans="1:2" x14ac:dyDescent="0.25">
      <c r="A1002" s="40">
        <v>45289</v>
      </c>
      <c r="B1002">
        <v>1.72</v>
      </c>
    </row>
    <row r="1003" spans="1:2" x14ac:dyDescent="0.25">
      <c r="A1003" s="40">
        <v>45293</v>
      </c>
      <c r="B1003">
        <v>1.74</v>
      </c>
    </row>
    <row r="1004" spans="1:2" x14ac:dyDescent="0.25">
      <c r="A1004" s="40">
        <v>45294</v>
      </c>
      <c r="B1004">
        <v>1.71</v>
      </c>
    </row>
    <row r="1005" spans="1:2" x14ac:dyDescent="0.25">
      <c r="A1005" s="40">
        <v>45295</v>
      </c>
      <c r="B1005">
        <v>1.77</v>
      </c>
    </row>
    <row r="1006" spans="1:2" x14ac:dyDescent="0.25">
      <c r="A1006" s="40">
        <v>45296</v>
      </c>
      <c r="B1006">
        <v>1.83</v>
      </c>
    </row>
    <row r="1007" spans="1:2" x14ac:dyDescent="0.25">
      <c r="A1007" s="40">
        <v>45299</v>
      </c>
      <c r="B1007">
        <v>1.79</v>
      </c>
    </row>
    <row r="1008" spans="1:2" x14ac:dyDescent="0.25">
      <c r="A1008" s="40">
        <v>45300</v>
      </c>
      <c r="B1008">
        <v>1.8</v>
      </c>
    </row>
    <row r="1009" spans="1:2" x14ac:dyDescent="0.25">
      <c r="A1009" s="40">
        <v>45301</v>
      </c>
      <c r="B1009">
        <v>1.82</v>
      </c>
    </row>
    <row r="1010" spans="1:2" x14ac:dyDescent="0.25">
      <c r="A1010" s="40">
        <v>45302</v>
      </c>
      <c r="B1010">
        <v>1.76</v>
      </c>
    </row>
    <row r="1011" spans="1:2" x14ac:dyDescent="0.25">
      <c r="A1011" s="40">
        <v>45303</v>
      </c>
      <c r="B1011">
        <v>1.69</v>
      </c>
    </row>
    <row r="1012" spans="1:2" x14ac:dyDescent="0.25">
      <c r="A1012" s="40">
        <v>45307</v>
      </c>
      <c r="B1012">
        <v>1.77</v>
      </c>
    </row>
    <row r="1013" spans="1:2" x14ac:dyDescent="0.25">
      <c r="A1013" s="40">
        <v>45308</v>
      </c>
      <c r="B1013">
        <v>1.8</v>
      </c>
    </row>
    <row r="1014" spans="1:2" x14ac:dyDescent="0.25">
      <c r="A1014" s="40">
        <v>45309</v>
      </c>
      <c r="B1014">
        <v>1.8</v>
      </c>
    </row>
    <row r="1015" spans="1:2" x14ac:dyDescent="0.25">
      <c r="A1015" s="40">
        <v>45310</v>
      </c>
      <c r="B1015">
        <v>1.81</v>
      </c>
    </row>
    <row r="1016" spans="1:2" x14ac:dyDescent="0.25">
      <c r="A1016" s="40">
        <v>45313</v>
      </c>
      <c r="B1016">
        <v>1.8</v>
      </c>
    </row>
    <row r="1017" spans="1:2" x14ac:dyDescent="0.25">
      <c r="A1017" s="40">
        <v>45314</v>
      </c>
      <c r="B1017">
        <v>1.85</v>
      </c>
    </row>
    <row r="1018" spans="1:2" x14ac:dyDescent="0.25">
      <c r="A1018" s="40">
        <v>45315</v>
      </c>
      <c r="B1018">
        <v>1.88</v>
      </c>
    </row>
    <row r="1019" spans="1:2" x14ac:dyDescent="0.25">
      <c r="A1019" s="40">
        <v>45316</v>
      </c>
      <c r="B1019">
        <v>1.85</v>
      </c>
    </row>
    <row r="1020" spans="1:2" x14ac:dyDescent="0.25">
      <c r="A1020" s="40">
        <v>45317</v>
      </c>
      <c r="B1020">
        <v>1.85</v>
      </c>
    </row>
    <row r="1021" spans="1:2" x14ac:dyDescent="0.25">
      <c r="A1021" s="40">
        <v>45320</v>
      </c>
      <c r="B1021">
        <v>1.78</v>
      </c>
    </row>
    <row r="1022" spans="1:2" x14ac:dyDescent="0.25">
      <c r="A1022" s="40">
        <v>45321</v>
      </c>
      <c r="B1022">
        <v>1.8</v>
      </c>
    </row>
    <row r="1023" spans="1:2" x14ac:dyDescent="0.25">
      <c r="A1023" s="40">
        <v>45322</v>
      </c>
      <c r="B1023">
        <v>1.73</v>
      </c>
    </row>
    <row r="1024" spans="1:2" x14ac:dyDescent="0.25">
      <c r="A1024" s="40">
        <v>45323</v>
      </c>
      <c r="B1024">
        <v>1.68</v>
      </c>
    </row>
    <row r="1025" spans="1:2" x14ac:dyDescent="0.25">
      <c r="A1025" s="40">
        <v>45324</v>
      </c>
      <c r="B1025">
        <v>1.82</v>
      </c>
    </row>
    <row r="1026" spans="1:2" x14ac:dyDescent="0.25">
      <c r="A1026" s="40">
        <v>45327</v>
      </c>
      <c r="B1026">
        <v>1.9</v>
      </c>
    </row>
    <row r="1027" spans="1:2" x14ac:dyDescent="0.25">
      <c r="A1027" s="40">
        <v>45328</v>
      </c>
      <c r="B1027">
        <v>1.85</v>
      </c>
    </row>
    <row r="1028" spans="1:2" x14ac:dyDescent="0.25">
      <c r="A1028" s="40">
        <v>45329</v>
      </c>
      <c r="B1028">
        <v>1.86</v>
      </c>
    </row>
    <row r="1029" spans="1:2" x14ac:dyDescent="0.25">
      <c r="A1029" s="40">
        <v>45330</v>
      </c>
      <c r="B1029">
        <v>1.91</v>
      </c>
    </row>
    <row r="1030" spans="1:2" x14ac:dyDescent="0.25">
      <c r="A1030" s="40">
        <v>45331</v>
      </c>
      <c r="B1030">
        <v>1.92</v>
      </c>
    </row>
    <row r="1031" spans="1:2" x14ac:dyDescent="0.25">
      <c r="A1031" s="40">
        <v>45334</v>
      </c>
      <c r="B1031">
        <v>1.93</v>
      </c>
    </row>
    <row r="1032" spans="1:2" x14ac:dyDescent="0.25">
      <c r="A1032" s="40">
        <v>45335</v>
      </c>
      <c r="B1032">
        <v>2.02</v>
      </c>
    </row>
    <row r="1033" spans="1:2" x14ac:dyDescent="0.25">
      <c r="A1033" s="40">
        <v>45336</v>
      </c>
      <c r="B1033">
        <v>1.97</v>
      </c>
    </row>
    <row r="1034" spans="1:2" x14ac:dyDescent="0.25">
      <c r="A1034" s="40">
        <v>45337</v>
      </c>
      <c r="B1034">
        <v>1.94</v>
      </c>
    </row>
    <row r="1035" spans="1:2" x14ac:dyDescent="0.25">
      <c r="A1035" s="40">
        <v>45338</v>
      </c>
      <c r="B1035">
        <v>1.97</v>
      </c>
    </row>
    <row r="1036" spans="1:2" x14ac:dyDescent="0.25">
      <c r="A1036" s="40">
        <v>45342</v>
      </c>
      <c r="B1036">
        <v>1.95</v>
      </c>
    </row>
    <row r="1037" spans="1:2" x14ac:dyDescent="0.25">
      <c r="A1037" s="40">
        <v>45343</v>
      </c>
      <c r="B1037">
        <v>1.98</v>
      </c>
    </row>
    <row r="1038" spans="1:2" x14ac:dyDescent="0.25">
      <c r="A1038" s="40">
        <v>45344</v>
      </c>
      <c r="B1038">
        <v>2.02</v>
      </c>
    </row>
    <row r="1039" spans="1:2" x14ac:dyDescent="0.25">
      <c r="A1039" s="40">
        <v>45345</v>
      </c>
      <c r="B1039">
        <v>1.96</v>
      </c>
    </row>
    <row r="1040" spans="1:2" x14ac:dyDescent="0.25">
      <c r="A1040" s="40">
        <v>45348</v>
      </c>
      <c r="B1040">
        <v>1.97</v>
      </c>
    </row>
    <row r="1041" spans="1:2" x14ac:dyDescent="0.25">
      <c r="A1041" s="40">
        <v>45349</v>
      </c>
      <c r="B1041">
        <v>1.99</v>
      </c>
    </row>
    <row r="1042" spans="1:2" x14ac:dyDescent="0.25">
      <c r="A1042" s="40">
        <v>45350</v>
      </c>
      <c r="B1042">
        <v>1.94</v>
      </c>
    </row>
    <row r="1043" spans="1:2" x14ac:dyDescent="0.25">
      <c r="A1043" s="40">
        <v>45351</v>
      </c>
      <c r="B1043">
        <v>1.92</v>
      </c>
    </row>
    <row r="1044" spans="1:2" x14ac:dyDescent="0.25">
      <c r="A1044" s="40">
        <v>45352</v>
      </c>
      <c r="B1044">
        <v>1.87</v>
      </c>
    </row>
    <row r="1045" spans="1:2" x14ac:dyDescent="0.25">
      <c r="A1045" s="40">
        <v>45355</v>
      </c>
      <c r="B1045">
        <v>1.88</v>
      </c>
    </row>
    <row r="1046" spans="1:2" x14ac:dyDescent="0.25">
      <c r="A1046" s="40">
        <v>45356</v>
      </c>
      <c r="B1046">
        <v>1.81</v>
      </c>
    </row>
    <row r="1047" spans="1:2" x14ac:dyDescent="0.25">
      <c r="A1047" s="40">
        <v>45357</v>
      </c>
      <c r="B1047">
        <v>1.81</v>
      </c>
    </row>
    <row r="1048" spans="1:2" x14ac:dyDescent="0.25">
      <c r="A1048" s="40">
        <v>45358</v>
      </c>
      <c r="B1048">
        <v>1.81</v>
      </c>
    </row>
    <row r="1049" spans="1:2" x14ac:dyDescent="0.25">
      <c r="A1049" s="40">
        <v>45359</v>
      </c>
      <c r="B1049">
        <v>1.81</v>
      </c>
    </row>
    <row r="1050" spans="1:2" x14ac:dyDescent="0.25">
      <c r="A1050" s="40">
        <v>45362</v>
      </c>
      <c r="B1050">
        <v>1.83</v>
      </c>
    </row>
    <row r="1051" spans="1:2" x14ac:dyDescent="0.25">
      <c r="A1051" s="40">
        <v>45363</v>
      </c>
      <c r="B1051">
        <v>1.86</v>
      </c>
    </row>
    <row r="1052" spans="1:2" x14ac:dyDescent="0.25">
      <c r="A1052" s="40">
        <v>45364</v>
      </c>
      <c r="B1052">
        <v>1.89</v>
      </c>
    </row>
    <row r="1053" spans="1:2" x14ac:dyDescent="0.25">
      <c r="A1053" s="40">
        <v>45365</v>
      </c>
      <c r="B1053">
        <v>1.99</v>
      </c>
    </row>
    <row r="1054" spans="1:2" x14ac:dyDescent="0.25">
      <c r="A1054" s="40">
        <v>45366</v>
      </c>
      <c r="B1054">
        <v>1.99</v>
      </c>
    </row>
    <row r="1055" spans="1:2" x14ac:dyDescent="0.25">
      <c r="A1055" s="40">
        <v>45369</v>
      </c>
      <c r="B1055">
        <v>2.0299999999999998</v>
      </c>
    </row>
    <row r="1056" spans="1:2" x14ac:dyDescent="0.25">
      <c r="A1056" s="40">
        <v>45370</v>
      </c>
      <c r="B1056">
        <v>2</v>
      </c>
    </row>
    <row r="1057" spans="1:2" x14ac:dyDescent="0.25">
      <c r="A1057" s="40">
        <v>45371</v>
      </c>
      <c r="B1057">
        <v>1.96</v>
      </c>
    </row>
    <row r="1058" spans="1:2" x14ac:dyDescent="0.25">
      <c r="A1058" s="40">
        <v>45372</v>
      </c>
      <c r="B1058">
        <v>1.93</v>
      </c>
    </row>
    <row r="1059" spans="1:2" x14ac:dyDescent="0.25">
      <c r="A1059" s="40">
        <v>45373</v>
      </c>
      <c r="B1059">
        <v>1.87</v>
      </c>
    </row>
    <row r="1060" spans="1:2" x14ac:dyDescent="0.25">
      <c r="A1060" s="40">
        <v>45376</v>
      </c>
      <c r="B1060">
        <v>1.92</v>
      </c>
    </row>
    <row r="1061" spans="1:2" x14ac:dyDescent="0.25">
      <c r="A1061" s="40">
        <v>45377</v>
      </c>
      <c r="B1061">
        <v>1.92</v>
      </c>
    </row>
    <row r="1062" spans="1:2" x14ac:dyDescent="0.25">
      <c r="A1062" s="40">
        <v>45378</v>
      </c>
      <c r="B1062">
        <v>1.88</v>
      </c>
    </row>
    <row r="1063" spans="1:2" x14ac:dyDescent="0.25">
      <c r="A1063" s="40">
        <v>45379</v>
      </c>
      <c r="B1063">
        <v>1.88</v>
      </c>
    </row>
    <row r="1064" spans="1:2" x14ac:dyDescent="0.25">
      <c r="A1064" s="40">
        <v>45383</v>
      </c>
      <c r="B1064">
        <v>1.98</v>
      </c>
    </row>
    <row r="1065" spans="1:2" x14ac:dyDescent="0.25">
      <c r="A1065" s="40">
        <v>45384</v>
      </c>
      <c r="B1065">
        <v>2</v>
      </c>
    </row>
    <row r="1066" spans="1:2" x14ac:dyDescent="0.25">
      <c r="A1066" s="40">
        <v>45385</v>
      </c>
      <c r="B1066">
        <v>2</v>
      </c>
    </row>
    <row r="1067" spans="1:2" x14ac:dyDescent="0.25">
      <c r="A1067" s="40">
        <v>45386</v>
      </c>
      <c r="B1067">
        <v>1.97</v>
      </c>
    </row>
    <row r="1068" spans="1:2" x14ac:dyDescent="0.25">
      <c r="A1068" s="40">
        <v>45387</v>
      </c>
      <c r="B1068">
        <v>2.02</v>
      </c>
    </row>
    <row r="1069" spans="1:2" x14ac:dyDescent="0.25">
      <c r="A1069" s="40">
        <v>45390</v>
      </c>
      <c r="B1069">
        <v>2.04</v>
      </c>
    </row>
    <row r="1070" spans="1:2" x14ac:dyDescent="0.25">
      <c r="A1070" s="40">
        <v>45391</v>
      </c>
      <c r="B1070">
        <v>2</v>
      </c>
    </row>
    <row r="1071" spans="1:2" x14ac:dyDescent="0.25">
      <c r="A1071" s="40">
        <v>45392</v>
      </c>
      <c r="B1071">
        <v>2.15</v>
      </c>
    </row>
    <row r="1072" spans="1:2" x14ac:dyDescent="0.25">
      <c r="A1072" s="40">
        <v>45393</v>
      </c>
      <c r="B1072">
        <v>2.16</v>
      </c>
    </row>
    <row r="1073" spans="1:2" x14ac:dyDescent="0.25">
      <c r="A1073" s="40">
        <v>45394</v>
      </c>
      <c r="B1073">
        <v>2.11</v>
      </c>
    </row>
    <row r="1074" spans="1:2" x14ac:dyDescent="0.25">
      <c r="A1074" s="40">
        <v>45397</v>
      </c>
      <c r="B1074">
        <v>2.2000000000000002</v>
      </c>
    </row>
    <row r="1075" spans="1:2" x14ac:dyDescent="0.25">
      <c r="A1075" s="40">
        <v>45398</v>
      </c>
      <c r="B1075">
        <v>2.2400000000000002</v>
      </c>
    </row>
    <row r="1076" spans="1:2" x14ac:dyDescent="0.25">
      <c r="A1076" s="40">
        <v>45399</v>
      </c>
      <c r="B1076">
        <v>2.2000000000000002</v>
      </c>
    </row>
    <row r="1077" spans="1:2" x14ac:dyDescent="0.25">
      <c r="A1077" s="40">
        <v>45400</v>
      </c>
      <c r="B1077">
        <v>2.2400000000000002</v>
      </c>
    </row>
    <row r="1078" spans="1:2" x14ac:dyDescent="0.25">
      <c r="A1078" s="40">
        <v>45401</v>
      </c>
      <c r="B1078">
        <v>2.21</v>
      </c>
    </row>
    <row r="1079" spans="1:2" x14ac:dyDescent="0.25">
      <c r="A1079" s="40">
        <v>45404</v>
      </c>
      <c r="B1079">
        <v>2.21</v>
      </c>
    </row>
    <row r="1080" spans="1:2" x14ac:dyDescent="0.25">
      <c r="A1080" s="40">
        <v>45405</v>
      </c>
      <c r="B1080">
        <v>2.2000000000000002</v>
      </c>
    </row>
    <row r="1081" spans="1:2" x14ac:dyDescent="0.25">
      <c r="A1081" s="40">
        <v>45406</v>
      </c>
      <c r="B1081">
        <v>2.2400000000000002</v>
      </c>
    </row>
    <row r="1082" spans="1:2" x14ac:dyDescent="0.25">
      <c r="A1082" s="40">
        <v>45407</v>
      </c>
      <c r="B1082">
        <v>2.2799999999999998</v>
      </c>
    </row>
    <row r="1083" spans="1:2" x14ac:dyDescent="0.25">
      <c r="A1083" s="40">
        <v>45408</v>
      </c>
      <c r="B1083">
        <v>2.2400000000000002</v>
      </c>
    </row>
    <row r="1084" spans="1:2" x14ac:dyDescent="0.25">
      <c r="A1084" s="40">
        <v>45411</v>
      </c>
      <c r="B1084">
        <v>2.2200000000000002</v>
      </c>
    </row>
    <row r="1085" spans="1:2" x14ac:dyDescent="0.25">
      <c r="A1085" s="40">
        <v>45412</v>
      </c>
      <c r="B1085">
        <v>2.2799999999999998</v>
      </c>
    </row>
    <row r="1086" spans="1:2" x14ac:dyDescent="0.25">
      <c r="A1086" s="40">
        <v>45413</v>
      </c>
      <c r="B1086">
        <v>2.25</v>
      </c>
    </row>
    <row r="1087" spans="1:2" x14ac:dyDescent="0.25">
      <c r="A1087" s="40">
        <v>45414</v>
      </c>
      <c r="B1087">
        <v>2.21</v>
      </c>
    </row>
    <row r="1088" spans="1:2" x14ac:dyDescent="0.25">
      <c r="A1088" s="40">
        <v>45415</v>
      </c>
      <c r="B1088">
        <v>2.15</v>
      </c>
    </row>
    <row r="1089" spans="1:2" x14ac:dyDescent="0.25">
      <c r="A1089" s="40">
        <v>45418</v>
      </c>
      <c r="B1089">
        <v>2.14</v>
      </c>
    </row>
    <row r="1090" spans="1:2" x14ac:dyDescent="0.25">
      <c r="A1090" s="40">
        <v>45419</v>
      </c>
      <c r="B1090">
        <v>2.15</v>
      </c>
    </row>
    <row r="1091" spans="1:2" x14ac:dyDescent="0.25">
      <c r="A1091" s="40">
        <v>45420</v>
      </c>
      <c r="B1091">
        <v>2.17</v>
      </c>
    </row>
    <row r="1092" spans="1:2" x14ac:dyDescent="0.25">
      <c r="A1092" s="40">
        <v>45421</v>
      </c>
      <c r="B1092">
        <v>2.13</v>
      </c>
    </row>
    <row r="1093" spans="1:2" x14ac:dyDescent="0.25">
      <c r="A1093" s="40">
        <v>45422</v>
      </c>
      <c r="B1093">
        <v>2.16</v>
      </c>
    </row>
    <row r="1094" spans="1:2" x14ac:dyDescent="0.25">
      <c r="A1094" s="40">
        <v>45425</v>
      </c>
      <c r="B1094">
        <v>2.15</v>
      </c>
    </row>
    <row r="1095" spans="1:2" x14ac:dyDescent="0.25">
      <c r="A1095" s="40">
        <v>45426</v>
      </c>
      <c r="B1095">
        <v>2.12</v>
      </c>
    </row>
    <row r="1096" spans="1:2" x14ac:dyDescent="0.25">
      <c r="A1096" s="40">
        <v>45427</v>
      </c>
      <c r="B1096">
        <v>2.0499999999999998</v>
      </c>
    </row>
    <row r="1097" spans="1:2" x14ac:dyDescent="0.25">
      <c r="A1097" s="40">
        <v>45428</v>
      </c>
      <c r="B1097">
        <v>2.0699999999999998</v>
      </c>
    </row>
    <row r="1098" spans="1:2" x14ac:dyDescent="0.25">
      <c r="A1098" s="40">
        <v>45429</v>
      </c>
      <c r="B1098">
        <v>2.1</v>
      </c>
    </row>
    <row r="1099" spans="1:2" x14ac:dyDescent="0.25">
      <c r="A1099" s="40">
        <v>45432</v>
      </c>
      <c r="B1099">
        <v>2.11</v>
      </c>
    </row>
    <row r="1100" spans="1:2" x14ac:dyDescent="0.25">
      <c r="A1100" s="40">
        <v>45433</v>
      </c>
      <c r="B1100">
        <v>2.09</v>
      </c>
    </row>
    <row r="1101" spans="1:2" x14ac:dyDescent="0.25">
      <c r="A1101" s="40">
        <v>45434</v>
      </c>
      <c r="B1101">
        <v>2.1</v>
      </c>
    </row>
    <row r="1102" spans="1:2" x14ac:dyDescent="0.25">
      <c r="A1102" s="40">
        <v>45435</v>
      </c>
      <c r="B1102">
        <v>2.17</v>
      </c>
    </row>
    <row r="1103" spans="1:2" x14ac:dyDescent="0.25">
      <c r="A1103" s="40">
        <v>45436</v>
      </c>
      <c r="B1103">
        <v>2.14</v>
      </c>
    </row>
    <row r="1104" spans="1:2" x14ac:dyDescent="0.25">
      <c r="A1104" s="40">
        <v>45440</v>
      </c>
      <c r="B1104">
        <v>2.2000000000000002</v>
      </c>
    </row>
    <row r="1105" spans="1:2" x14ac:dyDescent="0.25">
      <c r="A1105" s="40">
        <v>45441</v>
      </c>
      <c r="B1105">
        <v>2.25</v>
      </c>
    </row>
    <row r="1106" spans="1:2" x14ac:dyDescent="0.25">
      <c r="A1106" s="40">
        <v>45442</v>
      </c>
      <c r="B1106">
        <v>2.19</v>
      </c>
    </row>
    <row r="1107" spans="1:2" x14ac:dyDescent="0.25">
      <c r="A1107" s="40">
        <v>45443</v>
      </c>
      <c r="B1107">
        <v>2.16</v>
      </c>
    </row>
    <row r="1108" spans="1:2" x14ac:dyDescent="0.25">
      <c r="A1108" s="40">
        <v>45446</v>
      </c>
      <c r="B1108">
        <v>2.08</v>
      </c>
    </row>
    <row r="1109" spans="1:2" x14ac:dyDescent="0.25">
      <c r="A1109" s="40">
        <v>45447</v>
      </c>
      <c r="B1109">
        <v>2.02</v>
      </c>
    </row>
    <row r="1110" spans="1:2" x14ac:dyDescent="0.25">
      <c r="A1110" s="40">
        <v>45448</v>
      </c>
      <c r="B1110">
        <v>1.99</v>
      </c>
    </row>
    <row r="1111" spans="1:2" x14ac:dyDescent="0.25">
      <c r="A1111" s="40">
        <v>45449</v>
      </c>
      <c r="B1111">
        <v>2</v>
      </c>
    </row>
    <row r="1112" spans="1:2" x14ac:dyDescent="0.25">
      <c r="A1112" s="40">
        <v>45450</v>
      </c>
      <c r="B1112">
        <v>2.13</v>
      </c>
    </row>
    <row r="1113" spans="1:2" x14ac:dyDescent="0.25">
      <c r="A1113" s="40">
        <v>45453</v>
      </c>
      <c r="B1113">
        <v>2.16</v>
      </c>
    </row>
    <row r="1114" spans="1:2" x14ac:dyDescent="0.25">
      <c r="A1114" s="40">
        <v>45454</v>
      </c>
      <c r="B1114">
        <v>2.12</v>
      </c>
    </row>
    <row r="1115" spans="1:2" x14ac:dyDescent="0.25">
      <c r="A1115" s="40">
        <v>45455</v>
      </c>
      <c r="B1115">
        <v>2.09</v>
      </c>
    </row>
    <row r="1116" spans="1:2" x14ac:dyDescent="0.25">
      <c r="A1116" s="40">
        <v>45456</v>
      </c>
      <c r="B1116">
        <v>2.0299999999999998</v>
      </c>
    </row>
    <row r="1117" spans="1:2" x14ac:dyDescent="0.25">
      <c r="A1117" s="40">
        <v>45457</v>
      </c>
      <c r="B1117">
        <v>2.0299999999999998</v>
      </c>
    </row>
    <row r="1118" spans="1:2" x14ac:dyDescent="0.25">
      <c r="A1118" s="40">
        <v>45460</v>
      </c>
      <c r="B1118">
        <v>2.06</v>
      </c>
    </row>
    <row r="1119" spans="1:2" x14ac:dyDescent="0.25">
      <c r="A1119" s="40">
        <v>45461</v>
      </c>
      <c r="B1119">
        <v>2.0099999999999998</v>
      </c>
    </row>
    <row r="1120" spans="1:2" x14ac:dyDescent="0.25">
      <c r="A1120" s="40">
        <v>45463</v>
      </c>
      <c r="B1120">
        <v>2</v>
      </c>
    </row>
    <row r="1121" spans="1:2" x14ac:dyDescent="0.25">
      <c r="A1121" s="40">
        <v>45464</v>
      </c>
      <c r="B1121">
        <v>2.02</v>
      </c>
    </row>
    <row r="1122" spans="1:2" x14ac:dyDescent="0.25">
      <c r="A1122" s="40">
        <v>45467</v>
      </c>
      <c r="B1122">
        <v>2.0299999999999998</v>
      </c>
    </row>
    <row r="1123" spans="1:2" x14ac:dyDescent="0.25">
      <c r="A1123" s="40">
        <v>45468</v>
      </c>
      <c r="B1123">
        <v>2.0099999999999998</v>
      </c>
    </row>
    <row r="1124" spans="1:2" x14ac:dyDescent="0.25">
      <c r="A1124" s="40">
        <v>45469</v>
      </c>
      <c r="B1124">
        <v>2.06</v>
      </c>
    </row>
    <row r="1125" spans="1:2" x14ac:dyDescent="0.25">
      <c r="A1125" s="40">
        <v>45470</v>
      </c>
      <c r="B1125">
        <v>2.0299999999999998</v>
      </c>
    </row>
    <row r="1126" spans="1:2" x14ac:dyDescent="0.25">
      <c r="A1126" s="40">
        <v>45471</v>
      </c>
      <c r="B1126">
        <v>2.08</v>
      </c>
    </row>
    <row r="1127" spans="1:2" x14ac:dyDescent="0.25">
      <c r="A1127" s="40">
        <v>45474</v>
      </c>
      <c r="B1127">
        <v>2.16</v>
      </c>
    </row>
    <row r="1128" spans="1:2" x14ac:dyDescent="0.25">
      <c r="A1128" s="40">
        <v>45475</v>
      </c>
      <c r="B1128">
        <v>2.13</v>
      </c>
    </row>
    <row r="1129" spans="1:2" x14ac:dyDescent="0.25">
      <c r="A1129" s="40">
        <v>45476</v>
      </c>
      <c r="B1129">
        <v>2.09</v>
      </c>
    </row>
    <row r="1130" spans="1:2" x14ac:dyDescent="0.25">
      <c r="A1130" s="40">
        <v>45478</v>
      </c>
      <c r="B1130">
        <v>2</v>
      </c>
    </row>
    <row r="1131" spans="1:2" x14ac:dyDescent="0.25">
      <c r="A1131" s="40">
        <v>45481</v>
      </c>
      <c r="B1131">
        <v>2.0099999999999998</v>
      </c>
    </row>
    <row r="1132" spans="1:2" x14ac:dyDescent="0.25">
      <c r="A1132" s="40">
        <v>45482</v>
      </c>
      <c r="B1132">
        <v>2.04</v>
      </c>
    </row>
    <row r="1133" spans="1:2" x14ac:dyDescent="0.25">
      <c r="A1133" s="40">
        <v>45483</v>
      </c>
      <c r="B1133">
        <v>2.0099999999999998</v>
      </c>
    </row>
    <row r="1134" spans="1:2" x14ac:dyDescent="0.25">
      <c r="A1134" s="40">
        <v>45484</v>
      </c>
      <c r="B1134">
        <v>1.95</v>
      </c>
    </row>
    <row r="1135" spans="1:2" x14ac:dyDescent="0.25">
      <c r="A1135" s="40">
        <v>45485</v>
      </c>
      <c r="B1135">
        <v>1.94</v>
      </c>
    </row>
    <row r="1136" spans="1:2" x14ac:dyDescent="0.25">
      <c r="A1136" s="40">
        <v>45488</v>
      </c>
      <c r="B1136">
        <v>1.96</v>
      </c>
    </row>
    <row r="1137" spans="1:2" x14ac:dyDescent="0.25">
      <c r="A1137" s="40">
        <v>45489</v>
      </c>
      <c r="B1137">
        <v>1.91</v>
      </c>
    </row>
    <row r="1138" spans="1:2" x14ac:dyDescent="0.25">
      <c r="A1138" s="40">
        <v>45490</v>
      </c>
      <c r="B1138">
        <v>1.9</v>
      </c>
    </row>
    <row r="1139" spans="1:2" x14ac:dyDescent="0.25">
      <c r="A1139" s="40">
        <v>45491</v>
      </c>
      <c r="B1139">
        <v>1.89</v>
      </c>
    </row>
    <row r="1140" spans="1:2" x14ac:dyDescent="0.25">
      <c r="A1140" s="40">
        <v>45492</v>
      </c>
      <c r="B1140">
        <v>1.93</v>
      </c>
    </row>
    <row r="1141" spans="1:2" x14ac:dyDescent="0.25">
      <c r="A1141" s="40">
        <v>45495</v>
      </c>
      <c r="B1141">
        <v>1.96</v>
      </c>
    </row>
    <row r="1142" spans="1:2" x14ac:dyDescent="0.25">
      <c r="A1142" s="40">
        <v>45496</v>
      </c>
      <c r="B1142">
        <v>1.96</v>
      </c>
    </row>
    <row r="1143" spans="1:2" x14ac:dyDescent="0.25">
      <c r="A1143" s="40">
        <v>45497</v>
      </c>
      <c r="B1143">
        <v>2</v>
      </c>
    </row>
    <row r="1144" spans="1:2" x14ac:dyDescent="0.25">
      <c r="A1144" s="40">
        <v>45498</v>
      </c>
      <c r="B1144">
        <v>1.99</v>
      </c>
    </row>
    <row r="1145" spans="1:2" x14ac:dyDescent="0.25">
      <c r="A1145" s="40">
        <v>45499</v>
      </c>
      <c r="B1145">
        <v>1.93</v>
      </c>
    </row>
    <row r="1146" spans="1:2" x14ac:dyDescent="0.25">
      <c r="A1146" s="40">
        <v>45502</v>
      </c>
      <c r="B1146">
        <v>1.92</v>
      </c>
    </row>
    <row r="1147" spans="1:2" x14ac:dyDescent="0.25">
      <c r="A1147" s="40">
        <v>45503</v>
      </c>
      <c r="B1147">
        <v>1.9</v>
      </c>
    </row>
    <row r="1148" spans="1:2" x14ac:dyDescent="0.25">
      <c r="A1148" s="40">
        <v>45504</v>
      </c>
      <c r="B1148">
        <v>1.85</v>
      </c>
    </row>
    <row r="1149" spans="1:2" x14ac:dyDescent="0.25">
      <c r="A1149" s="40">
        <v>45505</v>
      </c>
      <c r="B1149">
        <v>1.79</v>
      </c>
    </row>
    <row r="1150" spans="1:2" x14ac:dyDescent="0.25">
      <c r="A1150" s="40">
        <v>45506</v>
      </c>
      <c r="B1150">
        <v>1.76</v>
      </c>
    </row>
    <row r="1151" spans="1:2" x14ac:dyDescent="0.25">
      <c r="A1151" s="40">
        <v>45509</v>
      </c>
      <c r="B1151">
        <v>1.71</v>
      </c>
    </row>
    <row r="1152" spans="1:2" x14ac:dyDescent="0.25">
      <c r="A1152" s="40">
        <v>45510</v>
      </c>
      <c r="B1152">
        <v>1.78</v>
      </c>
    </row>
    <row r="1153" spans="1:2" x14ac:dyDescent="0.25">
      <c r="A1153" s="40">
        <v>45511</v>
      </c>
      <c r="B1153">
        <v>1.85</v>
      </c>
    </row>
    <row r="1154" spans="1:2" x14ac:dyDescent="0.25">
      <c r="A1154" s="40">
        <v>45512</v>
      </c>
      <c r="B1154">
        <v>1.87</v>
      </c>
    </row>
    <row r="1155" spans="1:2" x14ac:dyDescent="0.25">
      <c r="A1155" s="40">
        <v>45513</v>
      </c>
      <c r="B1155">
        <v>1.84</v>
      </c>
    </row>
    <row r="1156" spans="1:2" x14ac:dyDescent="0.25">
      <c r="A1156" s="40">
        <v>45516</v>
      </c>
      <c r="B1156">
        <v>1.79</v>
      </c>
    </row>
    <row r="1157" spans="1:2" x14ac:dyDescent="0.25">
      <c r="A1157" s="40">
        <v>45517</v>
      </c>
      <c r="B1157">
        <v>1.76</v>
      </c>
    </row>
    <row r="1158" spans="1:2" x14ac:dyDescent="0.25">
      <c r="A1158" s="40">
        <v>45518</v>
      </c>
      <c r="B1158">
        <v>1.77</v>
      </c>
    </row>
    <row r="1159" spans="1:2" x14ac:dyDescent="0.25">
      <c r="A1159" s="40">
        <v>45519</v>
      </c>
      <c r="B1159">
        <v>1.8</v>
      </c>
    </row>
    <row r="1160" spans="1:2" x14ac:dyDescent="0.25">
      <c r="A1160" s="40">
        <v>45520</v>
      </c>
      <c r="B1160">
        <v>1.81</v>
      </c>
    </row>
    <row r="1161" spans="1:2" x14ac:dyDescent="0.25">
      <c r="A1161" s="40">
        <v>45523</v>
      </c>
      <c r="B1161">
        <v>1.79</v>
      </c>
    </row>
    <row r="1162" spans="1:2" x14ac:dyDescent="0.25">
      <c r="A1162" s="40">
        <v>45524</v>
      </c>
      <c r="B1162">
        <v>1.75</v>
      </c>
    </row>
    <row r="1163" spans="1:2" x14ac:dyDescent="0.25">
      <c r="A1163" s="40">
        <v>45525</v>
      </c>
      <c r="B1163">
        <v>1.72</v>
      </c>
    </row>
    <row r="1164" spans="1:2" x14ac:dyDescent="0.25">
      <c r="A1164" s="40">
        <v>45526</v>
      </c>
      <c r="B1164">
        <v>1.76</v>
      </c>
    </row>
    <row r="1165" spans="1:2" x14ac:dyDescent="0.25">
      <c r="A1165" s="40">
        <v>45527</v>
      </c>
      <c r="B1165">
        <v>1.68</v>
      </c>
    </row>
    <row r="1166" spans="1:2" x14ac:dyDescent="0.25">
      <c r="A1166" s="40">
        <v>45530</v>
      </c>
      <c r="B1166">
        <v>1.67</v>
      </c>
    </row>
    <row r="1167" spans="1:2" x14ac:dyDescent="0.25">
      <c r="A1167" s="40">
        <v>45531</v>
      </c>
      <c r="B1167">
        <v>1.68</v>
      </c>
    </row>
    <row r="1168" spans="1:2" x14ac:dyDescent="0.25">
      <c r="A1168" s="40">
        <v>45532</v>
      </c>
      <c r="B1168">
        <v>1.69</v>
      </c>
    </row>
    <row r="1169" spans="1:2" x14ac:dyDescent="0.25">
      <c r="A1169" s="40">
        <v>45533</v>
      </c>
      <c r="B1169">
        <v>1.71</v>
      </c>
    </row>
    <row r="1170" spans="1:2" x14ac:dyDescent="0.25">
      <c r="A1170" s="40">
        <v>45534</v>
      </c>
      <c r="B1170">
        <v>1.76</v>
      </c>
    </row>
    <row r="1171" spans="1:2" x14ac:dyDescent="0.25">
      <c r="A1171" s="40">
        <v>45538</v>
      </c>
      <c r="B1171">
        <v>1.73</v>
      </c>
    </row>
    <row r="1172" spans="1:2" x14ac:dyDescent="0.25">
      <c r="A1172" s="40">
        <v>45539</v>
      </c>
      <c r="B1172">
        <v>1.7</v>
      </c>
    </row>
    <row r="1173" spans="1:2" x14ac:dyDescent="0.25">
      <c r="A1173" s="40">
        <v>45540</v>
      </c>
      <c r="B1173">
        <v>1.7</v>
      </c>
    </row>
    <row r="1174" spans="1:2" x14ac:dyDescent="0.25">
      <c r="A1174" s="40">
        <v>45541</v>
      </c>
      <c r="B1174">
        <v>1.69</v>
      </c>
    </row>
    <row r="1175" spans="1:2" x14ac:dyDescent="0.25">
      <c r="A1175" s="40">
        <v>45544</v>
      </c>
      <c r="B1175">
        <v>1.66</v>
      </c>
    </row>
    <row r="1176" spans="1:2" x14ac:dyDescent="0.25">
      <c r="A1176" s="40">
        <v>45545</v>
      </c>
      <c r="B1176">
        <v>1.63</v>
      </c>
    </row>
    <row r="1177" spans="1:2" x14ac:dyDescent="0.25">
      <c r="A1177" s="40">
        <v>45546</v>
      </c>
      <c r="B1177">
        <v>1.61</v>
      </c>
    </row>
    <row r="1178" spans="1:2" x14ac:dyDescent="0.25">
      <c r="A1178" s="40">
        <v>45547</v>
      </c>
      <c r="B1178">
        <v>1.63</v>
      </c>
    </row>
    <row r="1179" spans="1:2" x14ac:dyDescent="0.25">
      <c r="A1179" s="40">
        <v>45548</v>
      </c>
      <c r="B1179">
        <v>1.58</v>
      </c>
    </row>
    <row r="1180" spans="1:2" x14ac:dyDescent="0.25">
      <c r="A1180" s="40">
        <v>45551</v>
      </c>
      <c r="B1180">
        <v>1.54</v>
      </c>
    </row>
    <row r="1181" spans="1:2" x14ac:dyDescent="0.25">
      <c r="A1181" s="40">
        <v>45552</v>
      </c>
      <c r="B1181">
        <v>1.53</v>
      </c>
    </row>
    <row r="1182" spans="1:2" x14ac:dyDescent="0.25">
      <c r="A1182" s="40">
        <v>45553</v>
      </c>
      <c r="B1182">
        <v>1.58</v>
      </c>
    </row>
    <row r="1183" spans="1:2" x14ac:dyDescent="0.25">
      <c r="A1183" s="40">
        <v>45554</v>
      </c>
      <c r="B1183">
        <v>1.56</v>
      </c>
    </row>
    <row r="1184" spans="1:2" x14ac:dyDescent="0.25">
      <c r="A1184" s="40">
        <v>45555</v>
      </c>
      <c r="B1184">
        <v>1.58</v>
      </c>
    </row>
    <row r="1185" spans="1:2" x14ac:dyDescent="0.25">
      <c r="A1185" s="40">
        <v>45558</v>
      </c>
      <c r="B1185">
        <v>1.58</v>
      </c>
    </row>
    <row r="1186" spans="1:2" x14ac:dyDescent="0.25">
      <c r="A1186" s="40">
        <v>45559</v>
      </c>
      <c r="B1186">
        <v>1.55</v>
      </c>
    </row>
    <row r="1187" spans="1:2" x14ac:dyDescent="0.25">
      <c r="A1187" s="40">
        <v>45560</v>
      </c>
      <c r="B1187">
        <v>1.61</v>
      </c>
    </row>
    <row r="1188" spans="1:2" x14ac:dyDescent="0.25">
      <c r="A1188" s="40">
        <v>45561</v>
      </c>
      <c r="B1188">
        <v>1.63</v>
      </c>
    </row>
    <row r="1189" spans="1:2" x14ac:dyDescent="0.25">
      <c r="A1189" s="40">
        <v>45562</v>
      </c>
      <c r="B1189">
        <v>1.6</v>
      </c>
    </row>
    <row r="1190" spans="1:2" x14ac:dyDescent="0.25">
      <c r="A1190" s="40">
        <v>45565</v>
      </c>
      <c r="B1190">
        <v>1.63</v>
      </c>
    </row>
    <row r="1191" spans="1:2" x14ac:dyDescent="0.25">
      <c r="A1191" s="40">
        <v>45566</v>
      </c>
      <c r="B1191">
        <v>1.55</v>
      </c>
    </row>
    <row r="1192" spans="1:2" x14ac:dyDescent="0.25">
      <c r="A1192" s="40">
        <v>45567</v>
      </c>
      <c r="B1192">
        <v>1.58</v>
      </c>
    </row>
    <row r="1193" spans="1:2" x14ac:dyDescent="0.25">
      <c r="A1193" s="40">
        <v>45568</v>
      </c>
      <c r="B1193">
        <v>1.64</v>
      </c>
    </row>
    <row r="1194" spans="1:2" x14ac:dyDescent="0.25">
      <c r="A1194" s="40">
        <v>45569</v>
      </c>
      <c r="B1194">
        <v>1.75</v>
      </c>
    </row>
    <row r="1195" spans="1:2" x14ac:dyDescent="0.25">
      <c r="A1195" s="40">
        <v>45572</v>
      </c>
      <c r="B1195">
        <v>1.76</v>
      </c>
    </row>
    <row r="1196" spans="1:2" x14ac:dyDescent="0.25">
      <c r="A1196" s="40">
        <v>45573</v>
      </c>
      <c r="B1196">
        <v>1.77</v>
      </c>
    </row>
    <row r="1197" spans="1:2" x14ac:dyDescent="0.25">
      <c r="A1197" s="40">
        <v>45574</v>
      </c>
      <c r="B1197">
        <v>1.77</v>
      </c>
    </row>
    <row r="1198" spans="1:2" x14ac:dyDescent="0.25">
      <c r="A1198" s="40">
        <v>45575</v>
      </c>
      <c r="B1198">
        <v>1.76</v>
      </c>
    </row>
    <row r="1199" spans="1:2" x14ac:dyDescent="0.25">
      <c r="A1199" s="40">
        <v>45576</v>
      </c>
      <c r="B1199">
        <v>1.75</v>
      </c>
    </row>
    <row r="1200" spans="1:2" x14ac:dyDescent="0.25">
      <c r="A1200" s="40">
        <v>45580</v>
      </c>
      <c r="B1200">
        <v>1.75</v>
      </c>
    </row>
    <row r="1201" spans="1:2" x14ac:dyDescent="0.25">
      <c r="A1201" s="40">
        <v>45581</v>
      </c>
      <c r="B1201">
        <v>1.75</v>
      </c>
    </row>
    <row r="1202" spans="1:2" x14ac:dyDescent="0.25">
      <c r="A1202" s="40">
        <v>45582</v>
      </c>
      <c r="B1202">
        <v>1.79</v>
      </c>
    </row>
    <row r="1203" spans="1:2" x14ac:dyDescent="0.25">
      <c r="A1203" s="40">
        <v>45583</v>
      </c>
      <c r="B1203">
        <v>1.77</v>
      </c>
    </row>
    <row r="1204" spans="1:2" x14ac:dyDescent="0.25">
      <c r="A1204" s="40">
        <v>45586</v>
      </c>
      <c r="B1204">
        <v>1.88</v>
      </c>
    </row>
    <row r="1205" spans="1:2" x14ac:dyDescent="0.25">
      <c r="A1205" s="40">
        <v>45587</v>
      </c>
      <c r="B1205">
        <v>1.87</v>
      </c>
    </row>
    <row r="1206" spans="1:2" x14ac:dyDescent="0.25">
      <c r="A1206" s="40">
        <v>45588</v>
      </c>
      <c r="B1206">
        <v>1.93</v>
      </c>
    </row>
    <row r="1207" spans="1:2" x14ac:dyDescent="0.25">
      <c r="A1207" s="40">
        <v>45589</v>
      </c>
      <c r="B1207">
        <v>1.91</v>
      </c>
    </row>
    <row r="1208" spans="1:2" x14ac:dyDescent="0.25">
      <c r="A1208" s="40">
        <v>45590</v>
      </c>
      <c r="B1208">
        <v>1.96</v>
      </c>
    </row>
    <row r="1209" spans="1:2" x14ac:dyDescent="0.25">
      <c r="A1209" s="40">
        <v>45593</v>
      </c>
      <c r="B1209">
        <v>1.99</v>
      </c>
    </row>
    <row r="1210" spans="1:2" x14ac:dyDescent="0.25">
      <c r="A1210" s="40">
        <v>45594</v>
      </c>
      <c r="B1210">
        <v>1.98</v>
      </c>
    </row>
    <row r="1211" spans="1:2" x14ac:dyDescent="0.25">
      <c r="A1211" s="40">
        <v>45595</v>
      </c>
      <c r="B1211">
        <v>1.95</v>
      </c>
    </row>
    <row r="1212" spans="1:2" x14ac:dyDescent="0.25">
      <c r="A1212" s="40">
        <v>45596</v>
      </c>
      <c r="B1212">
        <v>1.95</v>
      </c>
    </row>
    <row r="1213" spans="1:2" x14ac:dyDescent="0.25">
      <c r="A1213" s="40">
        <v>45597</v>
      </c>
      <c r="B1213">
        <v>2.04</v>
      </c>
    </row>
    <row r="1214" spans="1:2" x14ac:dyDescent="0.25">
      <c r="A1214" s="40">
        <v>45600</v>
      </c>
      <c r="B1214">
        <v>2.0299999999999998</v>
      </c>
    </row>
    <row r="1215" spans="1:2" x14ac:dyDescent="0.25">
      <c r="A1215" s="40">
        <v>45601</v>
      </c>
      <c r="B1215">
        <v>1.99</v>
      </c>
    </row>
    <row r="1216" spans="1:2" x14ac:dyDescent="0.25">
      <c r="A1216" s="40">
        <v>45602</v>
      </c>
      <c r="B1216">
        <v>2.04</v>
      </c>
    </row>
    <row r="1217" spans="1:2" x14ac:dyDescent="0.25">
      <c r="A1217" s="40">
        <v>45603</v>
      </c>
      <c r="B1217">
        <v>1.98</v>
      </c>
    </row>
    <row r="1218" spans="1:2" x14ac:dyDescent="0.25">
      <c r="A1218" s="40">
        <v>45604</v>
      </c>
      <c r="B1218">
        <v>1.95</v>
      </c>
    </row>
    <row r="1219" spans="1:2" x14ac:dyDescent="0.25">
      <c r="A1219" s="40">
        <v>45608</v>
      </c>
      <c r="B1219">
        <v>2.08</v>
      </c>
    </row>
    <row r="1220" spans="1:2" x14ac:dyDescent="0.25">
      <c r="A1220" s="40">
        <v>45609</v>
      </c>
      <c r="B1220">
        <v>2.09</v>
      </c>
    </row>
    <row r="1221" spans="1:2" x14ac:dyDescent="0.25">
      <c r="A1221" s="40">
        <v>45610</v>
      </c>
      <c r="B1221">
        <v>2.1</v>
      </c>
    </row>
    <row r="1222" spans="1:2" x14ac:dyDescent="0.25">
      <c r="A1222" s="40">
        <v>45611</v>
      </c>
      <c r="B1222">
        <v>2.1</v>
      </c>
    </row>
    <row r="1223" spans="1:2" x14ac:dyDescent="0.25">
      <c r="A1223" s="40">
        <v>45614</v>
      </c>
      <c r="B1223">
        <v>2.08</v>
      </c>
    </row>
    <row r="1224" spans="1:2" x14ac:dyDescent="0.25">
      <c r="A1224" s="40">
        <v>45615</v>
      </c>
      <c r="B1224">
        <v>2.0499999999999998</v>
      </c>
    </row>
    <row r="1225" spans="1:2" x14ac:dyDescent="0.25">
      <c r="A1225" s="40">
        <v>45616</v>
      </c>
      <c r="B1225">
        <v>2.06</v>
      </c>
    </row>
    <row r="1226" spans="1:2" x14ac:dyDescent="0.25">
      <c r="A1226" s="40">
        <v>45617</v>
      </c>
      <c r="B1226">
        <v>2.09</v>
      </c>
    </row>
    <row r="1227" spans="1:2" x14ac:dyDescent="0.25">
      <c r="A1227" s="40">
        <v>45618</v>
      </c>
      <c r="B1227">
        <v>2.0699999999999998</v>
      </c>
    </row>
    <row r="1228" spans="1:2" x14ac:dyDescent="0.25">
      <c r="A1228" s="40">
        <v>45621</v>
      </c>
      <c r="B1228">
        <v>1.98</v>
      </c>
    </row>
    <row r="1229" spans="1:2" x14ac:dyDescent="0.25">
      <c r="A1229" s="40">
        <v>45622</v>
      </c>
      <c r="B1229">
        <v>2.02</v>
      </c>
    </row>
    <row r="1230" spans="1:2" x14ac:dyDescent="0.25">
      <c r="A1230" s="40">
        <v>45623</v>
      </c>
      <c r="B1230">
        <v>1.99</v>
      </c>
    </row>
    <row r="1231" spans="1:2" x14ac:dyDescent="0.25">
      <c r="A1231" s="40">
        <v>45625</v>
      </c>
      <c r="B1231">
        <v>1.92</v>
      </c>
    </row>
    <row r="1232" spans="1:2" x14ac:dyDescent="0.25">
      <c r="A1232" s="40">
        <v>45628</v>
      </c>
      <c r="B1232">
        <v>1.93</v>
      </c>
    </row>
    <row r="1233" spans="1:2" x14ac:dyDescent="0.25">
      <c r="A1233" s="40">
        <v>45629</v>
      </c>
      <c r="B1233">
        <v>1.95</v>
      </c>
    </row>
    <row r="1234" spans="1:2" x14ac:dyDescent="0.25">
      <c r="A1234" s="40">
        <v>45630</v>
      </c>
      <c r="B1234">
        <v>1.9</v>
      </c>
    </row>
    <row r="1235" spans="1:2" x14ac:dyDescent="0.25">
      <c r="A1235" s="40">
        <v>45631</v>
      </c>
      <c r="B1235">
        <v>1.92</v>
      </c>
    </row>
    <row r="1236" spans="1:2" x14ac:dyDescent="0.25">
      <c r="A1236" s="40">
        <v>45632</v>
      </c>
      <c r="B1236">
        <v>1.91</v>
      </c>
    </row>
    <row r="1237" spans="1:2" x14ac:dyDescent="0.25">
      <c r="A1237" s="40">
        <v>45635</v>
      </c>
      <c r="B1237">
        <v>1.93</v>
      </c>
    </row>
    <row r="1238" spans="1:2" x14ac:dyDescent="0.25">
      <c r="A1238" s="40">
        <v>45636</v>
      </c>
      <c r="B1238">
        <v>1.93</v>
      </c>
    </row>
    <row r="1239" spans="1:2" x14ac:dyDescent="0.25">
      <c r="A1239" s="40">
        <v>45637</v>
      </c>
      <c r="B1239">
        <v>1.96</v>
      </c>
    </row>
    <row r="1240" spans="1:2" x14ac:dyDescent="0.25">
      <c r="A1240" s="40">
        <v>45638</v>
      </c>
      <c r="B1240">
        <v>2</v>
      </c>
    </row>
    <row r="1241" spans="1:2" x14ac:dyDescent="0.25">
      <c r="A1241" s="40">
        <v>45639</v>
      </c>
      <c r="B1241">
        <v>2.0699999999999998</v>
      </c>
    </row>
    <row r="1242" spans="1:2" x14ac:dyDescent="0.25">
      <c r="A1242" s="40">
        <v>45642</v>
      </c>
      <c r="B1242">
        <v>2.0699999999999998</v>
      </c>
    </row>
    <row r="1243" spans="1:2" x14ac:dyDescent="0.25">
      <c r="A1243" s="40">
        <v>45643</v>
      </c>
      <c r="B1243">
        <v>2.09</v>
      </c>
    </row>
    <row r="1244" spans="1:2" x14ac:dyDescent="0.25">
      <c r="A1244" s="40">
        <v>45644</v>
      </c>
      <c r="B1244">
        <v>2.1800000000000002</v>
      </c>
    </row>
    <row r="1245" spans="1:2" x14ac:dyDescent="0.25">
      <c r="A1245" s="40">
        <v>45645</v>
      </c>
      <c r="B1245">
        <v>2.2799999999999998</v>
      </c>
    </row>
    <row r="1246" spans="1:2" x14ac:dyDescent="0.25">
      <c r="A1246" s="40">
        <v>45646</v>
      </c>
      <c r="B1246">
        <v>2.23</v>
      </c>
    </row>
    <row r="1247" spans="1:2" x14ac:dyDescent="0.25">
      <c r="A1247" s="40">
        <v>45649</v>
      </c>
      <c r="B1247">
        <v>2.27</v>
      </c>
    </row>
    <row r="1248" spans="1:2" x14ac:dyDescent="0.25">
      <c r="A1248" s="40">
        <v>45650</v>
      </c>
      <c r="B1248">
        <v>2.2400000000000002</v>
      </c>
    </row>
    <row r="1249" spans="1:2" x14ac:dyDescent="0.25">
      <c r="A1249" s="40">
        <v>45652</v>
      </c>
      <c r="B1249">
        <v>2.23</v>
      </c>
    </row>
    <row r="1250" spans="1:2" x14ac:dyDescent="0.25">
      <c r="A1250" s="40">
        <v>45653</v>
      </c>
      <c r="B1250">
        <v>2.2799999999999998</v>
      </c>
    </row>
    <row r="1251" spans="1:2" x14ac:dyDescent="0.25">
      <c r="A1251" s="40">
        <v>45656</v>
      </c>
      <c r="B1251">
        <v>2.2400000000000002</v>
      </c>
    </row>
    <row r="1252" spans="1:2" x14ac:dyDescent="0.25">
      <c r="A1252" s="40">
        <v>45657</v>
      </c>
      <c r="B1252">
        <v>2.2400000000000002</v>
      </c>
    </row>
    <row r="1253" spans="1:2" x14ac:dyDescent="0.25">
      <c r="A1253" s="40">
        <v>45659</v>
      </c>
      <c r="B1253">
        <v>2.23</v>
      </c>
    </row>
    <row r="1254" spans="1:2" x14ac:dyDescent="0.25">
      <c r="A1254" s="40">
        <v>45660</v>
      </c>
      <c r="B1254">
        <v>2.2599999999999998</v>
      </c>
    </row>
    <row r="1255" spans="1:2" x14ac:dyDescent="0.25">
      <c r="A1255" s="40">
        <v>45663</v>
      </c>
      <c r="B1255">
        <v>2.2799999999999998</v>
      </c>
    </row>
    <row r="1256" spans="1:2" x14ac:dyDescent="0.25">
      <c r="A1256" s="40">
        <v>45664</v>
      </c>
      <c r="B1256">
        <v>2.29</v>
      </c>
    </row>
    <row r="1257" spans="1:2" x14ac:dyDescent="0.25">
      <c r="A1257" s="40">
        <v>45665</v>
      </c>
      <c r="B1257">
        <v>2.27</v>
      </c>
    </row>
    <row r="1258" spans="1:2" x14ac:dyDescent="0.25">
      <c r="A1258" s="40">
        <v>45666</v>
      </c>
      <c r="B1258">
        <v>2.29</v>
      </c>
    </row>
    <row r="1259" spans="1:2" x14ac:dyDescent="0.25">
      <c r="A1259" s="40">
        <v>45667</v>
      </c>
      <c r="B1259">
        <v>2.34</v>
      </c>
    </row>
    <row r="1260" spans="1:2" x14ac:dyDescent="0.25">
      <c r="A1260" s="40">
        <v>45670</v>
      </c>
      <c r="B1260">
        <v>2.34</v>
      </c>
    </row>
    <row r="1261" spans="1:2" x14ac:dyDescent="0.25">
      <c r="A1261" s="40">
        <v>45671</v>
      </c>
      <c r="B1261">
        <v>2.34</v>
      </c>
    </row>
    <row r="1262" spans="1:2" x14ac:dyDescent="0.25">
      <c r="A1262" s="40">
        <v>45672</v>
      </c>
      <c r="B1262">
        <v>2.2400000000000002</v>
      </c>
    </row>
    <row r="1263" spans="1:2" x14ac:dyDescent="0.25">
      <c r="A1263" s="40">
        <v>45673</v>
      </c>
      <c r="B1263">
        <v>2.19</v>
      </c>
    </row>
    <row r="1264" spans="1:2" x14ac:dyDescent="0.25">
      <c r="A1264" s="40">
        <v>45674</v>
      </c>
      <c r="B1264">
        <v>2.2000000000000002</v>
      </c>
    </row>
    <row r="1265" spans="1:2" x14ac:dyDescent="0.25">
      <c r="A1265" s="40">
        <v>45678</v>
      </c>
      <c r="B1265">
        <v>2.19</v>
      </c>
    </row>
    <row r="1266" spans="1:2" x14ac:dyDescent="0.25">
      <c r="A1266" s="40">
        <v>45679</v>
      </c>
      <c r="B1266">
        <v>2.2000000000000002</v>
      </c>
    </row>
    <row r="1267" spans="1:2" x14ac:dyDescent="0.25">
      <c r="A1267" s="40">
        <v>45680</v>
      </c>
      <c r="B1267">
        <v>2.23</v>
      </c>
    </row>
    <row r="1268" spans="1:2" x14ac:dyDescent="0.25">
      <c r="A1268" s="40">
        <v>45681</v>
      </c>
      <c r="B1268">
        <v>2.2000000000000002</v>
      </c>
    </row>
    <row r="1269" spans="1:2" x14ac:dyDescent="0.25">
      <c r="A1269" s="40">
        <v>45684</v>
      </c>
      <c r="B1269">
        <v>2.13</v>
      </c>
    </row>
    <row r="1270" spans="1:2" x14ac:dyDescent="0.25">
      <c r="A1270" s="40">
        <v>45685</v>
      </c>
      <c r="B1270">
        <v>2.13</v>
      </c>
    </row>
    <row r="1271" spans="1:2" x14ac:dyDescent="0.25">
      <c r="A1271" s="40">
        <v>45686</v>
      </c>
      <c r="B1271">
        <v>2.15</v>
      </c>
    </row>
    <row r="1272" spans="1:2" x14ac:dyDescent="0.25">
      <c r="A1272" s="40">
        <v>45687</v>
      </c>
      <c r="B1272">
        <v>2.14</v>
      </c>
    </row>
    <row r="1273" spans="1:2" x14ac:dyDescent="0.25">
      <c r="A1273" s="40">
        <v>45688</v>
      </c>
      <c r="B1273">
        <v>2.16</v>
      </c>
    </row>
    <row r="1274" spans="1:2" x14ac:dyDescent="0.25">
      <c r="A1274" s="40">
        <v>45691</v>
      </c>
      <c r="B1274">
        <v>2.09</v>
      </c>
    </row>
    <row r="1275" spans="1:2" x14ac:dyDescent="0.25">
      <c r="A1275" s="40">
        <v>45692</v>
      </c>
      <c r="B1275">
        <v>2.08</v>
      </c>
    </row>
    <row r="1276" spans="1:2" x14ac:dyDescent="0.25">
      <c r="A1276" s="40">
        <v>45693</v>
      </c>
      <c r="B1276">
        <v>2.0099999999999998</v>
      </c>
    </row>
    <row r="1277" spans="1:2" x14ac:dyDescent="0.25">
      <c r="A1277" s="40">
        <v>45694</v>
      </c>
      <c r="B1277">
        <v>2.0299999999999998</v>
      </c>
    </row>
    <row r="1278" spans="1:2" x14ac:dyDescent="0.25">
      <c r="A1278" s="40">
        <v>45695</v>
      </c>
      <c r="B1278">
        <v>2.0699999999999998</v>
      </c>
    </row>
    <row r="1279" spans="1:2" x14ac:dyDescent="0.25">
      <c r="A1279" s="40">
        <v>45698</v>
      </c>
      <c r="B1279">
        <v>2.0699999999999998</v>
      </c>
    </row>
    <row r="1280" spans="1:2" x14ac:dyDescent="0.25">
      <c r="A1280" s="40">
        <v>45699</v>
      </c>
      <c r="B1280">
        <v>2.08</v>
      </c>
    </row>
    <row r="1281" spans="1:2" x14ac:dyDescent="0.25">
      <c r="A1281" s="40">
        <v>45700</v>
      </c>
      <c r="B1281">
        <v>2.16</v>
      </c>
    </row>
    <row r="1282" spans="1:2" x14ac:dyDescent="0.25">
      <c r="A1282" s="40">
        <v>45701</v>
      </c>
      <c r="B1282">
        <v>2.08</v>
      </c>
    </row>
    <row r="1283" spans="1:2" x14ac:dyDescent="0.25">
      <c r="A1283" s="40">
        <v>45702</v>
      </c>
      <c r="B1283">
        <v>2.04</v>
      </c>
    </row>
    <row r="1284" spans="1:2" x14ac:dyDescent="0.25">
      <c r="A1284" s="40">
        <v>45706</v>
      </c>
      <c r="B1284">
        <v>2.1</v>
      </c>
    </row>
    <row r="1285" spans="1:2" x14ac:dyDescent="0.25">
      <c r="A1285" s="40">
        <v>45707</v>
      </c>
      <c r="B1285">
        <v>2.08</v>
      </c>
    </row>
    <row r="1286" spans="1:2" x14ac:dyDescent="0.25">
      <c r="A1286" s="40">
        <v>45708</v>
      </c>
      <c r="B1286">
        <v>2.0499999999999998</v>
      </c>
    </row>
    <row r="1287" spans="1:2" x14ac:dyDescent="0.25">
      <c r="A1287" s="40">
        <v>45709</v>
      </c>
      <c r="B1287">
        <v>2</v>
      </c>
    </row>
    <row r="1288" spans="1:2" x14ac:dyDescent="0.25">
      <c r="A1288" s="40">
        <v>45712</v>
      </c>
      <c r="B1288">
        <v>1.98</v>
      </c>
    </row>
    <row r="1289" spans="1:2" x14ac:dyDescent="0.25">
      <c r="A1289" s="40">
        <v>45713</v>
      </c>
      <c r="B1289">
        <v>1.92</v>
      </c>
    </row>
    <row r="1290" spans="1:2" x14ac:dyDescent="0.25">
      <c r="A1290" s="40">
        <v>45714</v>
      </c>
      <c r="B1290">
        <v>1.89</v>
      </c>
    </row>
    <row r="1291" spans="1:2" x14ac:dyDescent="0.25">
      <c r="A1291" s="40">
        <v>45715</v>
      </c>
      <c r="B1291">
        <v>1.92</v>
      </c>
    </row>
    <row r="1292" spans="1:2" x14ac:dyDescent="0.25">
      <c r="A1292" s="40">
        <v>45716</v>
      </c>
      <c r="B1292">
        <v>1.86</v>
      </c>
    </row>
    <row r="1293" spans="1:2" x14ac:dyDescent="0.25">
      <c r="A1293" s="40">
        <v>45719</v>
      </c>
      <c r="B1293">
        <v>1.8</v>
      </c>
    </row>
    <row r="1294" spans="1:2" x14ac:dyDescent="0.25">
      <c r="A1294" s="40">
        <v>45720</v>
      </c>
      <c r="B1294">
        <v>1.87</v>
      </c>
    </row>
    <row r="1295" spans="1:2" x14ac:dyDescent="0.25">
      <c r="A1295" s="40">
        <v>45721</v>
      </c>
      <c r="B1295">
        <v>1.94</v>
      </c>
    </row>
    <row r="1296" spans="1:2" x14ac:dyDescent="0.25">
      <c r="A1296" s="40">
        <v>45722</v>
      </c>
      <c r="B1296">
        <v>1.95</v>
      </c>
    </row>
    <row r="1297" spans="1:2" x14ac:dyDescent="0.25">
      <c r="A1297" s="40">
        <v>45723</v>
      </c>
      <c r="B1297">
        <v>1.99</v>
      </c>
    </row>
    <row r="1298" spans="1:2" x14ac:dyDescent="0.25">
      <c r="A1298" s="40">
        <v>45726</v>
      </c>
      <c r="B1298">
        <v>1.91</v>
      </c>
    </row>
    <row r="1299" spans="1:2" x14ac:dyDescent="0.25">
      <c r="A1299" s="40">
        <v>45727</v>
      </c>
      <c r="B1299">
        <v>1.97</v>
      </c>
    </row>
    <row r="1300" spans="1:2" x14ac:dyDescent="0.25">
      <c r="A1300" s="40">
        <v>45728</v>
      </c>
      <c r="B1300">
        <v>1.99</v>
      </c>
    </row>
    <row r="1301" spans="1:2" x14ac:dyDescent="0.25">
      <c r="A1301" s="40">
        <v>45729</v>
      </c>
      <c r="B1301">
        <v>1.98</v>
      </c>
    </row>
    <row r="1302" spans="1:2" x14ac:dyDescent="0.25">
      <c r="A1302" s="40">
        <v>45730</v>
      </c>
      <c r="B1302">
        <v>2.0099999999999998</v>
      </c>
    </row>
    <row r="1303" spans="1:2" x14ac:dyDescent="0.25">
      <c r="A1303" s="40">
        <v>45733</v>
      </c>
      <c r="B1303">
        <v>2.02</v>
      </c>
    </row>
    <row r="1304" spans="1:2" x14ac:dyDescent="0.25">
      <c r="A1304" s="40">
        <v>45734</v>
      </c>
      <c r="B1304">
        <v>1.99</v>
      </c>
    </row>
    <row r="1305" spans="1:2" x14ac:dyDescent="0.25">
      <c r="A1305" s="40">
        <v>45735</v>
      </c>
      <c r="B1305">
        <v>1.94</v>
      </c>
    </row>
    <row r="1306" spans="1:2" x14ac:dyDescent="0.25">
      <c r="A1306" s="40">
        <v>45736</v>
      </c>
      <c r="B1306">
        <v>1.93</v>
      </c>
    </row>
    <row r="1307" spans="1:2" x14ac:dyDescent="0.25">
      <c r="A1307" s="40">
        <v>45737</v>
      </c>
      <c r="B1307">
        <v>1.92</v>
      </c>
    </row>
    <row r="1308" spans="1:2" x14ac:dyDescent="0.25">
      <c r="A1308" s="40">
        <v>45740</v>
      </c>
      <c r="B1308">
        <v>1.98</v>
      </c>
    </row>
    <row r="1309" spans="1:2" x14ac:dyDescent="0.25">
      <c r="A1309" s="40">
        <v>45741</v>
      </c>
      <c r="B1309">
        <v>1.96</v>
      </c>
    </row>
    <row r="1310" spans="1:2" x14ac:dyDescent="0.25">
      <c r="A1310" s="40">
        <v>45742</v>
      </c>
      <c r="B1310">
        <v>1.98</v>
      </c>
    </row>
    <row r="1311" spans="1:2" x14ac:dyDescent="0.25">
      <c r="A1311" s="40">
        <v>45743</v>
      </c>
      <c r="B1311">
        <v>1.99</v>
      </c>
    </row>
    <row r="1312" spans="1:2" x14ac:dyDescent="0.25">
      <c r="A1312" s="40">
        <v>45744</v>
      </c>
      <c r="B1312">
        <v>1.9</v>
      </c>
    </row>
    <row r="1313" spans="1:2" x14ac:dyDescent="0.25">
      <c r="A1313" s="40">
        <v>45747</v>
      </c>
      <c r="B1313">
        <v>1.85</v>
      </c>
    </row>
    <row r="1314" spans="1:2" x14ac:dyDescent="0.25">
      <c r="A1314" s="40">
        <v>45748</v>
      </c>
      <c r="B1314">
        <v>1.84</v>
      </c>
    </row>
    <row r="1315" spans="1:2" x14ac:dyDescent="0.25">
      <c r="A1315" s="40">
        <v>45749</v>
      </c>
      <c r="B1315">
        <v>1.88</v>
      </c>
    </row>
    <row r="1316" spans="1:2" x14ac:dyDescent="0.25">
      <c r="A1316" s="40">
        <v>45750</v>
      </c>
      <c r="B1316">
        <v>1.78</v>
      </c>
    </row>
    <row r="1317" spans="1:2" x14ac:dyDescent="0.25">
      <c r="A1317" s="40">
        <v>45751</v>
      </c>
      <c r="B1317">
        <v>1.83</v>
      </c>
    </row>
    <row r="1318" spans="1:2" x14ac:dyDescent="0.25">
      <c r="A1318" s="40">
        <v>45754</v>
      </c>
      <c r="B1318">
        <v>1.96</v>
      </c>
    </row>
    <row r="1319" spans="1:2" x14ac:dyDescent="0.25">
      <c r="A1319" s="40">
        <v>45755</v>
      </c>
      <c r="B1319">
        <v>2.04</v>
      </c>
    </row>
    <row r="1320" spans="1:2" x14ac:dyDescent="0.25">
      <c r="A1320" s="40">
        <v>45756</v>
      </c>
      <c r="B1320">
        <v>2.0699999999999998</v>
      </c>
    </row>
    <row r="1321" spans="1:2" x14ac:dyDescent="0.25">
      <c r="A1321" s="40">
        <v>45757</v>
      </c>
      <c r="B1321">
        <v>2.21</v>
      </c>
    </row>
    <row r="1322" spans="1:2" x14ac:dyDescent="0.25">
      <c r="A1322" s="40">
        <v>45758</v>
      </c>
      <c r="B1322">
        <v>2.2799999999999998</v>
      </c>
    </row>
    <row r="1323" spans="1:2" x14ac:dyDescent="0.25">
      <c r="A1323" s="40">
        <v>45761</v>
      </c>
      <c r="B1323">
        <v>2.15</v>
      </c>
    </row>
    <row r="1324" spans="1:2" x14ac:dyDescent="0.25">
      <c r="A1324" s="40">
        <v>45762</v>
      </c>
      <c r="B1324">
        <v>2.16</v>
      </c>
    </row>
    <row r="1325" spans="1:2" x14ac:dyDescent="0.25">
      <c r="A1325" s="40">
        <v>45763</v>
      </c>
      <c r="B1325">
        <v>2.12</v>
      </c>
    </row>
    <row r="1326" spans="1:2" x14ac:dyDescent="0.25">
      <c r="A1326" s="40">
        <v>45764</v>
      </c>
      <c r="B1326">
        <v>2.11</v>
      </c>
    </row>
    <row r="1327" spans="1:2" x14ac:dyDescent="0.25">
      <c r="A1327" s="40">
        <v>45768</v>
      </c>
      <c r="B1327">
        <v>2.2000000000000002</v>
      </c>
    </row>
    <row r="1328" spans="1:2" x14ac:dyDescent="0.25">
      <c r="A1328" s="40">
        <v>45769</v>
      </c>
      <c r="B1328">
        <v>2.14</v>
      </c>
    </row>
    <row r="1329" spans="1:2" x14ac:dyDescent="0.25">
      <c r="A1329" s="40">
        <v>45770</v>
      </c>
      <c r="B1329">
        <v>2.11</v>
      </c>
    </row>
    <row r="1330" spans="1:2" x14ac:dyDescent="0.25">
      <c r="A1330" s="40">
        <v>45771</v>
      </c>
      <c r="B1330">
        <v>2.02</v>
      </c>
    </row>
    <row r="1331" spans="1:2" x14ac:dyDescent="0.25">
      <c r="A1331" s="40">
        <v>45772</v>
      </c>
      <c r="B1331">
        <v>2.02</v>
      </c>
    </row>
    <row r="1332" spans="1:2" x14ac:dyDescent="0.25">
      <c r="A1332" s="40">
        <v>45775</v>
      </c>
      <c r="B1332">
        <v>1.98</v>
      </c>
    </row>
    <row r="1333" spans="1:2" x14ac:dyDescent="0.25">
      <c r="A1333" s="40">
        <v>45776</v>
      </c>
      <c r="B1333">
        <v>1.96</v>
      </c>
    </row>
    <row r="1334" spans="1:2" x14ac:dyDescent="0.25">
      <c r="A1334" s="40">
        <v>45777</v>
      </c>
      <c r="B1334">
        <v>1.94</v>
      </c>
    </row>
    <row r="1335" spans="1:2" x14ac:dyDescent="0.25">
      <c r="A1335" s="40">
        <v>45778</v>
      </c>
      <c r="B1335">
        <v>2</v>
      </c>
    </row>
    <row r="1336" spans="1:2" x14ac:dyDescent="0.25">
      <c r="A1336" s="40">
        <v>45779</v>
      </c>
      <c r="B1336">
        <v>2.06</v>
      </c>
    </row>
    <row r="1337" spans="1:2" x14ac:dyDescent="0.25">
      <c r="A1337" s="40">
        <v>45782</v>
      </c>
      <c r="B1337">
        <v>2.08</v>
      </c>
    </row>
    <row r="1338" spans="1:2" x14ac:dyDescent="0.25">
      <c r="A1338" s="40">
        <v>45783</v>
      </c>
      <c r="B1338">
        <v>2.04</v>
      </c>
    </row>
    <row r="1339" spans="1:2" x14ac:dyDescent="0.25">
      <c r="A1339" s="40">
        <v>45784</v>
      </c>
      <c r="B1339">
        <v>2.0099999999999998</v>
      </c>
    </row>
    <row r="1340" spans="1:2" x14ac:dyDescent="0.25">
      <c r="A1340" s="40">
        <v>45785</v>
      </c>
      <c r="B1340">
        <v>2.08</v>
      </c>
    </row>
    <row r="1341" spans="1:2" x14ac:dyDescent="0.25">
      <c r="A1341" s="40">
        <v>45786</v>
      </c>
      <c r="B1341">
        <v>2.08</v>
      </c>
    </row>
    <row r="1342" spans="1:2" x14ac:dyDescent="0.25">
      <c r="A1342" s="40">
        <v>45789</v>
      </c>
      <c r="B1342">
        <v>2.16</v>
      </c>
    </row>
    <row r="1343" spans="1:2" x14ac:dyDescent="0.25">
      <c r="A1343" s="40">
        <v>45790</v>
      </c>
      <c r="B1343">
        <v>2.17</v>
      </c>
    </row>
    <row r="1344" spans="1:2" x14ac:dyDescent="0.25">
      <c r="A1344" s="40">
        <v>45791</v>
      </c>
      <c r="B1344">
        <v>2.16</v>
      </c>
    </row>
    <row r="1345" spans="1:2" x14ac:dyDescent="0.25">
      <c r="A1345" s="40">
        <v>45792</v>
      </c>
      <c r="B1345">
        <v>2.11</v>
      </c>
    </row>
    <row r="1346" spans="1:2" x14ac:dyDescent="0.25">
      <c r="A1346" s="40">
        <v>45793</v>
      </c>
      <c r="B1346">
        <v>2.09</v>
      </c>
    </row>
    <row r="1347" spans="1:2" x14ac:dyDescent="0.25">
      <c r="A1347" s="40">
        <v>45796</v>
      </c>
      <c r="B1347">
        <v>2.1</v>
      </c>
    </row>
    <row r="1348" spans="1:2" x14ac:dyDescent="0.25">
      <c r="A1348" s="40">
        <v>45797</v>
      </c>
      <c r="B1348">
        <v>2.13</v>
      </c>
    </row>
    <row r="1349" spans="1:2" x14ac:dyDescent="0.25">
      <c r="A1349" s="40">
        <v>45798</v>
      </c>
      <c r="B1349">
        <v>2.23</v>
      </c>
    </row>
    <row r="1350" spans="1:2" x14ac:dyDescent="0.25">
      <c r="A1350" s="40">
        <v>45799</v>
      </c>
      <c r="B1350">
        <v>2.2000000000000002</v>
      </c>
    </row>
    <row r="1351" spans="1:2" x14ac:dyDescent="0.25">
      <c r="A1351" s="40">
        <v>45800</v>
      </c>
      <c r="B1351">
        <v>2.1800000000000002</v>
      </c>
    </row>
    <row r="1352" spans="1:2" x14ac:dyDescent="0.25">
      <c r="A1352" s="40">
        <v>45804</v>
      </c>
      <c r="B1352">
        <v>2.11</v>
      </c>
    </row>
    <row r="1353" spans="1:2" x14ac:dyDescent="0.25">
      <c r="A1353" s="40">
        <v>45805</v>
      </c>
      <c r="B1353">
        <v>2.15</v>
      </c>
    </row>
    <row r="1354" spans="1:2" x14ac:dyDescent="0.25">
      <c r="A1354" s="40">
        <v>45806</v>
      </c>
      <c r="B1354">
        <v>2.11</v>
      </c>
    </row>
    <row r="1355" spans="1:2" x14ac:dyDescent="0.25">
      <c r="A1355" s="40">
        <v>45807</v>
      </c>
      <c r="B1355">
        <v>2.0699999999999998</v>
      </c>
    </row>
    <row r="1356" spans="1:2" x14ac:dyDescent="0.25">
      <c r="A1356" s="40">
        <v>45810</v>
      </c>
      <c r="B1356">
        <v>2.13</v>
      </c>
    </row>
    <row r="1357" spans="1:2" x14ac:dyDescent="0.25">
      <c r="A1357" s="40">
        <v>45811</v>
      </c>
      <c r="B1357">
        <v>2.14</v>
      </c>
    </row>
    <row r="1358" spans="1:2" x14ac:dyDescent="0.25">
      <c r="A1358" s="40">
        <v>45812</v>
      </c>
      <c r="B1358">
        <v>2.06</v>
      </c>
    </row>
    <row r="1359" spans="1:2" x14ac:dyDescent="0.25">
      <c r="A1359" s="40">
        <v>45813</v>
      </c>
      <c r="B1359">
        <v>2.11</v>
      </c>
    </row>
    <row r="1360" spans="1:2" x14ac:dyDescent="0.25">
      <c r="A1360" s="40">
        <v>45814</v>
      </c>
      <c r="B1360">
        <v>2.2000000000000002</v>
      </c>
    </row>
    <row r="1361" spans="1:2" x14ac:dyDescent="0.25">
      <c r="A1361" s="40">
        <v>45817</v>
      </c>
      <c r="B1361">
        <v>2.1800000000000002</v>
      </c>
    </row>
    <row r="1362" spans="1:2" x14ac:dyDescent="0.25">
      <c r="A1362" s="40">
        <v>45818</v>
      </c>
      <c r="B1362">
        <v>2.1800000000000002</v>
      </c>
    </row>
    <row r="1363" spans="1:2" x14ac:dyDescent="0.25">
      <c r="A1363" s="40">
        <v>45819</v>
      </c>
      <c r="B1363">
        <v>2.14</v>
      </c>
    </row>
    <row r="1364" spans="1:2" x14ac:dyDescent="0.25">
      <c r="A1364" s="40">
        <v>45820</v>
      </c>
      <c r="B1364">
        <v>2.11</v>
      </c>
    </row>
    <row r="1365" spans="1:2" x14ac:dyDescent="0.25">
      <c r="A1365" s="40">
        <v>45821</v>
      </c>
      <c r="B1365">
        <v>2.13</v>
      </c>
    </row>
    <row r="1366" spans="1:2" x14ac:dyDescent="0.25">
      <c r="A1366" s="40">
        <v>45824</v>
      </c>
      <c r="B1366">
        <v>2.16</v>
      </c>
    </row>
    <row r="1367" spans="1:2" x14ac:dyDescent="0.25">
      <c r="A1367" s="40">
        <v>45825</v>
      </c>
      <c r="B1367">
        <v>2.08</v>
      </c>
    </row>
    <row r="1368" spans="1:2" x14ac:dyDescent="0.25">
      <c r="A1368" s="40">
        <v>45826</v>
      </c>
      <c r="B1368">
        <v>2.0699999999999998</v>
      </c>
    </row>
    <row r="1369" spans="1:2" x14ac:dyDescent="0.25">
      <c r="A1369" s="40">
        <v>45828</v>
      </c>
      <c r="B1369">
        <v>2.0499999999999998</v>
      </c>
    </row>
    <row r="1370" spans="1:2" x14ac:dyDescent="0.25">
      <c r="A1370" s="40">
        <v>45831</v>
      </c>
      <c r="B1370">
        <v>2.04</v>
      </c>
    </row>
    <row r="1371" spans="1:2" x14ac:dyDescent="0.25">
      <c r="A1371" s="40">
        <v>45832</v>
      </c>
      <c r="B1371">
        <v>2.0099999999999998</v>
      </c>
    </row>
    <row r="1372" spans="1:2" x14ac:dyDescent="0.25">
      <c r="A1372" s="40">
        <v>45833</v>
      </c>
      <c r="B1372">
        <v>2.0099999999999998</v>
      </c>
    </row>
    <row r="1373" spans="1:2" x14ac:dyDescent="0.25">
      <c r="A1373" s="40">
        <v>45834</v>
      </c>
      <c r="B1373">
        <v>1.98</v>
      </c>
    </row>
    <row r="1374" spans="1:2" x14ac:dyDescent="0.25">
      <c r="A1374" s="40">
        <v>45835</v>
      </c>
      <c r="B1374">
        <v>2</v>
      </c>
    </row>
    <row r="1375" spans="1:2" x14ac:dyDescent="0.25">
      <c r="A1375" s="40">
        <v>45838</v>
      </c>
      <c r="B1375">
        <v>1.95</v>
      </c>
    </row>
    <row r="1376" spans="1:2" x14ac:dyDescent="0.25">
      <c r="A1376" s="40">
        <v>45839</v>
      </c>
      <c r="B1376">
        <v>1.97</v>
      </c>
    </row>
    <row r="1377" spans="1:2" x14ac:dyDescent="0.25">
      <c r="A1377" s="40">
        <v>45840</v>
      </c>
      <c r="B1377">
        <v>2</v>
      </c>
    </row>
    <row r="1378" spans="1:2" x14ac:dyDescent="0.25">
      <c r="A1378" s="40">
        <v>45841</v>
      </c>
      <c r="B1378">
        <v>2.02</v>
      </c>
    </row>
    <row r="1379" spans="1:2" x14ac:dyDescent="0.25">
      <c r="A1379" s="40">
        <v>45845</v>
      </c>
      <c r="B1379">
        <v>2.0499999999999998</v>
      </c>
    </row>
    <row r="1380" spans="1:2" x14ac:dyDescent="0.25">
      <c r="A1380" s="40">
        <v>45846</v>
      </c>
      <c r="B1380">
        <v>2.0699999999999998</v>
      </c>
    </row>
    <row r="1381" spans="1:2" x14ac:dyDescent="0.25">
      <c r="A1381" s="40">
        <v>45847</v>
      </c>
      <c r="B1381">
        <v>2.0099999999999998</v>
      </c>
    </row>
    <row r="1382" spans="1:2" x14ac:dyDescent="0.25">
      <c r="A1382" s="40">
        <v>45848</v>
      </c>
      <c r="B1382">
        <v>2.0099999999999998</v>
      </c>
    </row>
    <row r="1383" spans="1:2" x14ac:dyDescent="0.25">
      <c r="A1383" s="40">
        <v>45849</v>
      </c>
      <c r="B1383">
        <v>2.06</v>
      </c>
    </row>
    <row r="1384" spans="1:2" x14ac:dyDescent="0.25">
      <c r="A1384" s="40">
        <v>45852</v>
      </c>
      <c r="B1384">
        <v>2.04</v>
      </c>
    </row>
    <row r="1385" spans="1:2" x14ac:dyDescent="0.25">
      <c r="A1385" s="40">
        <v>45853</v>
      </c>
      <c r="B1385">
        <v>2.09</v>
      </c>
    </row>
    <row r="1386" spans="1:2" x14ac:dyDescent="0.25">
      <c r="A1386" s="40">
        <v>45854</v>
      </c>
      <c r="B1386">
        <v>2.0499999999999998</v>
      </c>
    </row>
    <row r="1387" spans="1:2" x14ac:dyDescent="0.25">
      <c r="A1387" s="40">
        <v>45855</v>
      </c>
      <c r="B1387">
        <v>2.04</v>
      </c>
    </row>
    <row r="1388" spans="1:2" x14ac:dyDescent="0.25">
      <c r="A1388" s="40">
        <v>45856</v>
      </c>
      <c r="B1388">
        <v>2.0299999999999998</v>
      </c>
    </row>
    <row r="1389" spans="1:2" x14ac:dyDescent="0.25">
      <c r="A1389" s="40">
        <v>45859</v>
      </c>
      <c r="B1389">
        <v>1.98</v>
      </c>
    </row>
    <row r="1390" spans="1:2" x14ac:dyDescent="0.25">
      <c r="A1390" s="40">
        <v>45860</v>
      </c>
      <c r="B1390">
        <v>1.96</v>
      </c>
    </row>
    <row r="1391" spans="1:2" x14ac:dyDescent="0.25">
      <c r="A1391" s="40">
        <v>45861</v>
      </c>
      <c r="B1391">
        <v>2.0299999999999998</v>
      </c>
    </row>
    <row r="1392" spans="1:2" x14ac:dyDescent="0.25">
      <c r="A1392" s="40">
        <v>45862</v>
      </c>
      <c r="B1392">
        <v>1.98</v>
      </c>
    </row>
    <row r="1393" spans="1:2" x14ac:dyDescent="0.25">
      <c r="A1393" s="40">
        <v>45863</v>
      </c>
      <c r="B1393">
        <v>1.96</v>
      </c>
    </row>
    <row r="1394" spans="1:2" x14ac:dyDescent="0.25">
      <c r="A1394" s="40">
        <v>45866</v>
      </c>
      <c r="B1394">
        <v>1.98</v>
      </c>
    </row>
    <row r="1395" spans="1:2" x14ac:dyDescent="0.25">
      <c r="A1395" s="40">
        <v>45867</v>
      </c>
      <c r="B1395">
        <v>1.91</v>
      </c>
    </row>
    <row r="1396" spans="1:2" x14ac:dyDescent="0.25">
      <c r="A1396" s="40">
        <v>45868</v>
      </c>
      <c r="B1396">
        <v>1.96</v>
      </c>
    </row>
    <row r="1397" spans="1:2" x14ac:dyDescent="0.25">
      <c r="A1397" s="40">
        <v>45869</v>
      </c>
      <c r="B1397">
        <v>1.98</v>
      </c>
    </row>
    <row r="1398" spans="1:2" x14ac:dyDescent="0.25">
      <c r="A1398" s="40">
        <v>45870</v>
      </c>
      <c r="B1398">
        <v>1.9</v>
      </c>
    </row>
    <row r="1399" spans="1:2" x14ac:dyDescent="0.25">
      <c r="A1399" s="40">
        <v>45873</v>
      </c>
      <c r="B1399">
        <v>1.85</v>
      </c>
    </row>
    <row r="1400" spans="1:2" x14ac:dyDescent="0.25">
      <c r="A1400" s="40">
        <v>45874</v>
      </c>
      <c r="B1400">
        <v>1.86</v>
      </c>
    </row>
    <row r="1401" spans="1:2" x14ac:dyDescent="0.25">
      <c r="A1401" s="40">
        <v>45875</v>
      </c>
      <c r="B1401">
        <v>1.88</v>
      </c>
    </row>
    <row r="1402" spans="1:2" x14ac:dyDescent="0.25">
      <c r="A1402" s="40">
        <v>45876</v>
      </c>
      <c r="B1402">
        <v>1.88</v>
      </c>
    </row>
    <row r="1403" spans="1:2" x14ac:dyDescent="0.25">
      <c r="A1403" s="40">
        <v>45877</v>
      </c>
      <c r="B1403">
        <v>1.88</v>
      </c>
    </row>
    <row r="1404" spans="1:2" x14ac:dyDescent="0.25">
      <c r="A1404" s="40">
        <v>45880</v>
      </c>
      <c r="B1404">
        <v>1.87</v>
      </c>
    </row>
    <row r="1405" spans="1:2" x14ac:dyDescent="0.25">
      <c r="A1405" s="40">
        <v>45881</v>
      </c>
      <c r="B1405">
        <v>1.91</v>
      </c>
    </row>
    <row r="1406" spans="1:2" x14ac:dyDescent="0.25">
      <c r="A1406" s="40">
        <v>45882</v>
      </c>
      <c r="B1406">
        <v>1.87</v>
      </c>
    </row>
    <row r="1407" spans="1:2" x14ac:dyDescent="0.25">
      <c r="A1407" s="40">
        <v>45883</v>
      </c>
      <c r="B1407">
        <v>1.9</v>
      </c>
    </row>
    <row r="1408" spans="1:2" x14ac:dyDescent="0.25">
      <c r="A1408" s="40">
        <v>45884</v>
      </c>
      <c r="B1408">
        <v>1.95</v>
      </c>
    </row>
    <row r="1409" spans="1:2" x14ac:dyDescent="0.25">
      <c r="A1409" s="40">
        <v>45887</v>
      </c>
      <c r="B1409">
        <v>1.96</v>
      </c>
    </row>
    <row r="1410" spans="1:2" x14ac:dyDescent="0.25">
      <c r="A1410" s="40">
        <v>45888</v>
      </c>
      <c r="B1410">
        <v>1.95</v>
      </c>
    </row>
    <row r="1411" spans="1:2" x14ac:dyDescent="0.25">
      <c r="A1411" s="40">
        <v>45889</v>
      </c>
      <c r="B1411">
        <v>1.94</v>
      </c>
    </row>
    <row r="1412" spans="1:2" x14ac:dyDescent="0.25">
      <c r="A1412" s="40">
        <v>45890</v>
      </c>
      <c r="B1412">
        <v>1.94</v>
      </c>
    </row>
    <row r="1413" spans="1:2" x14ac:dyDescent="0.25">
      <c r="A1413" s="40">
        <v>45891</v>
      </c>
      <c r="B1413">
        <v>1.85</v>
      </c>
    </row>
    <row r="1414" spans="1:2" x14ac:dyDescent="0.25">
      <c r="A1414" s="40">
        <v>45894</v>
      </c>
      <c r="B1414">
        <v>1.87</v>
      </c>
    </row>
    <row r="1415" spans="1:2" x14ac:dyDescent="0.25">
      <c r="A1415" s="40">
        <v>45895</v>
      </c>
      <c r="B1415">
        <v>1.84</v>
      </c>
    </row>
    <row r="1416" spans="1:2" x14ac:dyDescent="0.25">
      <c r="A1416" s="40">
        <v>45896</v>
      </c>
      <c r="B1416">
        <v>1.81</v>
      </c>
    </row>
    <row r="1417" spans="1:2" x14ac:dyDescent="0.25">
      <c r="A1417" s="40">
        <v>45897</v>
      </c>
      <c r="B1417">
        <v>1.81</v>
      </c>
    </row>
    <row r="1418" spans="1:2" x14ac:dyDescent="0.25">
      <c r="A1418" s="40">
        <v>45898</v>
      </c>
      <c r="B1418">
        <v>1.82</v>
      </c>
    </row>
    <row r="1419" spans="1:2" x14ac:dyDescent="0.25">
      <c r="A1419" s="40">
        <v>45902</v>
      </c>
      <c r="B1419">
        <v>1.87</v>
      </c>
    </row>
    <row r="1420" spans="1:2" x14ac:dyDescent="0.25">
      <c r="A1420" s="40">
        <v>45903</v>
      </c>
      <c r="B1420">
        <v>1.82</v>
      </c>
    </row>
    <row r="1421" spans="1:2" x14ac:dyDescent="0.25">
      <c r="A1421" s="40">
        <v>45904</v>
      </c>
      <c r="B1421">
        <v>1.79</v>
      </c>
    </row>
    <row r="1422" spans="1:2" x14ac:dyDescent="0.25">
      <c r="A1422" s="40">
        <v>45905</v>
      </c>
      <c r="B1422">
        <v>1.73</v>
      </c>
    </row>
    <row r="1423" spans="1:2" x14ac:dyDescent="0.25">
      <c r="A1423" s="40">
        <v>45908</v>
      </c>
      <c r="B1423">
        <v>1.7</v>
      </c>
    </row>
    <row r="1424" spans="1:2" x14ac:dyDescent="0.25">
      <c r="A1424" s="40">
        <v>45909</v>
      </c>
      <c r="B1424">
        <v>1.72</v>
      </c>
    </row>
    <row r="1425" spans="1:2" x14ac:dyDescent="0.25">
      <c r="A1425" s="40">
        <v>45910</v>
      </c>
      <c r="B1425">
        <v>1.69</v>
      </c>
    </row>
    <row r="1426" spans="1:2" x14ac:dyDescent="0.25">
      <c r="A1426" s="40">
        <v>45911</v>
      </c>
      <c r="B1426">
        <v>1.67</v>
      </c>
    </row>
    <row r="1427" spans="1:2" x14ac:dyDescent="0.25">
      <c r="A1427" s="40">
        <v>45912</v>
      </c>
      <c r="B1427">
        <v>1.7</v>
      </c>
    </row>
    <row r="1428" spans="1:2" x14ac:dyDescent="0.25">
      <c r="A1428" s="40">
        <v>45915</v>
      </c>
      <c r="B1428">
        <v>1.68</v>
      </c>
    </row>
    <row r="1429" spans="1:2" x14ac:dyDescent="0.25">
      <c r="A1429" s="40">
        <v>45916</v>
      </c>
      <c r="B1429">
        <v>1.67</v>
      </c>
    </row>
    <row r="1430" spans="1:2" x14ac:dyDescent="0.25">
      <c r="A1430" s="40">
        <v>45917</v>
      </c>
      <c r="B1430">
        <v>1.68</v>
      </c>
    </row>
    <row r="1431" spans="1:2" x14ac:dyDescent="0.25">
      <c r="A1431" s="40">
        <v>45918</v>
      </c>
      <c r="B1431">
        <v>1.73</v>
      </c>
    </row>
    <row r="1432" spans="1:2" x14ac:dyDescent="0.25">
      <c r="A1432" s="40">
        <v>45919</v>
      </c>
      <c r="B1432">
        <v>1.75</v>
      </c>
    </row>
    <row r="1433" spans="1:2" x14ac:dyDescent="0.25">
      <c r="A1433" s="40">
        <v>45922</v>
      </c>
      <c r="B1433">
        <v>1.78</v>
      </c>
    </row>
    <row r="1434" spans="1:2" x14ac:dyDescent="0.25">
      <c r="A1434" s="40">
        <v>45923</v>
      </c>
      <c r="B1434">
        <v>1.75</v>
      </c>
    </row>
    <row r="1435" spans="1:2" x14ac:dyDescent="0.25">
      <c r="A1435" s="40">
        <v>45924</v>
      </c>
      <c r="B1435">
        <v>1.78</v>
      </c>
    </row>
    <row r="1436" spans="1:2" x14ac:dyDescent="0.25">
      <c r="A1436" s="40">
        <v>45925</v>
      </c>
      <c r="B1436">
        <v>1.8</v>
      </c>
    </row>
    <row r="1437" spans="1:2" x14ac:dyDescent="0.25">
      <c r="A1437" s="40">
        <v>45926</v>
      </c>
      <c r="B1437">
        <v>1.82</v>
      </c>
    </row>
    <row r="1438" spans="1:2" x14ac:dyDescent="0.25">
      <c r="A1438" s="40">
        <v>45929</v>
      </c>
      <c r="B1438">
        <v>1.8</v>
      </c>
    </row>
    <row r="1439" spans="1:2" x14ac:dyDescent="0.25">
      <c r="A1439" s="40">
        <v>45930</v>
      </c>
      <c r="B1439">
        <v>1.8</v>
      </c>
    </row>
    <row r="1440" spans="1:2" x14ac:dyDescent="0.25">
      <c r="A1440" s="40">
        <v>45931</v>
      </c>
      <c r="B1440">
        <v>1.77</v>
      </c>
    </row>
    <row r="1441" spans="1:2" x14ac:dyDescent="0.25">
      <c r="A1441" s="40">
        <v>45932</v>
      </c>
      <c r="B1441">
        <v>1.76</v>
      </c>
    </row>
    <row r="1442" spans="1:2" x14ac:dyDescent="0.25">
      <c r="A1442" s="40">
        <v>45933</v>
      </c>
      <c r="B1442">
        <v>1.8</v>
      </c>
    </row>
    <row r="1443" spans="1:2" x14ac:dyDescent="0.25">
      <c r="A1443" s="40">
        <v>45936</v>
      </c>
      <c r="B1443">
        <v>1.84</v>
      </c>
    </row>
    <row r="1444" spans="1:2" x14ac:dyDescent="0.25">
      <c r="A1444" s="40">
        <v>45937</v>
      </c>
      <c r="B1444">
        <v>1.79</v>
      </c>
    </row>
    <row r="1445" spans="1:2" x14ac:dyDescent="0.25">
      <c r="A1445" s="40">
        <v>45938</v>
      </c>
      <c r="B1445">
        <v>1.78</v>
      </c>
    </row>
    <row r="1446" spans="1:2" x14ac:dyDescent="0.25">
      <c r="A1446" s="40">
        <v>45939</v>
      </c>
      <c r="B1446">
        <v>1.8</v>
      </c>
    </row>
    <row r="1447" spans="1:2" x14ac:dyDescent="0.25">
      <c r="A1447" s="40">
        <v>45940</v>
      </c>
      <c r="B1447">
        <v>1.75</v>
      </c>
    </row>
    <row r="1448" spans="1:2" x14ac:dyDescent="0.25">
      <c r="A1448" s="40">
        <v>45944</v>
      </c>
      <c r="B1448">
        <v>1.73</v>
      </c>
    </row>
    <row r="1449" spans="1:2" x14ac:dyDescent="0.25">
      <c r="A1449" s="40">
        <v>45945</v>
      </c>
      <c r="B1449">
        <v>1.76</v>
      </c>
    </row>
    <row r="1450" spans="1:2" x14ac:dyDescent="0.25">
      <c r="A1450" s="40">
        <v>45946</v>
      </c>
      <c r="B1450">
        <v>1.71</v>
      </c>
    </row>
    <row r="1451" spans="1:2" x14ac:dyDescent="0.25">
      <c r="A1451" s="40">
        <v>45947</v>
      </c>
      <c r="B1451">
        <v>1.75</v>
      </c>
    </row>
    <row r="1452" spans="1:2" x14ac:dyDescent="0.25">
      <c r="A1452" s="40">
        <v>45950</v>
      </c>
      <c r="B1452">
        <v>1.74</v>
      </c>
    </row>
    <row r="1453" spans="1:2" x14ac:dyDescent="0.25">
      <c r="A1453" s="40">
        <v>45951</v>
      </c>
      <c r="B1453">
        <v>1.7</v>
      </c>
    </row>
    <row r="1454" spans="1:2" x14ac:dyDescent="0.25">
      <c r="A1454" s="40">
        <v>45952</v>
      </c>
      <c r="B1454">
        <v>1.68</v>
      </c>
    </row>
    <row r="1455" spans="1:2" x14ac:dyDescent="0.25">
      <c r="A1455" s="40">
        <v>45953</v>
      </c>
      <c r="B1455">
        <v>1.71</v>
      </c>
    </row>
    <row r="1456" spans="1:2" x14ac:dyDescent="0.25">
      <c r="A1456" s="40">
        <v>45954</v>
      </c>
      <c r="B1456">
        <v>1.73</v>
      </c>
    </row>
    <row r="1457" spans="1:2" x14ac:dyDescent="0.25">
      <c r="A1457" s="40">
        <v>45957</v>
      </c>
      <c r="B1457">
        <v>1.73</v>
      </c>
    </row>
    <row r="1458" spans="1:2" x14ac:dyDescent="0.25">
      <c r="A1458" s="40">
        <v>45958</v>
      </c>
      <c r="B1458">
        <v>1.71</v>
      </c>
    </row>
    <row r="1459" spans="1:2" x14ac:dyDescent="0.25">
      <c r="A1459" s="40">
        <v>45959</v>
      </c>
      <c r="B1459">
        <v>1.78</v>
      </c>
    </row>
    <row r="1460" spans="1:2" x14ac:dyDescent="0.25">
      <c r="A1460" s="40">
        <v>45960</v>
      </c>
      <c r="B1460">
        <v>1.82</v>
      </c>
    </row>
    <row r="1461" spans="1:2" x14ac:dyDescent="0.25">
      <c r="A1461" s="40">
        <v>45961</v>
      </c>
      <c r="B1461">
        <v>1.81</v>
      </c>
    </row>
    <row r="1462" spans="1:2" x14ac:dyDescent="0.25">
      <c r="A1462" s="40">
        <v>45964</v>
      </c>
      <c r="B1462">
        <v>1.82</v>
      </c>
    </row>
    <row r="1463" spans="1:2" x14ac:dyDescent="0.25">
      <c r="A1463" s="40">
        <v>45965</v>
      </c>
      <c r="B1463">
        <v>1.81</v>
      </c>
    </row>
    <row r="1464" spans="1:2" x14ac:dyDescent="0.25">
      <c r="A1464" s="40">
        <v>45966</v>
      </c>
      <c r="B1464">
        <v>1.87</v>
      </c>
    </row>
    <row r="1465" spans="1:2" x14ac:dyDescent="0.25">
      <c r="A1465" s="40">
        <v>45967</v>
      </c>
      <c r="B1465">
        <v>1.83</v>
      </c>
    </row>
    <row r="1466" spans="1:2" x14ac:dyDescent="0.25">
      <c r="A1466" s="40">
        <v>45968</v>
      </c>
      <c r="B1466">
        <v>1.83</v>
      </c>
    </row>
    <row r="1467" spans="1:2" x14ac:dyDescent="0.25">
      <c r="A1467" s="40">
        <v>45971</v>
      </c>
      <c r="B1467">
        <v>1.84</v>
      </c>
    </row>
    <row r="1468" spans="1:2" x14ac:dyDescent="0.25">
      <c r="A1468" s="40">
        <v>45973</v>
      </c>
      <c r="B1468">
        <v>1.81</v>
      </c>
    </row>
    <row r="1469" spans="1:2" x14ac:dyDescent="0.25">
      <c r="A1469" s="40">
        <v>45974</v>
      </c>
      <c r="B1469">
        <v>1.83</v>
      </c>
    </row>
    <row r="1470" spans="1:2" x14ac:dyDescent="0.25">
      <c r="A1470" s="40">
        <v>45975</v>
      </c>
      <c r="B1470">
        <v>1.86</v>
      </c>
    </row>
    <row r="1471" spans="1:2" x14ac:dyDescent="0.25">
      <c r="A1471" s="40">
        <v>45978</v>
      </c>
      <c r="B1471">
        <v>1.85</v>
      </c>
    </row>
    <row r="1472" spans="1:2" x14ac:dyDescent="0.25">
      <c r="A1472" s="40">
        <v>45979</v>
      </c>
      <c r="B1472">
        <v>1.85</v>
      </c>
    </row>
    <row r="1473" spans="1:2" x14ac:dyDescent="0.25">
      <c r="A1473" s="40">
        <v>45980</v>
      </c>
      <c r="B1473">
        <v>1.86</v>
      </c>
    </row>
    <row r="1474" spans="1:2" x14ac:dyDescent="0.25">
      <c r="A1474" s="40">
        <v>45981</v>
      </c>
      <c r="B1474">
        <v>1.86</v>
      </c>
    </row>
    <row r="1475" spans="1:2" x14ac:dyDescent="0.25">
      <c r="A1475" s="40">
        <v>45982</v>
      </c>
      <c r="B1475">
        <v>1.82</v>
      </c>
    </row>
    <row r="1476" spans="1:2" x14ac:dyDescent="0.25">
      <c r="A1476" s="40">
        <v>45985</v>
      </c>
      <c r="B1476">
        <v>1.81</v>
      </c>
    </row>
    <row r="1477" spans="1:2" x14ac:dyDescent="0.25">
      <c r="A1477" s="40">
        <v>45986</v>
      </c>
      <c r="B1477">
        <v>1.79</v>
      </c>
    </row>
    <row r="1478" spans="1:2" x14ac:dyDescent="0.25">
      <c r="A1478" s="40">
        <v>45987</v>
      </c>
      <c r="B1478">
        <v>1.77</v>
      </c>
    </row>
    <row r="1479" spans="1:2" x14ac:dyDescent="0.25">
      <c r="A1479" s="40">
        <v>45989</v>
      </c>
      <c r="B1479">
        <v>1.79</v>
      </c>
    </row>
    <row r="1480" spans="1:2" x14ac:dyDescent="0.25">
      <c r="A1480" s="40">
        <v>45992</v>
      </c>
      <c r="B1480">
        <v>1.85</v>
      </c>
    </row>
    <row r="1481" spans="1:2" x14ac:dyDescent="0.25">
      <c r="A1481" s="40">
        <v>45993</v>
      </c>
      <c r="B1481">
        <v>1.85</v>
      </c>
    </row>
    <row r="1482" spans="1:2" x14ac:dyDescent="0.25">
      <c r="A1482" s="40">
        <v>45994</v>
      </c>
      <c r="B1482">
        <v>1.82</v>
      </c>
    </row>
    <row r="1483" spans="1:2" x14ac:dyDescent="0.25">
      <c r="A1483" s="40">
        <v>45995</v>
      </c>
      <c r="B1483">
        <v>1.85</v>
      </c>
    </row>
    <row r="1484" spans="1:2" x14ac:dyDescent="0.25">
      <c r="A1484" s="40">
        <v>45996</v>
      </c>
      <c r="B1484">
        <v>1.88</v>
      </c>
    </row>
    <row r="1485" spans="1:2" x14ac:dyDescent="0.25">
      <c r="A1485" s="40">
        <v>45999</v>
      </c>
      <c r="B1485">
        <v>1.91</v>
      </c>
    </row>
    <row r="1486" spans="1:2" x14ac:dyDescent="0.25">
      <c r="A1486" s="40">
        <v>46000</v>
      </c>
      <c r="B1486">
        <v>1.92</v>
      </c>
    </row>
    <row r="1487" spans="1:2" x14ac:dyDescent="0.25">
      <c r="A1487" s="40">
        <v>46001</v>
      </c>
      <c r="B1487">
        <v>1.88</v>
      </c>
    </row>
    <row r="1488" spans="1:2" x14ac:dyDescent="0.25">
      <c r="A1488" s="40">
        <v>46002</v>
      </c>
      <c r="B1488">
        <v>1.89</v>
      </c>
    </row>
    <row r="1489" spans="1:2" x14ac:dyDescent="0.25">
      <c r="A1489" s="40">
        <v>46003</v>
      </c>
      <c r="B1489">
        <v>1.93</v>
      </c>
    </row>
    <row r="1490" spans="1:2" x14ac:dyDescent="0.25">
      <c r="A1490" s="40">
        <v>46006</v>
      </c>
      <c r="B1490">
        <v>1.93</v>
      </c>
    </row>
    <row r="1491" spans="1:2" x14ac:dyDescent="0.25">
      <c r="A1491" s="40">
        <v>46007</v>
      </c>
      <c r="B1491">
        <v>1.92</v>
      </c>
    </row>
    <row r="1492" spans="1:2" x14ac:dyDescent="0.25">
      <c r="A1492" s="40">
        <v>46008</v>
      </c>
      <c r="B1492">
        <v>1.92</v>
      </c>
    </row>
    <row r="1493" spans="1:2" x14ac:dyDescent="0.25">
      <c r="A1493" s="40">
        <v>46009</v>
      </c>
      <c r="B1493">
        <v>1.88</v>
      </c>
    </row>
    <row r="1494" spans="1:2" x14ac:dyDescent="0.25">
      <c r="A1494" s="40">
        <v>46010</v>
      </c>
      <c r="B1494">
        <v>1.92</v>
      </c>
    </row>
    <row r="1495" spans="1:2" x14ac:dyDescent="0.25">
      <c r="A1495" s="40">
        <v>46013</v>
      </c>
      <c r="B1495">
        <v>1.94</v>
      </c>
    </row>
    <row r="1496" spans="1:2" x14ac:dyDescent="0.25">
      <c r="A1496" s="40">
        <v>46014</v>
      </c>
      <c r="B1496">
        <v>1.94</v>
      </c>
    </row>
    <row r="1497" spans="1:2" x14ac:dyDescent="0.25">
      <c r="A1497" s="40">
        <v>46015</v>
      </c>
      <c r="B1497">
        <v>1.91</v>
      </c>
    </row>
    <row r="1498" spans="1:2" x14ac:dyDescent="0.25">
      <c r="A1498" s="40">
        <v>46017</v>
      </c>
      <c r="B1498">
        <v>1.91</v>
      </c>
    </row>
    <row r="1499" spans="1:2" x14ac:dyDescent="0.25">
      <c r="A1499" s="40">
        <v>46020</v>
      </c>
      <c r="B1499">
        <v>1.9</v>
      </c>
    </row>
    <row r="1500" spans="1:2" x14ac:dyDescent="0.25">
      <c r="A1500" s="40">
        <v>46021</v>
      </c>
      <c r="B1500">
        <v>1.9</v>
      </c>
    </row>
    <row r="1501" spans="1:2" x14ac:dyDescent="0.25">
      <c r="A1501" s="40">
        <v>46022</v>
      </c>
      <c r="B1501">
        <v>1.93</v>
      </c>
    </row>
    <row r="1502" spans="1:2" x14ac:dyDescent="0.25">
      <c r="A1502" s="40">
        <v>46024</v>
      </c>
      <c r="B1502">
        <v>1.94</v>
      </c>
    </row>
    <row r="1503" spans="1:2" x14ac:dyDescent="0.25">
      <c r="A1503" s="40">
        <v>46027</v>
      </c>
      <c r="B1503">
        <v>1.91</v>
      </c>
    </row>
    <row r="1504" spans="1:2" x14ac:dyDescent="0.25">
      <c r="A1504" s="40">
        <v>46028</v>
      </c>
      <c r="B1504">
        <v>1.91</v>
      </c>
    </row>
    <row r="1505" spans="1:2" x14ac:dyDescent="0.25">
      <c r="A1505" s="40">
        <v>46029</v>
      </c>
      <c r="B1505">
        <v>1.88</v>
      </c>
    </row>
    <row r="1506" spans="1:2" x14ac:dyDescent="0.25">
      <c r="A1506" s="40">
        <v>46030</v>
      </c>
      <c r="B1506">
        <v>1.92</v>
      </c>
    </row>
    <row r="1507" spans="1:2" x14ac:dyDescent="0.25">
      <c r="A1507" s="40">
        <v>46031</v>
      </c>
      <c r="B1507">
        <v>1.9</v>
      </c>
    </row>
    <row r="1508" spans="1:2" x14ac:dyDescent="0.25">
      <c r="A1508" s="40">
        <v>46034</v>
      </c>
      <c r="B1508">
        <v>1.9</v>
      </c>
    </row>
    <row r="1509" spans="1:2" x14ac:dyDescent="0.25">
      <c r="A1509" s="40">
        <v>46035</v>
      </c>
      <c r="B1509">
        <v>1.88</v>
      </c>
    </row>
    <row r="1510" spans="1:2" x14ac:dyDescent="0.25">
      <c r="A1510" s="40">
        <v>46036</v>
      </c>
      <c r="B1510">
        <v>1.86</v>
      </c>
    </row>
    <row r="1511" spans="1:2" x14ac:dyDescent="0.25">
      <c r="A1511" s="40">
        <v>46037</v>
      </c>
      <c r="B1511">
        <v>1.88</v>
      </c>
    </row>
    <row r="1512" spans="1:2" x14ac:dyDescent="0.25">
      <c r="A1512" s="40">
        <v>46038</v>
      </c>
      <c r="B1512">
        <v>1.91</v>
      </c>
    </row>
    <row r="1513" spans="1:2" x14ac:dyDescent="0.25">
      <c r="A1513" s="40">
        <v>46042</v>
      </c>
      <c r="B1513">
        <v>1.97</v>
      </c>
    </row>
    <row r="1514" spans="1:2" x14ac:dyDescent="0.25">
      <c r="A1514" s="40">
        <v>46043</v>
      </c>
      <c r="B1514">
        <v>1.92</v>
      </c>
    </row>
    <row r="1515" spans="1:2" x14ac:dyDescent="0.25">
      <c r="A1515" s="40">
        <v>46044</v>
      </c>
      <c r="B1515">
        <v>1.95</v>
      </c>
    </row>
    <row r="1516" spans="1:2" x14ac:dyDescent="0.25">
      <c r="A1516" s="40">
        <v>46045</v>
      </c>
      <c r="B1516">
        <v>1.92</v>
      </c>
    </row>
    <row r="1517" spans="1:2" x14ac:dyDescent="0.25">
      <c r="A1517" s="40">
        <v>46048</v>
      </c>
      <c r="B1517">
        <v>1.9</v>
      </c>
    </row>
    <row r="1518" spans="1:2" x14ac:dyDescent="0.25">
      <c r="A1518" s="40">
        <v>46049</v>
      </c>
      <c r="B1518">
        <v>1.9</v>
      </c>
    </row>
    <row r="1519" spans="1:2" x14ac:dyDescent="0.25">
      <c r="A1519" s="40">
        <v>46050</v>
      </c>
      <c r="B1519">
        <v>1.9</v>
      </c>
    </row>
    <row r="1520" spans="1:2" x14ac:dyDescent="0.25">
      <c r="A1520" s="40">
        <v>46051</v>
      </c>
      <c r="B1520">
        <v>1.89</v>
      </c>
    </row>
    <row r="1521" spans="1:2" x14ac:dyDescent="0.25">
      <c r="A1521" s="40">
        <v>46052</v>
      </c>
      <c r="B1521">
        <v>1.9</v>
      </c>
    </row>
    <row r="1522" spans="1:2" x14ac:dyDescent="0.25">
      <c r="A1522" s="40">
        <v>46055</v>
      </c>
      <c r="B1522">
        <v>1.94</v>
      </c>
    </row>
    <row r="1523" spans="1:2" x14ac:dyDescent="0.25">
      <c r="A1523" s="40">
        <v>46056</v>
      </c>
      <c r="B1523">
        <v>1.92</v>
      </c>
    </row>
    <row r="1524" spans="1:2" x14ac:dyDescent="0.25">
      <c r="A1524" s="40">
        <v>46057</v>
      </c>
      <c r="B1524">
        <v>1.94</v>
      </c>
    </row>
    <row r="1525" spans="1:2" x14ac:dyDescent="0.25">
      <c r="A1525" s="40">
        <v>46058</v>
      </c>
      <c r="B1525">
        <v>1.89</v>
      </c>
    </row>
    <row r="1526" spans="1:2" x14ac:dyDescent="0.25">
      <c r="A1526" s="40">
        <v>46059</v>
      </c>
      <c r="B1526">
        <v>1.88</v>
      </c>
    </row>
  </sheetData>
  <phoneticPr fontId="9"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1FB6-F310-4707-864C-D1E1EDF994B4}">
  <dimension ref="A1:B320"/>
  <sheetViews>
    <sheetView workbookViewId="0">
      <selection activeCell="L51" sqref="L51"/>
    </sheetView>
  </sheetViews>
  <sheetFormatPr defaultRowHeight="14.4" x14ac:dyDescent="0.25"/>
  <cols>
    <col min="1" max="1" width="12.88671875" bestFit="1" customWidth="1"/>
    <col min="2" max="2" width="10.5546875" bestFit="1" customWidth="1"/>
  </cols>
  <sheetData>
    <row r="1" spans="1:2" x14ac:dyDescent="0.25">
      <c r="A1" t="s">
        <v>152</v>
      </c>
      <c r="B1" t="s">
        <v>153</v>
      </c>
    </row>
    <row r="2" spans="1:2" x14ac:dyDescent="0.25">
      <c r="A2" s="40">
        <v>43831</v>
      </c>
      <c r="B2">
        <v>3825.53</v>
      </c>
    </row>
    <row r="3" spans="1:2" x14ac:dyDescent="0.25">
      <c r="A3" s="40">
        <v>43838</v>
      </c>
      <c r="B3">
        <v>3670.02</v>
      </c>
    </row>
    <row r="4" spans="1:2" x14ac:dyDescent="0.25">
      <c r="A4" s="40">
        <v>43845</v>
      </c>
      <c r="B4">
        <v>3509.87</v>
      </c>
    </row>
    <row r="5" spans="1:2" x14ac:dyDescent="0.25">
      <c r="A5" s="40">
        <v>43852</v>
      </c>
      <c r="B5">
        <v>4039.41</v>
      </c>
    </row>
    <row r="6" spans="1:2" x14ac:dyDescent="0.25">
      <c r="A6" s="40">
        <v>43859</v>
      </c>
      <c r="B6">
        <v>4320.6099999999997</v>
      </c>
    </row>
    <row r="7" spans="1:2" x14ac:dyDescent="0.25">
      <c r="A7" s="40">
        <v>43866</v>
      </c>
      <c r="B7">
        <v>4133.22</v>
      </c>
    </row>
    <row r="8" spans="1:2" x14ac:dyDescent="0.25">
      <c r="A8" s="40">
        <v>43873</v>
      </c>
      <c r="B8">
        <v>4112.37</v>
      </c>
    </row>
    <row r="9" spans="1:2" x14ac:dyDescent="0.25">
      <c r="A9" s="40">
        <v>43880</v>
      </c>
      <c r="B9">
        <v>4288.05</v>
      </c>
    </row>
    <row r="10" spans="1:2" x14ac:dyDescent="0.25">
      <c r="A10" s="40">
        <v>43887</v>
      </c>
      <c r="B10">
        <v>4393.6499999999996</v>
      </c>
    </row>
    <row r="11" spans="1:2" x14ac:dyDescent="0.25">
      <c r="A11" s="40">
        <v>43894</v>
      </c>
      <c r="B11">
        <v>3745.15</v>
      </c>
    </row>
    <row r="12" spans="1:2" x14ac:dyDescent="0.25">
      <c r="A12" s="40">
        <v>43901</v>
      </c>
      <c r="B12">
        <v>3805.56</v>
      </c>
    </row>
    <row r="13" spans="1:2" x14ac:dyDescent="0.25">
      <c r="A13" s="40">
        <v>43908</v>
      </c>
      <c r="B13">
        <v>3625.76</v>
      </c>
    </row>
    <row r="14" spans="1:2" x14ac:dyDescent="0.25">
      <c r="A14" s="40">
        <v>43915</v>
      </c>
      <c r="B14">
        <v>3902.52</v>
      </c>
    </row>
    <row r="15" spans="1:2" x14ac:dyDescent="0.25">
      <c r="A15" s="40">
        <v>43922</v>
      </c>
      <c r="B15">
        <v>4292.67</v>
      </c>
    </row>
    <row r="16" spans="1:2" x14ac:dyDescent="0.25">
      <c r="A16" s="40">
        <v>43929</v>
      </c>
      <c r="B16">
        <v>6985.78</v>
      </c>
    </row>
    <row r="17" spans="1:2" x14ac:dyDescent="0.25">
      <c r="A17" s="40">
        <v>43936</v>
      </c>
      <c r="B17">
        <v>8898.15</v>
      </c>
    </row>
    <row r="18" spans="1:2" x14ac:dyDescent="0.25">
      <c r="A18" s="40">
        <v>43943</v>
      </c>
      <c r="B18">
        <v>9013.31</v>
      </c>
    </row>
    <row r="19" spans="1:2" x14ac:dyDescent="0.25">
      <c r="A19" s="40">
        <v>43950</v>
      </c>
      <c r="B19">
        <v>9975.07</v>
      </c>
    </row>
    <row r="20" spans="1:2" x14ac:dyDescent="0.25">
      <c r="A20" s="40">
        <v>43957</v>
      </c>
      <c r="B20">
        <v>11274.9</v>
      </c>
    </row>
    <row r="21" spans="1:2" x14ac:dyDescent="0.25">
      <c r="A21" s="40">
        <v>43964</v>
      </c>
      <c r="B21">
        <v>11774.94</v>
      </c>
    </row>
    <row r="22" spans="1:2" x14ac:dyDescent="0.25">
      <c r="A22" s="40">
        <v>43971</v>
      </c>
      <c r="B22">
        <v>11944.1</v>
      </c>
    </row>
    <row r="23" spans="1:2" x14ac:dyDescent="0.25">
      <c r="A23" s="40">
        <v>43978</v>
      </c>
      <c r="B23">
        <v>13104.91</v>
      </c>
    </row>
    <row r="24" spans="1:2" x14ac:dyDescent="0.25">
      <c r="A24" s="40">
        <v>43985</v>
      </c>
      <c r="B24">
        <v>14348.23</v>
      </c>
    </row>
    <row r="25" spans="1:2" x14ac:dyDescent="0.25">
      <c r="A25" s="40">
        <v>43992</v>
      </c>
      <c r="B25">
        <v>15065.58</v>
      </c>
    </row>
    <row r="26" spans="1:2" x14ac:dyDescent="0.25">
      <c r="A26" s="40">
        <v>43999</v>
      </c>
      <c r="B26">
        <v>15608.5</v>
      </c>
    </row>
    <row r="27" spans="1:2" x14ac:dyDescent="0.25">
      <c r="A27" s="40">
        <v>44006</v>
      </c>
      <c r="B27">
        <v>16239.42</v>
      </c>
    </row>
    <row r="28" spans="1:2" x14ac:dyDescent="0.25">
      <c r="A28" s="40">
        <v>44013</v>
      </c>
      <c r="B28">
        <v>16576.2</v>
      </c>
    </row>
    <row r="29" spans="1:2" x14ac:dyDescent="0.25">
      <c r="A29" s="40">
        <v>44020</v>
      </c>
      <c r="B29">
        <v>16530.98</v>
      </c>
    </row>
    <row r="30" spans="1:2" x14ac:dyDescent="0.25">
      <c r="A30" s="40">
        <v>44027</v>
      </c>
      <c r="B30">
        <v>16553.2</v>
      </c>
    </row>
    <row r="31" spans="1:2" x14ac:dyDescent="0.25">
      <c r="A31" s="40">
        <v>44034</v>
      </c>
      <c r="B31">
        <v>18049.439999999999</v>
      </c>
    </row>
    <row r="32" spans="1:2" x14ac:dyDescent="0.25">
      <c r="A32" s="40">
        <v>44041</v>
      </c>
      <c r="B32">
        <v>18166.87</v>
      </c>
    </row>
    <row r="33" spans="1:2" x14ac:dyDescent="0.25">
      <c r="A33" s="40">
        <v>44048</v>
      </c>
      <c r="B33">
        <v>17452.28</v>
      </c>
    </row>
    <row r="34" spans="1:2" x14ac:dyDescent="0.25">
      <c r="A34" s="40">
        <v>44055</v>
      </c>
      <c r="B34">
        <v>16697.330000000002</v>
      </c>
    </row>
    <row r="35" spans="1:2" x14ac:dyDescent="0.25">
      <c r="A35" s="40">
        <v>44062</v>
      </c>
      <c r="B35">
        <v>16435.05</v>
      </c>
    </row>
    <row r="36" spans="1:2" x14ac:dyDescent="0.25">
      <c r="A36" s="40">
        <v>44069</v>
      </c>
      <c r="B36">
        <v>16226.9</v>
      </c>
    </row>
    <row r="37" spans="1:2" x14ac:dyDescent="0.25">
      <c r="A37" s="40">
        <v>44076</v>
      </c>
      <c r="B37">
        <v>16391.59</v>
      </c>
    </row>
    <row r="38" spans="1:2" x14ac:dyDescent="0.25">
      <c r="A38" s="40">
        <v>44083</v>
      </c>
      <c r="B38">
        <v>16110.83</v>
      </c>
    </row>
    <row r="39" spans="1:2" x14ac:dyDescent="0.25">
      <c r="A39" s="40">
        <v>44090</v>
      </c>
      <c r="B39">
        <v>16148.55</v>
      </c>
    </row>
    <row r="40" spans="1:2" x14ac:dyDescent="0.25">
      <c r="A40" s="40">
        <v>44097</v>
      </c>
      <c r="B40">
        <v>16806.88</v>
      </c>
    </row>
    <row r="41" spans="1:2" x14ac:dyDescent="0.25">
      <c r="A41" s="40">
        <v>44104</v>
      </c>
      <c r="B41">
        <v>16791.52</v>
      </c>
    </row>
    <row r="42" spans="1:2" x14ac:dyDescent="0.25">
      <c r="A42" s="40">
        <v>44111</v>
      </c>
      <c r="B42">
        <v>16970.740000000002</v>
      </c>
    </row>
    <row r="43" spans="1:2" x14ac:dyDescent="0.25">
      <c r="A43" s="40">
        <v>44118</v>
      </c>
      <c r="B43">
        <v>16809.98</v>
      </c>
    </row>
    <row r="44" spans="1:2" x14ac:dyDescent="0.25">
      <c r="A44" s="40">
        <v>44125</v>
      </c>
      <c r="B44">
        <v>17247.919999999998</v>
      </c>
    </row>
    <row r="45" spans="1:2" x14ac:dyDescent="0.25">
      <c r="A45" s="40">
        <v>44132</v>
      </c>
      <c r="B45">
        <v>16809.330000000002</v>
      </c>
    </row>
    <row r="46" spans="1:2" x14ac:dyDescent="0.25">
      <c r="A46" s="40">
        <v>44139</v>
      </c>
      <c r="B46">
        <v>16213.46</v>
      </c>
    </row>
    <row r="47" spans="1:2" x14ac:dyDescent="0.25">
      <c r="A47" s="40">
        <v>44146</v>
      </c>
      <c r="B47">
        <v>16008.37</v>
      </c>
    </row>
    <row r="48" spans="1:2" x14ac:dyDescent="0.25">
      <c r="A48" s="40">
        <v>44153</v>
      </c>
      <c r="B48">
        <v>15568.92</v>
      </c>
    </row>
    <row r="49" spans="1:2" x14ac:dyDescent="0.25">
      <c r="A49" s="40">
        <v>44160</v>
      </c>
      <c r="B49">
        <v>15172.15</v>
      </c>
    </row>
    <row r="50" spans="1:2" x14ac:dyDescent="0.25">
      <c r="A50" s="40">
        <v>44167</v>
      </c>
      <c r="B50">
        <v>15310.53</v>
      </c>
    </row>
    <row r="51" spans="1:2" x14ac:dyDescent="0.25">
      <c r="A51" s="40">
        <v>44174</v>
      </c>
      <c r="B51">
        <v>15342.43</v>
      </c>
    </row>
    <row r="52" spans="1:2" x14ac:dyDescent="0.25">
      <c r="A52" s="40">
        <v>44181</v>
      </c>
      <c r="B52">
        <v>15296.98</v>
      </c>
    </row>
    <row r="53" spans="1:2" x14ac:dyDescent="0.25">
      <c r="A53" s="40">
        <v>44188</v>
      </c>
      <c r="B53">
        <v>16024.07</v>
      </c>
    </row>
    <row r="54" spans="1:2" x14ac:dyDescent="0.25">
      <c r="A54" s="40">
        <v>44195</v>
      </c>
      <c r="B54">
        <v>15910.55</v>
      </c>
    </row>
    <row r="55" spans="1:2" x14ac:dyDescent="0.25">
      <c r="A55" s="40">
        <v>44202</v>
      </c>
      <c r="B55">
        <v>16693.27</v>
      </c>
    </row>
    <row r="56" spans="1:2" x14ac:dyDescent="0.25">
      <c r="A56" s="40">
        <v>44209</v>
      </c>
      <c r="B56">
        <v>15894.21</v>
      </c>
    </row>
    <row r="57" spans="1:2" x14ac:dyDescent="0.25">
      <c r="A57" s="40">
        <v>44216</v>
      </c>
      <c r="B57">
        <v>16269.06</v>
      </c>
    </row>
    <row r="58" spans="1:2" x14ac:dyDescent="0.25">
      <c r="A58" s="40">
        <v>44223</v>
      </c>
      <c r="B58">
        <v>16335.4</v>
      </c>
    </row>
    <row r="59" spans="1:2" x14ac:dyDescent="0.25">
      <c r="A59" s="40">
        <v>44230</v>
      </c>
      <c r="B59">
        <v>16253.25</v>
      </c>
    </row>
    <row r="60" spans="1:2" x14ac:dyDescent="0.25">
      <c r="A60" s="40">
        <v>44237</v>
      </c>
      <c r="B60">
        <v>16089.06</v>
      </c>
    </row>
    <row r="61" spans="1:2" x14ac:dyDescent="0.25">
      <c r="A61" s="40">
        <v>44244</v>
      </c>
      <c r="B61">
        <v>15670.41</v>
      </c>
    </row>
    <row r="62" spans="1:2" x14ac:dyDescent="0.25">
      <c r="A62" s="40">
        <v>44251</v>
      </c>
      <c r="B62">
        <v>15299.77</v>
      </c>
    </row>
    <row r="63" spans="1:2" x14ac:dyDescent="0.25">
      <c r="A63" s="40">
        <v>44258</v>
      </c>
      <c r="B63">
        <v>14295.49</v>
      </c>
    </row>
    <row r="64" spans="1:2" x14ac:dyDescent="0.25">
      <c r="A64" s="40">
        <v>44265</v>
      </c>
      <c r="B64">
        <v>13600.64</v>
      </c>
    </row>
    <row r="65" spans="1:2" x14ac:dyDescent="0.25">
      <c r="A65" s="40">
        <v>44272</v>
      </c>
      <c r="B65">
        <v>12725.83</v>
      </c>
    </row>
    <row r="66" spans="1:2" x14ac:dyDescent="0.25">
      <c r="A66" s="40">
        <v>44279</v>
      </c>
      <c r="B66">
        <v>10611.38</v>
      </c>
    </row>
    <row r="67" spans="1:2" x14ac:dyDescent="0.25">
      <c r="A67" s="40">
        <v>44286</v>
      </c>
      <c r="B67">
        <v>10257.27</v>
      </c>
    </row>
    <row r="68" spans="1:2" x14ac:dyDescent="0.25">
      <c r="A68" s="40">
        <v>44293</v>
      </c>
      <c r="B68">
        <v>10101.030000000001</v>
      </c>
    </row>
    <row r="69" spans="1:2" x14ac:dyDescent="0.25">
      <c r="A69" s="40">
        <v>44300</v>
      </c>
      <c r="B69">
        <v>9250.94</v>
      </c>
    </row>
    <row r="70" spans="1:2" x14ac:dyDescent="0.25">
      <c r="A70" s="40">
        <v>44307</v>
      </c>
      <c r="B70">
        <v>10159.02</v>
      </c>
    </row>
    <row r="71" spans="1:2" x14ac:dyDescent="0.25">
      <c r="A71" s="40">
        <v>44314</v>
      </c>
      <c r="B71">
        <v>9676.89</v>
      </c>
    </row>
    <row r="72" spans="1:2" x14ac:dyDescent="0.25">
      <c r="A72" s="40">
        <v>44321</v>
      </c>
      <c r="B72">
        <v>9536.89</v>
      </c>
    </row>
    <row r="73" spans="1:2" x14ac:dyDescent="0.25">
      <c r="A73" s="40">
        <v>44328</v>
      </c>
      <c r="B73">
        <v>8987.7900000000009</v>
      </c>
    </row>
    <row r="74" spans="1:2" x14ac:dyDescent="0.25">
      <c r="A74" s="40">
        <v>44335</v>
      </c>
      <c r="B74">
        <v>8661.19</v>
      </c>
    </row>
    <row r="75" spans="1:2" x14ac:dyDescent="0.25">
      <c r="A75" s="40">
        <v>44342</v>
      </c>
      <c r="B75">
        <v>8124.73</v>
      </c>
    </row>
    <row r="76" spans="1:2" x14ac:dyDescent="0.25">
      <c r="A76" s="40">
        <v>44349</v>
      </c>
      <c r="B76">
        <v>7832.35</v>
      </c>
    </row>
    <row r="77" spans="1:2" x14ac:dyDescent="0.25">
      <c r="A77" s="40">
        <v>44356</v>
      </c>
      <c r="B77">
        <v>7302.35</v>
      </c>
    </row>
    <row r="78" spans="1:2" x14ac:dyDescent="0.25">
      <c r="A78" s="40">
        <v>44363</v>
      </c>
      <c r="B78">
        <v>6538.89</v>
      </c>
    </row>
    <row r="79" spans="1:2" x14ac:dyDescent="0.25">
      <c r="A79" s="40">
        <v>44370</v>
      </c>
      <c r="B79">
        <v>7346.89</v>
      </c>
    </row>
    <row r="80" spans="1:2" x14ac:dyDescent="0.25">
      <c r="A80" s="40">
        <v>44377</v>
      </c>
      <c r="B80">
        <v>7459.62</v>
      </c>
    </row>
    <row r="81" spans="1:2" x14ac:dyDescent="0.25">
      <c r="A81" s="40">
        <v>44384</v>
      </c>
      <c r="B81">
        <v>7533.64</v>
      </c>
    </row>
    <row r="82" spans="1:2" x14ac:dyDescent="0.25">
      <c r="A82" s="40">
        <v>44391</v>
      </c>
      <c r="B82">
        <v>7049.18</v>
      </c>
    </row>
    <row r="83" spans="1:2" x14ac:dyDescent="0.25">
      <c r="A83" s="40">
        <v>44398</v>
      </c>
      <c r="B83">
        <v>6781.03</v>
      </c>
    </row>
    <row r="84" spans="1:2" x14ac:dyDescent="0.25">
      <c r="A84" s="40">
        <v>44405</v>
      </c>
      <c r="B84">
        <v>5782.04</v>
      </c>
    </row>
    <row r="85" spans="1:2" x14ac:dyDescent="0.25">
      <c r="A85" s="40">
        <v>44412</v>
      </c>
      <c r="B85">
        <v>4926.68</v>
      </c>
    </row>
    <row r="86" spans="1:2" x14ac:dyDescent="0.25">
      <c r="A86" s="40">
        <v>44419</v>
      </c>
      <c r="B86">
        <v>4349.1899999999996</v>
      </c>
    </row>
    <row r="87" spans="1:2" x14ac:dyDescent="0.25">
      <c r="A87" s="40">
        <v>44426</v>
      </c>
      <c r="B87">
        <v>3388.08</v>
      </c>
    </row>
    <row r="88" spans="1:2" x14ac:dyDescent="0.25">
      <c r="A88" s="40">
        <v>44433</v>
      </c>
      <c r="B88">
        <v>3014.3</v>
      </c>
    </row>
    <row r="89" spans="1:2" x14ac:dyDescent="0.25">
      <c r="A89" s="40">
        <v>44440</v>
      </c>
      <c r="B89">
        <v>2776.5</v>
      </c>
    </row>
    <row r="90" spans="1:2" x14ac:dyDescent="0.25">
      <c r="A90" s="40">
        <v>44447</v>
      </c>
      <c r="B90">
        <v>2534.96</v>
      </c>
    </row>
    <row r="91" spans="1:2" x14ac:dyDescent="0.25">
      <c r="A91" s="40">
        <v>44454</v>
      </c>
      <c r="B91">
        <v>2303.2800000000002</v>
      </c>
    </row>
    <row r="92" spans="1:2" x14ac:dyDescent="0.25">
      <c r="A92" s="40">
        <v>44461</v>
      </c>
      <c r="B92">
        <v>3080.22</v>
      </c>
    </row>
    <row r="93" spans="1:2" x14ac:dyDescent="0.25">
      <c r="A93" s="40">
        <v>44468</v>
      </c>
      <c r="B93">
        <v>1977.44</v>
      </c>
    </row>
    <row r="94" spans="1:2" x14ac:dyDescent="0.25">
      <c r="A94" s="40">
        <v>44475</v>
      </c>
      <c r="B94">
        <v>1355.82</v>
      </c>
    </row>
    <row r="95" spans="1:2" x14ac:dyDescent="0.25">
      <c r="A95" s="40">
        <v>44482</v>
      </c>
      <c r="B95">
        <v>778.58</v>
      </c>
    </row>
    <row r="96" spans="1:2" x14ac:dyDescent="0.25">
      <c r="A96" s="40">
        <v>44489</v>
      </c>
      <c r="B96">
        <v>833.86</v>
      </c>
    </row>
    <row r="97" spans="1:2" x14ac:dyDescent="0.25">
      <c r="A97" s="40">
        <v>44496</v>
      </c>
      <c r="B97">
        <v>2132.91</v>
      </c>
    </row>
    <row r="98" spans="1:2" x14ac:dyDescent="0.25">
      <c r="A98" s="40">
        <v>44503</v>
      </c>
      <c r="B98">
        <v>2802.05</v>
      </c>
    </row>
    <row r="99" spans="1:2" x14ac:dyDescent="0.25">
      <c r="A99" s="40">
        <v>44510</v>
      </c>
      <c r="B99">
        <v>2592.9299999999998</v>
      </c>
    </row>
    <row r="100" spans="1:2" x14ac:dyDescent="0.25">
      <c r="A100" s="40">
        <v>44517</v>
      </c>
      <c r="B100">
        <v>2114.5300000000002</v>
      </c>
    </row>
    <row r="101" spans="1:2" x14ac:dyDescent="0.25">
      <c r="A101" s="40">
        <v>44524</v>
      </c>
      <c r="B101">
        <v>1640.87</v>
      </c>
    </row>
    <row r="102" spans="1:2" x14ac:dyDescent="0.25">
      <c r="A102" s="40">
        <v>44531</v>
      </c>
      <c r="B102">
        <v>1526.51</v>
      </c>
    </row>
    <row r="103" spans="1:2" x14ac:dyDescent="0.25">
      <c r="A103" s="40">
        <v>44538</v>
      </c>
      <c r="B103">
        <v>1151.17</v>
      </c>
    </row>
    <row r="104" spans="1:2" x14ac:dyDescent="0.25">
      <c r="A104" s="40">
        <v>44545</v>
      </c>
      <c r="B104">
        <v>1047.98</v>
      </c>
    </row>
    <row r="105" spans="1:2" x14ac:dyDescent="0.25">
      <c r="A105" s="40">
        <v>44552</v>
      </c>
      <c r="B105">
        <v>849.54</v>
      </c>
    </row>
    <row r="106" spans="1:2" x14ac:dyDescent="0.25">
      <c r="A106" s="40">
        <v>44559</v>
      </c>
      <c r="B106">
        <v>2118.4899999999998</v>
      </c>
    </row>
    <row r="107" spans="1:2" x14ac:dyDescent="0.25">
      <c r="A107" s="40">
        <v>44566</v>
      </c>
      <c r="B107">
        <v>3897.51</v>
      </c>
    </row>
    <row r="108" spans="1:2" x14ac:dyDescent="0.25">
      <c r="A108" s="40">
        <v>44573</v>
      </c>
      <c r="B108">
        <v>4564.01</v>
      </c>
    </row>
    <row r="109" spans="1:2" x14ac:dyDescent="0.25">
      <c r="A109" s="40">
        <v>44580</v>
      </c>
      <c r="B109">
        <v>4886.97</v>
      </c>
    </row>
    <row r="110" spans="1:2" x14ac:dyDescent="0.25">
      <c r="A110" s="40">
        <v>44587</v>
      </c>
      <c r="B110">
        <v>6148.77</v>
      </c>
    </row>
    <row r="111" spans="1:2" x14ac:dyDescent="0.25">
      <c r="A111" s="40">
        <v>44594</v>
      </c>
      <c r="B111">
        <v>6757.73</v>
      </c>
    </row>
    <row r="112" spans="1:2" x14ac:dyDescent="0.25">
      <c r="A112" s="40">
        <v>44601</v>
      </c>
      <c r="B112">
        <v>6863.84</v>
      </c>
    </row>
    <row r="113" spans="1:2" x14ac:dyDescent="0.25">
      <c r="A113" s="40">
        <v>44608</v>
      </c>
      <c r="B113">
        <v>6925.41</v>
      </c>
    </row>
    <row r="114" spans="1:2" x14ac:dyDescent="0.25">
      <c r="A114" s="40">
        <v>44615</v>
      </c>
      <c r="B114">
        <v>6978.38</v>
      </c>
    </row>
    <row r="115" spans="1:2" x14ac:dyDescent="0.25">
      <c r="A115" s="40">
        <v>44622</v>
      </c>
      <c r="B115">
        <v>6829.03</v>
      </c>
    </row>
    <row r="116" spans="1:2" x14ac:dyDescent="0.25">
      <c r="A116" s="40">
        <v>44629</v>
      </c>
      <c r="B116">
        <v>6520.39</v>
      </c>
    </row>
    <row r="117" spans="1:2" x14ac:dyDescent="0.25">
      <c r="A117" s="40">
        <v>44636</v>
      </c>
      <c r="B117">
        <v>5706.06</v>
      </c>
    </row>
    <row r="118" spans="1:2" x14ac:dyDescent="0.25">
      <c r="A118" s="40">
        <v>44643</v>
      </c>
      <c r="B118">
        <v>6146.16</v>
      </c>
    </row>
    <row r="119" spans="1:2" x14ac:dyDescent="0.25">
      <c r="A119" s="40">
        <v>44650</v>
      </c>
      <c r="B119">
        <v>5750.65</v>
      </c>
    </row>
    <row r="120" spans="1:2" x14ac:dyDescent="0.25">
      <c r="A120" s="40">
        <v>44657</v>
      </c>
      <c r="B120">
        <v>5744.51</v>
      </c>
    </row>
    <row r="121" spans="1:2" x14ac:dyDescent="0.25">
      <c r="A121" s="40">
        <v>44664</v>
      </c>
      <c r="B121">
        <v>5473.08</v>
      </c>
    </row>
    <row r="122" spans="1:2" x14ac:dyDescent="0.25">
      <c r="A122" s="40">
        <v>44671</v>
      </c>
      <c r="B122">
        <v>7114.06</v>
      </c>
    </row>
    <row r="123" spans="1:2" x14ac:dyDescent="0.25">
      <c r="A123" s="40">
        <v>44678</v>
      </c>
      <c r="B123">
        <v>9443.2800000000007</v>
      </c>
    </row>
    <row r="124" spans="1:2" x14ac:dyDescent="0.25">
      <c r="A124" s="40">
        <v>44685</v>
      </c>
      <c r="B124">
        <v>9454.7800000000007</v>
      </c>
    </row>
    <row r="125" spans="1:2" x14ac:dyDescent="0.25">
      <c r="A125" s="40">
        <v>44692</v>
      </c>
      <c r="B125">
        <v>9456.58</v>
      </c>
    </row>
    <row r="126" spans="1:2" x14ac:dyDescent="0.25">
      <c r="A126" s="40">
        <v>44699</v>
      </c>
      <c r="B126">
        <v>8869.64</v>
      </c>
    </row>
    <row r="127" spans="1:2" x14ac:dyDescent="0.25">
      <c r="A127" s="40">
        <v>44706</v>
      </c>
      <c r="B127">
        <v>8215.35</v>
      </c>
    </row>
    <row r="128" spans="1:2" x14ac:dyDescent="0.25">
      <c r="A128" s="40">
        <v>44713</v>
      </c>
      <c r="B128">
        <v>7895.32</v>
      </c>
    </row>
    <row r="129" spans="1:2" x14ac:dyDescent="0.25">
      <c r="A129" s="40">
        <v>44720</v>
      </c>
      <c r="B129">
        <v>7233.84</v>
      </c>
    </row>
    <row r="130" spans="1:2" x14ac:dyDescent="0.25">
      <c r="A130" s="40">
        <v>44727</v>
      </c>
      <c r="B130">
        <v>6568.7</v>
      </c>
    </row>
    <row r="131" spans="1:2" x14ac:dyDescent="0.25">
      <c r="A131" s="40">
        <v>44734</v>
      </c>
      <c r="B131">
        <v>7582.83</v>
      </c>
    </row>
    <row r="132" spans="1:2" x14ac:dyDescent="0.25">
      <c r="A132" s="40">
        <v>44741</v>
      </c>
      <c r="B132">
        <v>7566.27</v>
      </c>
    </row>
    <row r="133" spans="1:2" x14ac:dyDescent="0.25">
      <c r="A133" s="40">
        <v>44748</v>
      </c>
      <c r="B133">
        <v>7004.57</v>
      </c>
    </row>
    <row r="134" spans="1:2" x14ac:dyDescent="0.25">
      <c r="A134" s="40">
        <v>44755</v>
      </c>
      <c r="B134">
        <v>6525.72</v>
      </c>
    </row>
    <row r="135" spans="1:2" x14ac:dyDescent="0.25">
      <c r="A135" s="40">
        <v>44762</v>
      </c>
      <c r="B135">
        <v>6138.78</v>
      </c>
    </row>
    <row r="136" spans="1:2" x14ac:dyDescent="0.25">
      <c r="A136" s="40">
        <v>44769</v>
      </c>
      <c r="B136">
        <v>6029.45</v>
      </c>
    </row>
    <row r="137" spans="1:2" x14ac:dyDescent="0.25">
      <c r="A137" s="40">
        <v>44776</v>
      </c>
      <c r="B137">
        <v>5941.15</v>
      </c>
    </row>
    <row r="138" spans="1:2" x14ac:dyDescent="0.25">
      <c r="A138" s="40">
        <v>44783</v>
      </c>
      <c r="B138">
        <v>5572.65</v>
      </c>
    </row>
    <row r="139" spans="1:2" x14ac:dyDescent="0.25">
      <c r="A139" s="40">
        <v>44790</v>
      </c>
      <c r="B139">
        <v>5453.21</v>
      </c>
    </row>
    <row r="140" spans="1:2" x14ac:dyDescent="0.25">
      <c r="A140" s="40">
        <v>44797</v>
      </c>
      <c r="B140">
        <v>5352.67</v>
      </c>
    </row>
    <row r="141" spans="1:2" x14ac:dyDescent="0.25">
      <c r="A141" s="40">
        <v>44804</v>
      </c>
      <c r="B141">
        <v>6125.36</v>
      </c>
    </row>
    <row r="142" spans="1:2" x14ac:dyDescent="0.25">
      <c r="A142" s="40">
        <v>44811</v>
      </c>
      <c r="B142">
        <v>5812.95</v>
      </c>
    </row>
    <row r="143" spans="1:2" x14ac:dyDescent="0.25">
      <c r="A143" s="40">
        <v>44818</v>
      </c>
      <c r="B143">
        <v>5938.08</v>
      </c>
    </row>
    <row r="144" spans="1:2" x14ac:dyDescent="0.25">
      <c r="A144" s="40">
        <v>44825</v>
      </c>
      <c r="B144">
        <v>6924.96</v>
      </c>
    </row>
    <row r="145" spans="1:2" x14ac:dyDescent="0.25">
      <c r="A145" s="40">
        <v>44832</v>
      </c>
      <c r="B145">
        <v>6895.69</v>
      </c>
    </row>
    <row r="146" spans="1:2" x14ac:dyDescent="0.25">
      <c r="A146" s="40">
        <v>44839</v>
      </c>
      <c r="B146">
        <v>6339.39</v>
      </c>
    </row>
    <row r="147" spans="1:2" x14ac:dyDescent="0.25">
      <c r="A147" s="40">
        <v>44846</v>
      </c>
      <c r="B147">
        <v>6083.02</v>
      </c>
    </row>
    <row r="148" spans="1:2" x14ac:dyDescent="0.25">
      <c r="A148" s="40">
        <v>44853</v>
      </c>
      <c r="B148">
        <v>6071.99</v>
      </c>
    </row>
    <row r="149" spans="1:2" x14ac:dyDescent="0.25">
      <c r="A149" s="40">
        <v>44860</v>
      </c>
      <c r="B149">
        <v>6345.48</v>
      </c>
    </row>
    <row r="150" spans="1:2" x14ac:dyDescent="0.25">
      <c r="A150" s="40">
        <v>44867</v>
      </c>
      <c r="B150">
        <v>5985.44</v>
      </c>
    </row>
    <row r="151" spans="1:2" x14ac:dyDescent="0.25">
      <c r="A151" s="40">
        <v>44874</v>
      </c>
      <c r="B151">
        <v>5274.79</v>
      </c>
    </row>
    <row r="152" spans="1:2" x14ac:dyDescent="0.25">
      <c r="A152" s="40">
        <v>44881</v>
      </c>
      <c r="B152">
        <v>5029.82</v>
      </c>
    </row>
    <row r="153" spans="1:2" x14ac:dyDescent="0.25">
      <c r="A153" s="40">
        <v>44888</v>
      </c>
      <c r="B153">
        <v>4794.74</v>
      </c>
    </row>
    <row r="154" spans="1:2" x14ac:dyDescent="0.25">
      <c r="A154" s="40">
        <v>44895</v>
      </c>
      <c r="B154">
        <v>5114.74</v>
      </c>
    </row>
    <row r="155" spans="1:2" x14ac:dyDescent="0.25">
      <c r="A155" s="40">
        <v>44902</v>
      </c>
      <c r="B155">
        <v>4323.3500000000004</v>
      </c>
    </row>
    <row r="156" spans="1:2" x14ac:dyDescent="0.25">
      <c r="A156" s="40">
        <v>44909</v>
      </c>
      <c r="B156">
        <v>3555.17</v>
      </c>
    </row>
    <row r="157" spans="1:2" x14ac:dyDescent="0.25">
      <c r="A157" s="40">
        <v>44916</v>
      </c>
      <c r="B157">
        <v>4597.8</v>
      </c>
    </row>
    <row r="158" spans="1:2" x14ac:dyDescent="0.25">
      <c r="A158" s="40">
        <v>44923</v>
      </c>
      <c r="B158">
        <v>4279.26</v>
      </c>
    </row>
    <row r="159" spans="1:2" x14ac:dyDescent="0.25">
      <c r="A159" s="40">
        <v>44930</v>
      </c>
      <c r="B159">
        <v>4236.25</v>
      </c>
    </row>
    <row r="160" spans="1:2" x14ac:dyDescent="0.25">
      <c r="A160" s="40">
        <v>44937</v>
      </c>
      <c r="B160">
        <v>3723.4</v>
      </c>
    </row>
    <row r="161" spans="1:2" x14ac:dyDescent="0.25">
      <c r="A161" s="40">
        <v>44944</v>
      </c>
      <c r="B161">
        <v>3390.18</v>
      </c>
    </row>
    <row r="162" spans="1:2" x14ac:dyDescent="0.25">
      <c r="A162" s="40">
        <v>44951</v>
      </c>
      <c r="B162">
        <v>4918.4799999999996</v>
      </c>
    </row>
    <row r="163" spans="1:2" x14ac:dyDescent="0.25">
      <c r="A163" s="40">
        <v>44958</v>
      </c>
      <c r="B163">
        <v>5600.89</v>
      </c>
    </row>
    <row r="164" spans="1:2" x14ac:dyDescent="0.25">
      <c r="A164" s="40">
        <v>44965</v>
      </c>
      <c r="B164">
        <v>4932.7700000000004</v>
      </c>
    </row>
    <row r="165" spans="1:2" x14ac:dyDescent="0.25">
      <c r="A165" s="40">
        <v>44972</v>
      </c>
      <c r="B165">
        <v>4903.79</v>
      </c>
    </row>
    <row r="166" spans="1:2" x14ac:dyDescent="0.25">
      <c r="A166" s="40">
        <v>44979</v>
      </c>
      <c r="B166">
        <v>4773.33</v>
      </c>
    </row>
    <row r="167" spans="1:2" x14ac:dyDescent="0.25">
      <c r="A167" s="40">
        <v>44986</v>
      </c>
      <c r="B167">
        <v>3812.45</v>
      </c>
    </row>
    <row r="168" spans="1:2" x14ac:dyDescent="0.25">
      <c r="A168" s="40">
        <v>44993</v>
      </c>
      <c r="B168">
        <v>3333.5</v>
      </c>
    </row>
    <row r="169" spans="1:2" x14ac:dyDescent="0.25">
      <c r="A169" s="40">
        <v>45000</v>
      </c>
      <c r="B169">
        <v>2328.66</v>
      </c>
    </row>
    <row r="170" spans="1:2" x14ac:dyDescent="0.25">
      <c r="A170" s="40">
        <v>45007</v>
      </c>
      <c r="B170">
        <v>2595.87</v>
      </c>
    </row>
    <row r="171" spans="1:2" x14ac:dyDescent="0.25">
      <c r="A171" s="40">
        <v>45014</v>
      </c>
      <c r="B171">
        <v>1835.77</v>
      </c>
    </row>
    <row r="172" spans="1:2" x14ac:dyDescent="0.25">
      <c r="A172" s="40">
        <v>45021</v>
      </c>
      <c r="B172">
        <v>1687.93</v>
      </c>
    </row>
    <row r="173" spans="1:2" x14ac:dyDescent="0.25">
      <c r="A173" s="40">
        <v>45028</v>
      </c>
      <c r="B173">
        <v>1092.08</v>
      </c>
    </row>
    <row r="174" spans="1:2" x14ac:dyDescent="0.25">
      <c r="A174" s="40">
        <v>45035</v>
      </c>
      <c r="B174">
        <v>1665.55</v>
      </c>
    </row>
    <row r="175" spans="1:2" x14ac:dyDescent="0.25">
      <c r="A175" s="40">
        <v>45042</v>
      </c>
      <c r="B175">
        <v>2917.02</v>
      </c>
    </row>
    <row r="176" spans="1:2" x14ac:dyDescent="0.25">
      <c r="A176" s="40">
        <v>45049</v>
      </c>
      <c r="B176">
        <v>2692.16</v>
      </c>
    </row>
    <row r="177" spans="1:2" x14ac:dyDescent="0.25">
      <c r="A177" s="40">
        <v>45056</v>
      </c>
      <c r="B177">
        <v>1976.66</v>
      </c>
    </row>
    <row r="178" spans="1:2" x14ac:dyDescent="0.25">
      <c r="A178" s="40">
        <v>45063</v>
      </c>
      <c r="B178">
        <v>1162.2</v>
      </c>
    </row>
    <row r="179" spans="1:2" x14ac:dyDescent="0.25">
      <c r="A179" s="40">
        <v>45070</v>
      </c>
      <c r="B179">
        <v>619.52</v>
      </c>
    </row>
    <row r="180" spans="1:2" x14ac:dyDescent="0.25">
      <c r="A180" s="40">
        <v>45077</v>
      </c>
      <c r="B180">
        <v>489.54</v>
      </c>
    </row>
    <row r="181" spans="1:2" x14ac:dyDescent="0.25">
      <c r="A181" s="40">
        <v>45084</v>
      </c>
      <c r="B181">
        <v>447.56</v>
      </c>
    </row>
    <row r="182" spans="1:2" x14ac:dyDescent="0.25">
      <c r="A182" s="40">
        <v>45091</v>
      </c>
      <c r="B182">
        <v>1021.18</v>
      </c>
    </row>
    <row r="183" spans="1:2" x14ac:dyDescent="0.25">
      <c r="A183" s="40">
        <v>45098</v>
      </c>
      <c r="B183">
        <v>2768.5</v>
      </c>
    </row>
    <row r="184" spans="1:2" x14ac:dyDescent="0.25">
      <c r="A184" s="40">
        <v>45105</v>
      </c>
      <c r="B184">
        <v>3905.71</v>
      </c>
    </row>
    <row r="185" spans="1:2" x14ac:dyDescent="0.25">
      <c r="A185" s="40">
        <v>45112</v>
      </c>
      <c r="B185">
        <v>4154.41</v>
      </c>
    </row>
    <row r="186" spans="1:2" x14ac:dyDescent="0.25">
      <c r="A186" s="40">
        <v>45119</v>
      </c>
      <c r="B186">
        <v>5143.37</v>
      </c>
    </row>
    <row r="187" spans="1:2" x14ac:dyDescent="0.25">
      <c r="A187" s="40">
        <v>45126</v>
      </c>
      <c r="B187">
        <v>5311.35</v>
      </c>
    </row>
    <row r="188" spans="1:2" x14ac:dyDescent="0.25">
      <c r="A188" s="40">
        <v>45133</v>
      </c>
      <c r="B188">
        <v>5435.97</v>
      </c>
    </row>
    <row r="189" spans="1:2" x14ac:dyDescent="0.25">
      <c r="A189" s="40">
        <v>45140</v>
      </c>
      <c r="B189">
        <v>5174.59</v>
      </c>
    </row>
    <row r="190" spans="1:2" x14ac:dyDescent="0.25">
      <c r="A190" s="40">
        <v>45147</v>
      </c>
      <c r="B190">
        <v>4445.9399999999996</v>
      </c>
    </row>
    <row r="191" spans="1:2" x14ac:dyDescent="0.25">
      <c r="A191" s="40">
        <v>45154</v>
      </c>
      <c r="B191">
        <v>4357.95</v>
      </c>
    </row>
    <row r="192" spans="1:2" x14ac:dyDescent="0.25">
      <c r="A192" s="40">
        <v>45161</v>
      </c>
      <c r="B192">
        <v>4137.87</v>
      </c>
    </row>
    <row r="193" spans="1:2" x14ac:dyDescent="0.25">
      <c r="A193" s="40">
        <v>45168</v>
      </c>
      <c r="B193">
        <v>4708</v>
      </c>
    </row>
    <row r="194" spans="1:2" x14ac:dyDescent="0.25">
      <c r="A194" s="40">
        <v>45175</v>
      </c>
      <c r="B194">
        <v>4708.8100000000004</v>
      </c>
    </row>
    <row r="195" spans="1:2" x14ac:dyDescent="0.25">
      <c r="A195" s="40">
        <v>45182</v>
      </c>
      <c r="B195">
        <v>5215.07</v>
      </c>
    </row>
    <row r="196" spans="1:2" x14ac:dyDescent="0.25">
      <c r="A196" s="40">
        <v>45189</v>
      </c>
      <c r="B196">
        <v>6402.96</v>
      </c>
    </row>
    <row r="197" spans="1:2" x14ac:dyDescent="0.25">
      <c r="A197" s="40">
        <v>45196</v>
      </c>
      <c r="B197">
        <v>6811.43</v>
      </c>
    </row>
    <row r="198" spans="1:2" x14ac:dyDescent="0.25">
      <c r="A198" s="40">
        <v>45203</v>
      </c>
      <c r="B198">
        <v>6680.09</v>
      </c>
    </row>
    <row r="199" spans="1:2" x14ac:dyDescent="0.25">
      <c r="A199" s="40">
        <v>45210</v>
      </c>
      <c r="B199">
        <v>7091.6</v>
      </c>
    </row>
    <row r="200" spans="1:2" x14ac:dyDescent="0.25">
      <c r="A200" s="40">
        <v>45217</v>
      </c>
      <c r="B200">
        <v>7598.78</v>
      </c>
    </row>
    <row r="201" spans="1:2" x14ac:dyDescent="0.25">
      <c r="A201" s="40">
        <v>45224</v>
      </c>
      <c r="B201">
        <v>8344.18</v>
      </c>
    </row>
    <row r="202" spans="1:2" x14ac:dyDescent="0.25">
      <c r="A202" s="40">
        <v>45231</v>
      </c>
      <c r="B202">
        <v>8204.8700000000008</v>
      </c>
    </row>
    <row r="203" spans="1:2" x14ac:dyDescent="0.25">
      <c r="A203" s="40">
        <v>45238</v>
      </c>
      <c r="B203">
        <v>7726.86</v>
      </c>
    </row>
    <row r="204" spans="1:2" x14ac:dyDescent="0.25">
      <c r="A204" s="40">
        <v>45245</v>
      </c>
      <c r="B204">
        <v>7385.62</v>
      </c>
    </row>
    <row r="205" spans="1:2" x14ac:dyDescent="0.25">
      <c r="A205" s="40">
        <v>45252</v>
      </c>
      <c r="B205">
        <v>7060.17</v>
      </c>
    </row>
    <row r="206" spans="1:2" x14ac:dyDescent="0.25">
      <c r="A206" s="40">
        <v>45259</v>
      </c>
      <c r="B206">
        <v>7392.09</v>
      </c>
    </row>
    <row r="207" spans="1:2" x14ac:dyDescent="0.25">
      <c r="A207" s="40">
        <v>45266</v>
      </c>
      <c r="B207">
        <v>6825.09</v>
      </c>
    </row>
    <row r="208" spans="1:2" x14ac:dyDescent="0.25">
      <c r="A208" s="40">
        <v>45273</v>
      </c>
      <c r="B208">
        <v>6584.4</v>
      </c>
    </row>
    <row r="209" spans="1:2" x14ac:dyDescent="0.25">
      <c r="A209" s="40">
        <v>45280</v>
      </c>
      <c r="B209">
        <v>7321.96</v>
      </c>
    </row>
    <row r="210" spans="1:2" x14ac:dyDescent="0.25">
      <c r="A210" s="40">
        <v>45287</v>
      </c>
      <c r="B210">
        <v>7314.05</v>
      </c>
    </row>
    <row r="211" spans="1:2" x14ac:dyDescent="0.25">
      <c r="A211" s="40">
        <v>45294</v>
      </c>
      <c r="B211">
        <v>7584.48</v>
      </c>
    </row>
    <row r="212" spans="1:2" x14ac:dyDescent="0.25">
      <c r="A212" s="40">
        <v>45301</v>
      </c>
      <c r="B212">
        <v>7475.65</v>
      </c>
    </row>
    <row r="213" spans="1:2" x14ac:dyDescent="0.25">
      <c r="A213" s="40">
        <v>45308</v>
      </c>
      <c r="B213">
        <v>7488.83</v>
      </c>
    </row>
    <row r="214" spans="1:2" x14ac:dyDescent="0.25">
      <c r="A214" s="40">
        <v>45315</v>
      </c>
      <c r="B214">
        <v>7993.58</v>
      </c>
    </row>
    <row r="215" spans="1:2" x14ac:dyDescent="0.25">
      <c r="A215" s="40">
        <v>45322</v>
      </c>
      <c r="B215">
        <v>8415.5</v>
      </c>
    </row>
    <row r="216" spans="1:2" x14ac:dyDescent="0.25">
      <c r="A216" s="40">
        <v>45329</v>
      </c>
      <c r="B216">
        <v>8021.35</v>
      </c>
    </row>
    <row r="217" spans="1:2" x14ac:dyDescent="0.25">
      <c r="A217" s="40">
        <v>45336</v>
      </c>
      <c r="B217">
        <v>8380.0499999999993</v>
      </c>
    </row>
    <row r="218" spans="1:2" x14ac:dyDescent="0.25">
      <c r="A218" s="40">
        <v>45343</v>
      </c>
      <c r="B218">
        <v>7854.65</v>
      </c>
    </row>
    <row r="219" spans="1:2" x14ac:dyDescent="0.25">
      <c r="A219" s="40">
        <v>45350</v>
      </c>
      <c r="B219">
        <v>7858.21</v>
      </c>
    </row>
    <row r="220" spans="1:2" x14ac:dyDescent="0.25">
      <c r="A220" s="40">
        <v>45357</v>
      </c>
      <c r="B220">
        <v>7677.33</v>
      </c>
    </row>
    <row r="221" spans="1:2" x14ac:dyDescent="0.25">
      <c r="A221" s="40">
        <v>45364</v>
      </c>
      <c r="B221">
        <v>7683.69</v>
      </c>
    </row>
    <row r="222" spans="1:2" x14ac:dyDescent="0.25">
      <c r="A222" s="40">
        <v>45371</v>
      </c>
      <c r="B222">
        <v>8092.98</v>
      </c>
    </row>
    <row r="223" spans="1:2" x14ac:dyDescent="0.25">
      <c r="A223" s="40">
        <v>45378</v>
      </c>
      <c r="B223">
        <v>8022.33</v>
      </c>
    </row>
    <row r="224" spans="1:2" x14ac:dyDescent="0.25">
      <c r="A224" s="40">
        <v>45385</v>
      </c>
      <c r="B224">
        <v>7686.51</v>
      </c>
    </row>
    <row r="225" spans="1:2" x14ac:dyDescent="0.25">
      <c r="A225" s="40">
        <v>45392</v>
      </c>
      <c r="B225">
        <v>7049.71</v>
      </c>
    </row>
    <row r="226" spans="1:2" x14ac:dyDescent="0.25">
      <c r="A226" s="40">
        <v>45399</v>
      </c>
      <c r="B226">
        <v>7965.35</v>
      </c>
    </row>
    <row r="227" spans="1:2" x14ac:dyDescent="0.25">
      <c r="A227" s="40">
        <v>45406</v>
      </c>
      <c r="B227">
        <v>9414.2999999999993</v>
      </c>
    </row>
    <row r="228" spans="1:2" x14ac:dyDescent="0.25">
      <c r="A228" s="40">
        <v>45413</v>
      </c>
      <c r="B228">
        <v>9171.77</v>
      </c>
    </row>
    <row r="229" spans="1:2" x14ac:dyDescent="0.25">
      <c r="A229" s="40">
        <v>45420</v>
      </c>
      <c r="B229">
        <v>8515.91</v>
      </c>
    </row>
    <row r="230" spans="1:2" x14ac:dyDescent="0.25">
      <c r="A230" s="40">
        <v>45427</v>
      </c>
      <c r="B230">
        <v>7871.33</v>
      </c>
    </row>
    <row r="231" spans="1:2" x14ac:dyDescent="0.25">
      <c r="A231" s="40">
        <v>45434</v>
      </c>
      <c r="B231">
        <v>7253.76</v>
      </c>
    </row>
    <row r="232" spans="1:2" x14ac:dyDescent="0.25">
      <c r="A232" s="40">
        <v>45441</v>
      </c>
      <c r="B232">
        <v>7043.35</v>
      </c>
    </row>
    <row r="233" spans="1:2" x14ac:dyDescent="0.25">
      <c r="A233" s="40">
        <v>45448</v>
      </c>
      <c r="B233">
        <v>7103.09</v>
      </c>
    </row>
    <row r="234" spans="1:2" x14ac:dyDescent="0.25">
      <c r="A234" s="40">
        <v>45455</v>
      </c>
      <c r="B234">
        <v>6735.73</v>
      </c>
    </row>
    <row r="235" spans="1:2" x14ac:dyDescent="0.25">
      <c r="A235" s="40">
        <v>45462</v>
      </c>
      <c r="B235">
        <v>7234.1</v>
      </c>
    </row>
    <row r="236" spans="1:2" x14ac:dyDescent="0.25">
      <c r="A236" s="40">
        <v>45469</v>
      </c>
      <c r="B236">
        <v>7654.17</v>
      </c>
    </row>
    <row r="237" spans="1:2" x14ac:dyDescent="0.25">
      <c r="A237" s="40">
        <v>45476</v>
      </c>
      <c r="B237">
        <v>7613.73</v>
      </c>
    </row>
    <row r="238" spans="1:2" x14ac:dyDescent="0.25">
      <c r="A238" s="40">
        <v>45483</v>
      </c>
      <c r="B238">
        <v>7364.02</v>
      </c>
    </row>
    <row r="239" spans="1:2" x14ac:dyDescent="0.25">
      <c r="A239" s="40">
        <v>45490</v>
      </c>
      <c r="B239">
        <v>7515.93</v>
      </c>
    </row>
    <row r="240" spans="1:2" x14ac:dyDescent="0.25">
      <c r="A240" s="40">
        <v>45497</v>
      </c>
      <c r="B240">
        <v>7743.15</v>
      </c>
    </row>
    <row r="241" spans="1:2" x14ac:dyDescent="0.25">
      <c r="A241" s="40">
        <v>45504</v>
      </c>
      <c r="B241">
        <v>7864.86</v>
      </c>
    </row>
    <row r="242" spans="1:2" x14ac:dyDescent="0.25">
      <c r="A242" s="40">
        <v>45511</v>
      </c>
      <c r="B242">
        <v>7709.31</v>
      </c>
    </row>
    <row r="243" spans="1:2" x14ac:dyDescent="0.25">
      <c r="A243" s="40">
        <v>45518</v>
      </c>
      <c r="B243">
        <v>7941.2</v>
      </c>
    </row>
    <row r="244" spans="1:2" x14ac:dyDescent="0.25">
      <c r="A244" s="40">
        <v>45525</v>
      </c>
      <c r="B244">
        <v>7364.94</v>
      </c>
    </row>
    <row r="245" spans="1:2" x14ac:dyDescent="0.25">
      <c r="A245" s="40">
        <v>45532</v>
      </c>
      <c r="B245">
        <v>7458.51</v>
      </c>
    </row>
    <row r="246" spans="1:2" x14ac:dyDescent="0.25">
      <c r="A246" s="40">
        <v>45539</v>
      </c>
      <c r="B246">
        <v>7339.59</v>
      </c>
    </row>
    <row r="247" spans="1:2" x14ac:dyDescent="0.25">
      <c r="A247" s="40">
        <v>45546</v>
      </c>
      <c r="B247">
        <v>7559.58</v>
      </c>
    </row>
    <row r="248" spans="1:2" x14ac:dyDescent="0.25">
      <c r="A248" s="40">
        <v>45553</v>
      </c>
      <c r="B248">
        <v>7711.94</v>
      </c>
    </row>
    <row r="249" spans="1:2" x14ac:dyDescent="0.25">
      <c r="A249" s="40">
        <v>45560</v>
      </c>
      <c r="B249">
        <v>8067.71</v>
      </c>
    </row>
    <row r="250" spans="1:2" x14ac:dyDescent="0.25">
      <c r="A250" s="40">
        <v>45567</v>
      </c>
      <c r="B250">
        <v>7982.77</v>
      </c>
    </row>
    <row r="251" spans="1:2" x14ac:dyDescent="0.25">
      <c r="A251" s="40">
        <v>45574</v>
      </c>
      <c r="B251">
        <v>8021.15</v>
      </c>
    </row>
    <row r="252" spans="1:2" x14ac:dyDescent="0.25">
      <c r="A252" s="40">
        <v>45581</v>
      </c>
      <c r="B252">
        <v>7917.92</v>
      </c>
    </row>
    <row r="253" spans="1:2" x14ac:dyDescent="0.25">
      <c r="A253" s="40">
        <v>45588</v>
      </c>
      <c r="B253">
        <v>8299.91</v>
      </c>
    </row>
    <row r="254" spans="1:2" x14ac:dyDescent="0.25">
      <c r="A254" s="40">
        <v>45595</v>
      </c>
      <c r="B254">
        <v>8352.3700000000008</v>
      </c>
    </row>
    <row r="255" spans="1:2" x14ac:dyDescent="0.25">
      <c r="A255" s="40">
        <v>45602</v>
      </c>
      <c r="B255">
        <v>8420.51</v>
      </c>
    </row>
    <row r="256" spans="1:2" x14ac:dyDescent="0.25">
      <c r="A256" s="40">
        <v>45609</v>
      </c>
      <c r="B256">
        <v>8321.86</v>
      </c>
    </row>
    <row r="257" spans="1:2" x14ac:dyDescent="0.25">
      <c r="A257" s="40">
        <v>45616</v>
      </c>
      <c r="B257">
        <v>7518.73</v>
      </c>
    </row>
    <row r="258" spans="1:2" x14ac:dyDescent="0.25">
      <c r="A258" s="40">
        <v>45623</v>
      </c>
      <c r="B258">
        <v>7752.5</v>
      </c>
    </row>
    <row r="259" spans="1:2" x14ac:dyDescent="0.25">
      <c r="A259" s="40">
        <v>45630</v>
      </c>
      <c r="B259">
        <v>7895.16</v>
      </c>
    </row>
    <row r="260" spans="1:2" x14ac:dyDescent="0.25">
      <c r="A260" s="40">
        <v>45637</v>
      </c>
      <c r="B260">
        <v>7750.67</v>
      </c>
    </row>
    <row r="261" spans="1:2" x14ac:dyDescent="0.25">
      <c r="A261" s="40">
        <v>45644</v>
      </c>
      <c r="B261">
        <v>7679.32</v>
      </c>
    </row>
    <row r="262" spans="1:2" x14ac:dyDescent="0.25">
      <c r="A262" s="40">
        <v>45651</v>
      </c>
      <c r="B262">
        <v>7647.7</v>
      </c>
    </row>
    <row r="263" spans="1:2" x14ac:dyDescent="0.25">
      <c r="A263" s="40">
        <v>45658</v>
      </c>
      <c r="B263">
        <v>7198.73</v>
      </c>
    </row>
    <row r="264" spans="1:2" x14ac:dyDescent="0.25">
      <c r="A264" s="40">
        <v>45665</v>
      </c>
      <c r="B264">
        <v>6526.36</v>
      </c>
    </row>
    <row r="265" spans="1:2" x14ac:dyDescent="0.25">
      <c r="A265" s="40">
        <v>45672</v>
      </c>
      <c r="B265">
        <v>6412.25</v>
      </c>
    </row>
    <row r="266" spans="1:2" x14ac:dyDescent="0.25">
      <c r="A266" s="40">
        <v>45679</v>
      </c>
      <c r="B266">
        <v>6772.82</v>
      </c>
    </row>
    <row r="267" spans="1:2" x14ac:dyDescent="0.25">
      <c r="A267" s="40">
        <v>45686</v>
      </c>
      <c r="B267">
        <v>7842.06</v>
      </c>
    </row>
    <row r="268" spans="1:2" x14ac:dyDescent="0.25">
      <c r="A268" s="40">
        <v>45693</v>
      </c>
      <c r="B268">
        <v>8055.93</v>
      </c>
    </row>
    <row r="269" spans="1:2" x14ac:dyDescent="0.25">
      <c r="A269" s="40">
        <v>45700</v>
      </c>
      <c r="B269">
        <v>8281.02</v>
      </c>
    </row>
    <row r="270" spans="1:2" x14ac:dyDescent="0.25">
      <c r="A270" s="40">
        <v>45707</v>
      </c>
      <c r="B270">
        <v>7900.62</v>
      </c>
    </row>
    <row r="271" spans="1:2" x14ac:dyDescent="0.25">
      <c r="A271" s="40">
        <v>45714</v>
      </c>
      <c r="B271">
        <v>6811.61</v>
      </c>
    </row>
    <row r="272" spans="1:2" x14ac:dyDescent="0.25">
      <c r="A272" s="40">
        <v>45721</v>
      </c>
      <c r="B272">
        <v>5483.31</v>
      </c>
    </row>
    <row r="273" spans="1:2" x14ac:dyDescent="0.25">
      <c r="A273" s="40">
        <v>45728</v>
      </c>
      <c r="B273">
        <v>5125.8100000000004</v>
      </c>
    </row>
    <row r="274" spans="1:2" x14ac:dyDescent="0.25">
      <c r="A274" s="40">
        <v>45735</v>
      </c>
      <c r="B274">
        <v>4359.3599999999997</v>
      </c>
    </row>
    <row r="275" spans="1:2" x14ac:dyDescent="0.25">
      <c r="A275" s="40">
        <v>45742</v>
      </c>
      <c r="B275">
        <v>3601.77</v>
      </c>
    </row>
    <row r="276" spans="1:2" x14ac:dyDescent="0.25">
      <c r="A276" s="40">
        <v>45749</v>
      </c>
      <c r="B276">
        <v>3133.26</v>
      </c>
    </row>
    <row r="277" spans="1:2" x14ac:dyDescent="0.25">
      <c r="A277" s="40">
        <v>45756</v>
      </c>
      <c r="B277">
        <v>3060.49</v>
      </c>
    </row>
    <row r="278" spans="1:2" x14ac:dyDescent="0.25">
      <c r="A278" s="40">
        <v>45763</v>
      </c>
      <c r="B278">
        <v>4229.83</v>
      </c>
    </row>
    <row r="279" spans="1:2" x14ac:dyDescent="0.25">
      <c r="A279" s="40">
        <v>45770</v>
      </c>
      <c r="B279">
        <v>6066.32</v>
      </c>
    </row>
    <row r="280" spans="1:2" x14ac:dyDescent="0.25">
      <c r="A280" s="40">
        <v>45777</v>
      </c>
      <c r="B280">
        <v>5957.41</v>
      </c>
    </row>
    <row r="281" spans="1:2" x14ac:dyDescent="0.25">
      <c r="A281" s="40">
        <v>45784</v>
      </c>
      <c r="B281">
        <v>5837.27</v>
      </c>
    </row>
    <row r="282" spans="1:2" x14ac:dyDescent="0.25">
      <c r="A282" s="40">
        <v>45791</v>
      </c>
      <c r="B282">
        <v>5758.46</v>
      </c>
    </row>
    <row r="283" spans="1:2" x14ac:dyDescent="0.25">
      <c r="A283" s="40">
        <v>45798</v>
      </c>
      <c r="B283">
        <v>5030.55</v>
      </c>
    </row>
    <row r="284" spans="1:2" x14ac:dyDescent="0.25">
      <c r="A284" s="40">
        <v>45805</v>
      </c>
      <c r="B284">
        <v>4672.04</v>
      </c>
    </row>
    <row r="285" spans="1:2" x14ac:dyDescent="0.25">
      <c r="A285" s="40">
        <v>45812</v>
      </c>
      <c r="B285">
        <v>3789.47</v>
      </c>
    </row>
    <row r="286" spans="1:2" x14ac:dyDescent="0.25">
      <c r="A286" s="40">
        <v>45819</v>
      </c>
      <c r="B286">
        <v>3329.07</v>
      </c>
    </row>
    <row r="287" spans="1:2" x14ac:dyDescent="0.25">
      <c r="A287" s="40">
        <v>45826</v>
      </c>
      <c r="B287">
        <v>3377.62</v>
      </c>
    </row>
    <row r="288" spans="1:2" x14ac:dyDescent="0.25">
      <c r="A288" s="40">
        <v>45833</v>
      </c>
      <c r="B288">
        <v>3643.75</v>
      </c>
    </row>
    <row r="289" spans="1:2" x14ac:dyDescent="0.25">
      <c r="A289" s="40">
        <v>45840</v>
      </c>
      <c r="B289">
        <v>3595.16</v>
      </c>
    </row>
    <row r="290" spans="1:2" x14ac:dyDescent="0.25">
      <c r="A290" s="40">
        <v>45847</v>
      </c>
      <c r="B290">
        <v>3198.89</v>
      </c>
    </row>
    <row r="291" spans="1:2" x14ac:dyDescent="0.25">
      <c r="A291" s="40">
        <v>45854</v>
      </c>
      <c r="B291">
        <v>2962.47</v>
      </c>
    </row>
    <row r="292" spans="1:2" x14ac:dyDescent="0.25">
      <c r="A292" s="40">
        <v>45861</v>
      </c>
      <c r="B292">
        <v>3231.76</v>
      </c>
    </row>
    <row r="293" spans="1:2" x14ac:dyDescent="0.25">
      <c r="A293" s="40">
        <v>45868</v>
      </c>
      <c r="B293">
        <v>3705.07</v>
      </c>
    </row>
    <row r="294" spans="1:2" x14ac:dyDescent="0.25">
      <c r="A294" s="40">
        <v>45875</v>
      </c>
      <c r="B294">
        <v>4210.43</v>
      </c>
    </row>
    <row r="295" spans="1:2" x14ac:dyDescent="0.25">
      <c r="A295" s="40">
        <v>45882</v>
      </c>
      <c r="B295">
        <v>5043.04</v>
      </c>
    </row>
    <row r="296" spans="1:2" x14ac:dyDescent="0.25">
      <c r="A296" s="40">
        <v>45889</v>
      </c>
      <c r="B296">
        <v>5195.34</v>
      </c>
    </row>
    <row r="297" spans="1:2" x14ac:dyDescent="0.25">
      <c r="A297" s="40">
        <v>45896</v>
      </c>
      <c r="B297">
        <v>5899.98</v>
      </c>
    </row>
    <row r="298" spans="1:2" x14ac:dyDescent="0.25">
      <c r="A298" s="40">
        <v>45903</v>
      </c>
      <c r="B298">
        <v>5975.13</v>
      </c>
    </row>
    <row r="299" spans="1:2" x14ac:dyDescent="0.25">
      <c r="A299" s="40">
        <v>45910</v>
      </c>
      <c r="B299">
        <v>6722.74</v>
      </c>
    </row>
    <row r="300" spans="1:2" x14ac:dyDescent="0.25">
      <c r="A300" s="40">
        <v>45917</v>
      </c>
      <c r="B300">
        <v>7563.76</v>
      </c>
    </row>
    <row r="301" spans="1:2" x14ac:dyDescent="0.25">
      <c r="A301" s="40">
        <v>45924</v>
      </c>
      <c r="B301">
        <v>8048.56</v>
      </c>
    </row>
    <row r="302" spans="1:2" x14ac:dyDescent="0.25">
      <c r="A302" s="40">
        <v>45931</v>
      </c>
      <c r="B302">
        <v>8051.39</v>
      </c>
    </row>
    <row r="303" spans="1:2" x14ac:dyDescent="0.25">
      <c r="A303" s="40">
        <v>45938</v>
      </c>
      <c r="B303">
        <v>8074.28</v>
      </c>
    </row>
    <row r="304" spans="1:2" x14ac:dyDescent="0.25">
      <c r="A304" s="40">
        <v>45945</v>
      </c>
      <c r="B304">
        <v>8095.93</v>
      </c>
    </row>
    <row r="305" spans="1:2" x14ac:dyDescent="0.25">
      <c r="A305" s="40">
        <v>45952</v>
      </c>
      <c r="B305">
        <v>9080.01</v>
      </c>
    </row>
    <row r="306" spans="1:2" x14ac:dyDescent="0.25">
      <c r="A306" s="40">
        <v>45959</v>
      </c>
      <c r="B306">
        <v>9579.9</v>
      </c>
    </row>
    <row r="307" spans="1:2" x14ac:dyDescent="0.25">
      <c r="A307" s="40">
        <v>45966</v>
      </c>
      <c r="B307">
        <v>9409.7900000000009</v>
      </c>
    </row>
    <row r="308" spans="1:2" x14ac:dyDescent="0.25">
      <c r="A308" s="40">
        <v>45973</v>
      </c>
      <c r="B308">
        <v>9538.16</v>
      </c>
    </row>
    <row r="309" spans="1:2" x14ac:dyDescent="0.25">
      <c r="A309" s="40">
        <v>45980</v>
      </c>
      <c r="B309">
        <v>9419.26</v>
      </c>
    </row>
    <row r="310" spans="1:2" x14ac:dyDescent="0.25">
      <c r="A310" s="40">
        <v>45987</v>
      </c>
      <c r="B310">
        <v>9033.94</v>
      </c>
    </row>
    <row r="311" spans="1:2" x14ac:dyDescent="0.25">
      <c r="A311" s="40">
        <v>45994</v>
      </c>
      <c r="B311">
        <v>9371.67</v>
      </c>
    </row>
    <row r="312" spans="1:2" x14ac:dyDescent="0.25">
      <c r="A312" s="40">
        <v>46001</v>
      </c>
      <c r="B312">
        <v>8589.4599999999991</v>
      </c>
    </row>
    <row r="313" spans="1:2" x14ac:dyDescent="0.25">
      <c r="A313" s="40">
        <v>46008</v>
      </c>
      <c r="B313">
        <v>8330.93</v>
      </c>
    </row>
    <row r="314" spans="1:2" x14ac:dyDescent="0.25">
      <c r="A314" s="40">
        <v>46015</v>
      </c>
      <c r="B314">
        <v>8371.2000000000007</v>
      </c>
    </row>
    <row r="315" spans="1:2" x14ac:dyDescent="0.25">
      <c r="A315" s="40">
        <v>46022</v>
      </c>
      <c r="B315">
        <v>8373.06</v>
      </c>
    </row>
    <row r="316" spans="1:2" x14ac:dyDescent="0.25">
      <c r="A316" s="40">
        <v>46029</v>
      </c>
      <c r="B316">
        <v>7961.48</v>
      </c>
    </row>
    <row r="317" spans="1:2" x14ac:dyDescent="0.25">
      <c r="A317" s="40">
        <v>46036</v>
      </c>
      <c r="B317">
        <v>7791.75</v>
      </c>
    </row>
    <row r="318" spans="1:2" x14ac:dyDescent="0.25">
      <c r="A318" s="40">
        <v>46043</v>
      </c>
      <c r="B318">
        <v>8692.61</v>
      </c>
    </row>
    <row r="319" spans="1:2" x14ac:dyDescent="0.25">
      <c r="A319" s="40">
        <v>46050</v>
      </c>
      <c r="B319">
        <v>9230.42</v>
      </c>
    </row>
    <row r="320" spans="1:2" x14ac:dyDescent="0.25">
      <c r="A320" s="40">
        <v>46057</v>
      </c>
      <c r="B320">
        <v>9087.73</v>
      </c>
    </row>
  </sheetData>
  <phoneticPr fontId="9"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232E5-D3A4-4C4F-8804-4C72008ED3C4}">
  <dimension ref="A1:B1525"/>
  <sheetViews>
    <sheetView workbookViewId="0"/>
  </sheetViews>
  <sheetFormatPr defaultRowHeight="14.4" x14ac:dyDescent="0.25"/>
  <cols>
    <col min="1" max="1" width="12.88671875" bestFit="1" customWidth="1"/>
    <col min="2" max="2" width="14.109375" bestFit="1" customWidth="1"/>
  </cols>
  <sheetData>
    <row r="1" spans="1:2" x14ac:dyDescent="0.25">
      <c r="A1" t="s">
        <v>152</v>
      </c>
      <c r="B1" t="s">
        <v>153</v>
      </c>
    </row>
    <row r="2" spans="1:2" x14ac:dyDescent="0.25">
      <c r="A2" s="40">
        <v>43832</v>
      </c>
      <c r="B2">
        <v>3.1E-8</v>
      </c>
    </row>
    <row r="3" spans="1:2" x14ac:dyDescent="0.25">
      <c r="A3" s="40">
        <v>43833</v>
      </c>
      <c r="B3">
        <v>4.2510000000000001E-8</v>
      </c>
    </row>
    <row r="4" spans="1:2" x14ac:dyDescent="0.25">
      <c r="A4" s="40">
        <v>43836</v>
      </c>
      <c r="B4">
        <v>3.8250000000000002E-8</v>
      </c>
    </row>
    <row r="5" spans="1:2" x14ac:dyDescent="0.25">
      <c r="A5" s="40">
        <v>43837</v>
      </c>
      <c r="B5">
        <v>1.6020000000000001E-8</v>
      </c>
    </row>
    <row r="6" spans="1:2" x14ac:dyDescent="0.25">
      <c r="A6" s="40">
        <v>43838</v>
      </c>
      <c r="B6">
        <v>8.7600000000000004E-9</v>
      </c>
    </row>
    <row r="7" spans="1:2" x14ac:dyDescent="0.25">
      <c r="A7" s="40">
        <v>43839</v>
      </c>
      <c r="B7">
        <v>4.01E-9</v>
      </c>
    </row>
    <row r="8" spans="1:2" x14ac:dyDescent="0.25">
      <c r="A8" s="40">
        <v>43840</v>
      </c>
      <c r="B8">
        <v>6.2700000000000001E-9</v>
      </c>
    </row>
    <row r="9" spans="1:2" x14ac:dyDescent="0.25">
      <c r="A9" s="40">
        <v>43843</v>
      </c>
      <c r="B9">
        <v>1E-8</v>
      </c>
    </row>
    <row r="10" spans="1:2" x14ac:dyDescent="0.25">
      <c r="A10" s="40">
        <v>43844</v>
      </c>
      <c r="B10">
        <v>6.5600000000000005E-9</v>
      </c>
    </row>
    <row r="11" spans="1:2" x14ac:dyDescent="0.25">
      <c r="A11" s="40">
        <v>43845</v>
      </c>
      <c r="B11">
        <v>6.7500000000000001E-9</v>
      </c>
    </row>
    <row r="12" spans="1:2" x14ac:dyDescent="0.25">
      <c r="A12" s="40">
        <v>43846</v>
      </c>
      <c r="B12">
        <v>3E-9</v>
      </c>
    </row>
    <row r="13" spans="1:2" x14ac:dyDescent="0.25">
      <c r="A13" s="40">
        <v>43847</v>
      </c>
      <c r="B13">
        <v>1.6149999999999998E-7</v>
      </c>
    </row>
    <row r="14" spans="1:2" x14ac:dyDescent="0.25">
      <c r="A14" s="40">
        <v>43851</v>
      </c>
      <c r="B14">
        <v>1.3381000000000001E-7</v>
      </c>
    </row>
    <row r="15" spans="1:2" x14ac:dyDescent="0.25">
      <c r="A15" s="40">
        <v>43852</v>
      </c>
      <c r="B15">
        <v>1.5603999999999999E-7</v>
      </c>
    </row>
    <row r="16" spans="1:2" x14ac:dyDescent="0.25">
      <c r="A16" s="40">
        <v>43853</v>
      </c>
      <c r="B16">
        <v>1.2904E-7</v>
      </c>
    </row>
    <row r="17" spans="1:2" x14ac:dyDescent="0.25">
      <c r="A17" s="40">
        <v>43854</v>
      </c>
      <c r="B17">
        <v>0</v>
      </c>
    </row>
    <row r="18" spans="1:2" x14ac:dyDescent="0.25">
      <c r="A18" s="40">
        <v>43857</v>
      </c>
      <c r="B18">
        <v>2.0000000000000002E-11</v>
      </c>
    </row>
    <row r="19" spans="1:2" x14ac:dyDescent="0.25">
      <c r="A19" s="40">
        <v>43858</v>
      </c>
      <c r="B19">
        <v>2.0000000000000002E-11</v>
      </c>
    </row>
    <row r="20" spans="1:2" x14ac:dyDescent="0.25">
      <c r="A20" s="40">
        <v>43859</v>
      </c>
      <c r="B20">
        <v>3E-9</v>
      </c>
    </row>
    <row r="21" spans="1:2" x14ac:dyDescent="0.25">
      <c r="A21" s="40">
        <v>43860</v>
      </c>
      <c r="B21">
        <v>4.1399999999999994E-8</v>
      </c>
    </row>
    <row r="22" spans="1:2" x14ac:dyDescent="0.25">
      <c r="A22" s="40">
        <v>43861</v>
      </c>
      <c r="B22">
        <v>4.4999999999999999E-8</v>
      </c>
    </row>
    <row r="23" spans="1:2" x14ac:dyDescent="0.25">
      <c r="A23" s="40">
        <v>43864</v>
      </c>
      <c r="B23">
        <v>6.1599999999999996E-8</v>
      </c>
    </row>
    <row r="24" spans="1:2" x14ac:dyDescent="0.25">
      <c r="A24" s="40">
        <v>43865</v>
      </c>
      <c r="B24">
        <v>2.112E-8</v>
      </c>
    </row>
    <row r="25" spans="1:2" x14ac:dyDescent="0.25">
      <c r="A25" s="40">
        <v>43866</v>
      </c>
      <c r="B25">
        <v>4.112E-8</v>
      </c>
    </row>
    <row r="26" spans="1:2" x14ac:dyDescent="0.25">
      <c r="A26" s="40">
        <v>43867</v>
      </c>
      <c r="B26">
        <v>4.0300000000000004E-9</v>
      </c>
    </row>
    <row r="27" spans="1:2" x14ac:dyDescent="0.25">
      <c r="A27" s="40">
        <v>43868</v>
      </c>
      <c r="B27">
        <v>1.1000000000000001E-8</v>
      </c>
    </row>
    <row r="28" spans="1:2" x14ac:dyDescent="0.25">
      <c r="A28" s="40">
        <v>43871</v>
      </c>
      <c r="B28">
        <v>8.2999999999999999E-9</v>
      </c>
    </row>
    <row r="29" spans="1:2" x14ac:dyDescent="0.25">
      <c r="A29" s="40">
        <v>43872</v>
      </c>
      <c r="B29">
        <v>2.28E-9</v>
      </c>
    </row>
    <row r="30" spans="1:2" x14ac:dyDescent="0.25">
      <c r="A30" s="40">
        <v>43873</v>
      </c>
      <c r="B30">
        <v>3.0899999999999999E-9</v>
      </c>
    </row>
    <row r="31" spans="1:2" x14ac:dyDescent="0.25">
      <c r="A31" s="40">
        <v>43874</v>
      </c>
      <c r="B31">
        <v>4.4999999999999998E-9</v>
      </c>
    </row>
    <row r="32" spans="1:2" x14ac:dyDescent="0.25">
      <c r="A32" s="40">
        <v>43875</v>
      </c>
      <c r="B32">
        <v>0</v>
      </c>
    </row>
    <row r="33" spans="1:2" x14ac:dyDescent="0.25">
      <c r="A33" s="40">
        <v>43879</v>
      </c>
      <c r="B33">
        <v>9.4540000000000011E-8</v>
      </c>
    </row>
    <row r="34" spans="1:2" x14ac:dyDescent="0.25">
      <c r="A34" s="40">
        <v>43880</v>
      </c>
      <c r="B34">
        <v>9.5000000000000003E-10</v>
      </c>
    </row>
    <row r="35" spans="1:2" x14ac:dyDescent="0.25">
      <c r="A35" s="40">
        <v>43881</v>
      </c>
      <c r="B35">
        <v>3.5999999999999998E-8</v>
      </c>
    </row>
    <row r="36" spans="1:2" x14ac:dyDescent="0.25">
      <c r="A36" s="40">
        <v>43882</v>
      </c>
      <c r="B36">
        <v>4.5319999999999998E-8</v>
      </c>
    </row>
    <row r="37" spans="1:2" x14ac:dyDescent="0.25">
      <c r="A37" s="40">
        <v>43885</v>
      </c>
      <c r="B37">
        <v>5.9199999999999994E-9</v>
      </c>
    </row>
    <row r="38" spans="1:2" x14ac:dyDescent="0.25">
      <c r="A38" s="40">
        <v>43886</v>
      </c>
      <c r="B38">
        <v>1.1100000000000001E-9</v>
      </c>
    </row>
    <row r="39" spans="1:2" x14ac:dyDescent="0.25">
      <c r="A39" s="40">
        <v>43887</v>
      </c>
      <c r="B39">
        <v>2.2999999999999998E-8</v>
      </c>
    </row>
    <row r="40" spans="1:2" x14ac:dyDescent="0.25">
      <c r="A40" s="40">
        <v>43888</v>
      </c>
      <c r="B40">
        <v>2.7500000000000002E-9</v>
      </c>
    </row>
    <row r="41" spans="1:2" x14ac:dyDescent="0.25">
      <c r="A41" s="40">
        <v>43889</v>
      </c>
      <c r="B41">
        <v>2.187E-8</v>
      </c>
    </row>
    <row r="42" spans="1:2" x14ac:dyDescent="0.25">
      <c r="A42" s="40">
        <v>43892</v>
      </c>
      <c r="B42">
        <v>2.5249999999999998E-8</v>
      </c>
    </row>
    <row r="43" spans="1:2" x14ac:dyDescent="0.25">
      <c r="A43" s="40">
        <v>43893</v>
      </c>
      <c r="B43">
        <v>6.2700000000000001E-9</v>
      </c>
    </row>
    <row r="44" spans="1:2" x14ac:dyDescent="0.25">
      <c r="A44" s="40">
        <v>43894</v>
      </c>
      <c r="B44">
        <v>5.0250000000000003E-8</v>
      </c>
    </row>
    <row r="45" spans="1:2" x14ac:dyDescent="0.25">
      <c r="A45" s="40">
        <v>43895</v>
      </c>
      <c r="B45">
        <v>8.5E-9</v>
      </c>
    </row>
    <row r="46" spans="1:2" x14ac:dyDescent="0.25">
      <c r="A46" s="40">
        <v>43896</v>
      </c>
      <c r="B46">
        <v>2.9300000000000001E-8</v>
      </c>
    </row>
    <row r="47" spans="1:2" x14ac:dyDescent="0.25">
      <c r="A47" s="40">
        <v>43899</v>
      </c>
      <c r="B47">
        <v>2.5040000000000001E-8</v>
      </c>
    </row>
    <row r="48" spans="1:2" x14ac:dyDescent="0.25">
      <c r="A48" s="40">
        <v>43900</v>
      </c>
      <c r="B48">
        <v>1.51E-9</v>
      </c>
    </row>
    <row r="49" spans="1:2" x14ac:dyDescent="0.25">
      <c r="A49" s="40">
        <v>43901</v>
      </c>
      <c r="B49">
        <v>1.325E-8</v>
      </c>
    </row>
    <row r="50" spans="1:2" x14ac:dyDescent="0.25">
      <c r="A50" s="40">
        <v>43902</v>
      </c>
      <c r="B50">
        <v>2.1050000000000001E-7</v>
      </c>
    </row>
    <row r="51" spans="1:2" x14ac:dyDescent="0.25">
      <c r="A51" s="40">
        <v>43903</v>
      </c>
      <c r="B51">
        <v>1.5099999999999999E-7</v>
      </c>
    </row>
    <row r="52" spans="1:2" x14ac:dyDescent="0.25">
      <c r="A52" s="40">
        <v>43906</v>
      </c>
      <c r="B52">
        <v>1.425E-8</v>
      </c>
    </row>
    <row r="53" spans="1:2" x14ac:dyDescent="0.25">
      <c r="A53" s="40">
        <v>43907</v>
      </c>
      <c r="B53">
        <v>5.7000000000000001E-8</v>
      </c>
    </row>
    <row r="54" spans="1:2" x14ac:dyDescent="0.25">
      <c r="A54" s="40">
        <v>43908</v>
      </c>
      <c r="B54">
        <v>4.7699999999999999E-9</v>
      </c>
    </row>
    <row r="55" spans="1:2" x14ac:dyDescent="0.25">
      <c r="A55" s="40">
        <v>43909</v>
      </c>
      <c r="B55">
        <v>1.1950000000000001E-8</v>
      </c>
    </row>
    <row r="56" spans="1:2" x14ac:dyDescent="0.25">
      <c r="A56" s="40">
        <v>43910</v>
      </c>
      <c r="B56">
        <v>1.2202999999999999E-7</v>
      </c>
    </row>
    <row r="57" spans="1:2" x14ac:dyDescent="0.25">
      <c r="A57" s="40">
        <v>43913</v>
      </c>
      <c r="B57">
        <v>2.6944000000000001E-7</v>
      </c>
    </row>
    <row r="58" spans="1:2" x14ac:dyDescent="0.25">
      <c r="A58" s="40">
        <v>43914</v>
      </c>
      <c r="B58">
        <v>4.1515999999999997E-7</v>
      </c>
    </row>
    <row r="59" spans="1:2" x14ac:dyDescent="0.25">
      <c r="A59" s="40">
        <v>43915</v>
      </c>
      <c r="B59">
        <v>9.7410999999999998E-7</v>
      </c>
    </row>
    <row r="60" spans="1:2" x14ac:dyDescent="0.25">
      <c r="A60" s="40">
        <v>43916</v>
      </c>
      <c r="B60">
        <v>1.3847999999999999E-6</v>
      </c>
    </row>
    <row r="61" spans="1:2" x14ac:dyDescent="0.25">
      <c r="A61" s="40">
        <v>43917</v>
      </c>
      <c r="B61">
        <v>2.10794E-6</v>
      </c>
    </row>
    <row r="62" spans="1:2" x14ac:dyDescent="0.25">
      <c r="A62" s="40">
        <v>43920</v>
      </c>
      <c r="B62">
        <v>2.3749700000000001E-6</v>
      </c>
    </row>
    <row r="63" spans="1:2" x14ac:dyDescent="0.25">
      <c r="A63" s="40">
        <v>43921</v>
      </c>
      <c r="B63">
        <v>2.8490800000000003E-6</v>
      </c>
    </row>
    <row r="64" spans="1:2" x14ac:dyDescent="0.25">
      <c r="A64" s="40">
        <v>43922</v>
      </c>
      <c r="B64">
        <v>2.0782799999999999E-6</v>
      </c>
    </row>
    <row r="65" spans="1:2" x14ac:dyDescent="0.25">
      <c r="A65" s="40">
        <v>43923</v>
      </c>
      <c r="B65">
        <v>1.82627E-6</v>
      </c>
    </row>
    <row r="66" spans="1:2" x14ac:dyDescent="0.25">
      <c r="A66" s="40">
        <v>43924</v>
      </c>
      <c r="B66">
        <v>1.4811699999999999E-6</v>
      </c>
    </row>
    <row r="67" spans="1:2" x14ac:dyDescent="0.25">
      <c r="A67" s="40">
        <v>43927</v>
      </c>
      <c r="B67">
        <v>1.44294E-6</v>
      </c>
    </row>
    <row r="68" spans="1:2" x14ac:dyDescent="0.25">
      <c r="A68" s="40">
        <v>43928</v>
      </c>
      <c r="B68">
        <v>8.836E-7</v>
      </c>
    </row>
    <row r="69" spans="1:2" x14ac:dyDescent="0.25">
      <c r="A69" s="40">
        <v>43929</v>
      </c>
      <c r="B69">
        <v>5.3482999999999993E-7</v>
      </c>
    </row>
    <row r="70" spans="1:2" x14ac:dyDescent="0.25">
      <c r="A70" s="40">
        <v>43930</v>
      </c>
      <c r="B70">
        <v>5.5250000000000002E-8</v>
      </c>
    </row>
    <row r="71" spans="1:2" x14ac:dyDescent="0.25">
      <c r="A71" s="40">
        <v>43934</v>
      </c>
      <c r="B71">
        <v>6.099999999999999E-8</v>
      </c>
    </row>
    <row r="72" spans="1:2" x14ac:dyDescent="0.25">
      <c r="A72" s="40">
        <v>43935</v>
      </c>
      <c r="B72">
        <v>9.9E-8</v>
      </c>
    </row>
    <row r="73" spans="1:2" x14ac:dyDescent="0.25">
      <c r="A73" s="40">
        <v>43936</v>
      </c>
      <c r="B73">
        <v>3.1499999999999998E-8</v>
      </c>
    </row>
    <row r="74" spans="1:2" x14ac:dyDescent="0.25">
      <c r="A74" s="40">
        <v>43937</v>
      </c>
      <c r="B74">
        <v>1.5249999999999998E-8</v>
      </c>
    </row>
    <row r="75" spans="1:2" x14ac:dyDescent="0.25">
      <c r="A75" s="40">
        <v>43938</v>
      </c>
      <c r="B75">
        <v>1.726E-8</v>
      </c>
    </row>
    <row r="76" spans="1:2" x14ac:dyDescent="0.25">
      <c r="A76" s="40">
        <v>43941</v>
      </c>
      <c r="B76">
        <v>3.1E-7</v>
      </c>
    </row>
    <row r="77" spans="1:2" x14ac:dyDescent="0.25">
      <c r="A77" s="40">
        <v>43942</v>
      </c>
      <c r="B77">
        <v>1.2527999999999999E-7</v>
      </c>
    </row>
    <row r="78" spans="1:2" x14ac:dyDescent="0.25">
      <c r="A78" s="40">
        <v>43943</v>
      </c>
      <c r="B78">
        <v>1.0824999999999999E-7</v>
      </c>
    </row>
    <row r="79" spans="1:2" x14ac:dyDescent="0.25">
      <c r="A79" s="40">
        <v>43944</v>
      </c>
      <c r="B79">
        <v>1.4499999999999999E-8</v>
      </c>
    </row>
    <row r="80" spans="1:2" x14ac:dyDescent="0.25">
      <c r="A80" s="40">
        <v>43945</v>
      </c>
      <c r="B80">
        <v>1.4999999999999999E-8</v>
      </c>
    </row>
    <row r="81" spans="1:2" x14ac:dyDescent="0.25">
      <c r="A81" s="40">
        <v>43948</v>
      </c>
      <c r="B81">
        <v>1.6476E-7</v>
      </c>
    </row>
    <row r="82" spans="1:2" x14ac:dyDescent="0.25">
      <c r="A82" s="40">
        <v>43949</v>
      </c>
      <c r="B82">
        <v>7.1310000000000008E-8</v>
      </c>
    </row>
    <row r="83" spans="1:2" x14ac:dyDescent="0.25">
      <c r="A83" s="40">
        <v>43950</v>
      </c>
      <c r="B83">
        <v>1.4499999999999999E-8</v>
      </c>
    </row>
    <row r="84" spans="1:2" x14ac:dyDescent="0.25">
      <c r="A84" s="40">
        <v>43951</v>
      </c>
      <c r="B84">
        <v>1.775E-8</v>
      </c>
    </row>
    <row r="85" spans="1:2" x14ac:dyDescent="0.25">
      <c r="A85" s="40">
        <v>43952</v>
      </c>
      <c r="B85">
        <v>2.5099999999999998E-9</v>
      </c>
    </row>
    <row r="86" spans="1:2" x14ac:dyDescent="0.25">
      <c r="A86" s="40">
        <v>43955</v>
      </c>
      <c r="B86">
        <v>4.8499999999999998E-8</v>
      </c>
    </row>
    <row r="87" spans="1:2" x14ac:dyDescent="0.25">
      <c r="A87" s="40">
        <v>43956</v>
      </c>
      <c r="B87">
        <v>1.925E-8</v>
      </c>
    </row>
    <row r="88" spans="1:2" x14ac:dyDescent="0.25">
      <c r="A88" s="40">
        <v>43957</v>
      </c>
      <c r="B88">
        <v>1.1750000000000001E-8</v>
      </c>
    </row>
    <row r="89" spans="1:2" x14ac:dyDescent="0.25">
      <c r="A89" s="40">
        <v>43958</v>
      </c>
      <c r="B89">
        <v>9.8199999999999996E-9</v>
      </c>
    </row>
    <row r="90" spans="1:2" x14ac:dyDescent="0.25">
      <c r="A90" s="40">
        <v>43959</v>
      </c>
      <c r="B90">
        <v>6.8000000000000005E-9</v>
      </c>
    </row>
    <row r="91" spans="1:2" x14ac:dyDescent="0.25">
      <c r="A91" s="40">
        <v>43962</v>
      </c>
      <c r="B91">
        <v>1.2299999999999999E-9</v>
      </c>
    </row>
    <row r="92" spans="1:2" x14ac:dyDescent="0.25">
      <c r="A92" s="40">
        <v>43963</v>
      </c>
      <c r="B92">
        <v>8.2499999999999994E-9</v>
      </c>
    </row>
    <row r="93" spans="1:2" x14ac:dyDescent="0.25">
      <c r="A93" s="40">
        <v>43964</v>
      </c>
      <c r="B93">
        <v>1.3824999999999998E-7</v>
      </c>
    </row>
    <row r="94" spans="1:2" x14ac:dyDescent="0.25">
      <c r="A94" s="40">
        <v>43965</v>
      </c>
      <c r="B94">
        <v>1.3300000000000002E-9</v>
      </c>
    </row>
    <row r="95" spans="1:2" x14ac:dyDescent="0.25">
      <c r="A95" s="40">
        <v>43966</v>
      </c>
      <c r="B95">
        <v>1.1499999999999999E-8</v>
      </c>
    </row>
    <row r="96" spans="1:2" x14ac:dyDescent="0.25">
      <c r="A96" s="40">
        <v>43969</v>
      </c>
      <c r="B96">
        <v>5.7799999999999995E-9</v>
      </c>
    </row>
    <row r="97" spans="1:2" x14ac:dyDescent="0.25">
      <c r="A97" s="40">
        <v>43970</v>
      </c>
      <c r="B97">
        <v>8.9999999999999999E-10</v>
      </c>
    </row>
    <row r="98" spans="1:2" x14ac:dyDescent="0.25">
      <c r="A98" s="40">
        <v>43971</v>
      </c>
      <c r="B98">
        <v>9.7260000000000012E-8</v>
      </c>
    </row>
    <row r="99" spans="1:2" x14ac:dyDescent="0.25">
      <c r="A99" s="40">
        <v>43972</v>
      </c>
      <c r="B99">
        <v>3E-11</v>
      </c>
    </row>
    <row r="100" spans="1:2" x14ac:dyDescent="0.25">
      <c r="A100" s="40">
        <v>43973</v>
      </c>
      <c r="B100">
        <v>1.0000000000000001E-11</v>
      </c>
    </row>
    <row r="101" spans="1:2" x14ac:dyDescent="0.25">
      <c r="A101" s="40">
        <v>43977</v>
      </c>
      <c r="B101">
        <v>1.0000000000000001E-11</v>
      </c>
    </row>
    <row r="102" spans="1:2" x14ac:dyDescent="0.25">
      <c r="A102" s="40">
        <v>43978</v>
      </c>
      <c r="B102">
        <v>4.3259999999999998E-8</v>
      </c>
    </row>
    <row r="103" spans="1:2" x14ac:dyDescent="0.25">
      <c r="A103" s="40">
        <v>43979</v>
      </c>
      <c r="B103">
        <v>0</v>
      </c>
    </row>
    <row r="104" spans="1:2" x14ac:dyDescent="0.25">
      <c r="A104" s="40">
        <v>43980</v>
      </c>
      <c r="B104">
        <v>1.325E-8</v>
      </c>
    </row>
    <row r="105" spans="1:2" x14ac:dyDescent="0.25">
      <c r="A105" s="40">
        <v>43983</v>
      </c>
      <c r="B105">
        <v>0</v>
      </c>
    </row>
    <row r="106" spans="1:2" x14ac:dyDescent="0.25">
      <c r="A106" s="40">
        <v>43984</v>
      </c>
      <c r="B106">
        <v>2.0129999999999999E-8</v>
      </c>
    </row>
    <row r="107" spans="1:2" x14ac:dyDescent="0.25">
      <c r="A107" s="40">
        <v>43985</v>
      </c>
      <c r="B107">
        <v>1.2999999999999999E-10</v>
      </c>
    </row>
    <row r="108" spans="1:2" x14ac:dyDescent="0.25">
      <c r="A108" s="40">
        <v>43986</v>
      </c>
      <c r="B108">
        <v>0</v>
      </c>
    </row>
    <row r="109" spans="1:2" x14ac:dyDescent="0.25">
      <c r="A109" s="40">
        <v>43987</v>
      </c>
      <c r="B109">
        <v>0</v>
      </c>
    </row>
    <row r="110" spans="1:2" x14ac:dyDescent="0.25">
      <c r="A110" s="40">
        <v>43990</v>
      </c>
      <c r="B110">
        <v>0</v>
      </c>
    </row>
    <row r="111" spans="1:2" x14ac:dyDescent="0.25">
      <c r="A111" s="40">
        <v>43991</v>
      </c>
      <c r="B111">
        <v>1.2520000000000001E-8</v>
      </c>
    </row>
    <row r="112" spans="1:2" x14ac:dyDescent="0.25">
      <c r="A112" s="40">
        <v>43992</v>
      </c>
      <c r="B112">
        <v>1.2E-10</v>
      </c>
    </row>
    <row r="113" spans="1:2" x14ac:dyDescent="0.25">
      <c r="A113" s="40">
        <v>43993</v>
      </c>
      <c r="B113">
        <v>3.7499999999999997E-9</v>
      </c>
    </row>
    <row r="114" spans="1:2" x14ac:dyDescent="0.25">
      <c r="A114" s="40">
        <v>43994</v>
      </c>
      <c r="B114">
        <v>0</v>
      </c>
    </row>
    <row r="115" spans="1:2" x14ac:dyDescent="0.25">
      <c r="A115" s="40">
        <v>43997</v>
      </c>
      <c r="B115">
        <v>3E-11</v>
      </c>
    </row>
    <row r="116" spans="1:2" x14ac:dyDescent="0.25">
      <c r="A116" s="40">
        <v>43998</v>
      </c>
      <c r="B116">
        <v>4.0000000000000001E-8</v>
      </c>
    </row>
    <row r="117" spans="1:2" x14ac:dyDescent="0.25">
      <c r="A117" s="40">
        <v>43999</v>
      </c>
      <c r="B117">
        <v>1.0000000000000001E-11</v>
      </c>
    </row>
    <row r="118" spans="1:2" x14ac:dyDescent="0.25">
      <c r="A118" s="40">
        <v>44000</v>
      </c>
      <c r="B118">
        <v>1.0000000000000001E-11</v>
      </c>
    </row>
    <row r="119" spans="1:2" x14ac:dyDescent="0.25">
      <c r="A119" s="40">
        <v>44001</v>
      </c>
      <c r="B119">
        <v>1.0000000000000001E-11</v>
      </c>
    </row>
    <row r="120" spans="1:2" x14ac:dyDescent="0.25">
      <c r="A120" s="40">
        <v>44004</v>
      </c>
      <c r="B120">
        <v>1E-10</v>
      </c>
    </row>
    <row r="121" spans="1:2" x14ac:dyDescent="0.25">
      <c r="A121" s="40">
        <v>44005</v>
      </c>
      <c r="B121">
        <v>1.0999999999999999E-10</v>
      </c>
    </row>
    <row r="122" spans="1:2" x14ac:dyDescent="0.25">
      <c r="A122" s="40">
        <v>44006</v>
      </c>
      <c r="B122">
        <v>1.0000000000000001E-11</v>
      </c>
    </row>
    <row r="123" spans="1:2" x14ac:dyDescent="0.25">
      <c r="A123" s="40">
        <v>44007</v>
      </c>
      <c r="B123">
        <v>1.0000000000000001E-11</v>
      </c>
    </row>
    <row r="124" spans="1:2" x14ac:dyDescent="0.25">
      <c r="A124" s="40">
        <v>44008</v>
      </c>
      <c r="B124">
        <v>2.0000000000000001E-9</v>
      </c>
    </row>
    <row r="125" spans="1:2" x14ac:dyDescent="0.25">
      <c r="A125" s="40">
        <v>44011</v>
      </c>
      <c r="B125">
        <v>2.5000000000000001E-9</v>
      </c>
    </row>
    <row r="126" spans="1:2" x14ac:dyDescent="0.25">
      <c r="A126" s="40">
        <v>44012</v>
      </c>
      <c r="B126">
        <v>9.499999999999999E-9</v>
      </c>
    </row>
    <row r="127" spans="1:2" x14ac:dyDescent="0.25">
      <c r="A127" s="40">
        <v>44013</v>
      </c>
      <c r="B127">
        <v>2.0000000000000002E-11</v>
      </c>
    </row>
    <row r="128" spans="1:2" x14ac:dyDescent="0.25">
      <c r="A128" s="40">
        <v>44014</v>
      </c>
      <c r="B128">
        <v>0</v>
      </c>
    </row>
    <row r="129" spans="1:2" x14ac:dyDescent="0.25">
      <c r="A129" s="40">
        <v>44018</v>
      </c>
      <c r="B129">
        <v>0</v>
      </c>
    </row>
    <row r="130" spans="1:2" x14ac:dyDescent="0.25">
      <c r="A130" s="40">
        <v>44019</v>
      </c>
      <c r="B130">
        <v>3E-11</v>
      </c>
    </row>
    <row r="131" spans="1:2" x14ac:dyDescent="0.25">
      <c r="A131" s="40">
        <v>44020</v>
      </c>
      <c r="B131">
        <v>1.0000000000000001E-11</v>
      </c>
    </row>
    <row r="132" spans="1:2" x14ac:dyDescent="0.25">
      <c r="A132" s="40">
        <v>44021</v>
      </c>
      <c r="B132">
        <v>0</v>
      </c>
    </row>
    <row r="133" spans="1:2" x14ac:dyDescent="0.25">
      <c r="A133" s="40">
        <v>44022</v>
      </c>
      <c r="B133">
        <v>0</v>
      </c>
    </row>
    <row r="134" spans="1:2" x14ac:dyDescent="0.25">
      <c r="A134" s="40">
        <v>44025</v>
      </c>
      <c r="B134">
        <v>1.0000000000000001E-11</v>
      </c>
    </row>
    <row r="135" spans="1:2" x14ac:dyDescent="0.25">
      <c r="A135" s="40">
        <v>44026</v>
      </c>
      <c r="B135">
        <v>1.0000000000000001E-11</v>
      </c>
    </row>
    <row r="136" spans="1:2" x14ac:dyDescent="0.25">
      <c r="A136" s="40">
        <v>44027</v>
      </c>
      <c r="B136">
        <v>1.0000000000000001E-11</v>
      </c>
    </row>
    <row r="137" spans="1:2" x14ac:dyDescent="0.25">
      <c r="A137" s="40">
        <v>44028</v>
      </c>
      <c r="B137">
        <v>1.0000000000000001E-11</v>
      </c>
    </row>
    <row r="138" spans="1:2" x14ac:dyDescent="0.25">
      <c r="A138" s="40">
        <v>44029</v>
      </c>
      <c r="B138">
        <v>0</v>
      </c>
    </row>
    <row r="139" spans="1:2" x14ac:dyDescent="0.25">
      <c r="A139" s="40">
        <v>44032</v>
      </c>
      <c r="B139">
        <v>3E-11</v>
      </c>
    </row>
    <row r="140" spans="1:2" x14ac:dyDescent="0.25">
      <c r="A140" s="40">
        <v>44033</v>
      </c>
      <c r="B140">
        <v>0</v>
      </c>
    </row>
    <row r="141" spans="1:2" x14ac:dyDescent="0.25">
      <c r="A141" s="40">
        <v>44034</v>
      </c>
      <c r="B141">
        <v>0</v>
      </c>
    </row>
    <row r="142" spans="1:2" x14ac:dyDescent="0.25">
      <c r="A142" s="40">
        <v>44035</v>
      </c>
      <c r="B142">
        <v>0</v>
      </c>
    </row>
    <row r="143" spans="1:2" x14ac:dyDescent="0.25">
      <c r="A143" s="40">
        <v>44036</v>
      </c>
      <c r="B143">
        <v>0</v>
      </c>
    </row>
    <row r="144" spans="1:2" x14ac:dyDescent="0.25">
      <c r="A144" s="40">
        <v>44039</v>
      </c>
      <c r="B144">
        <v>0</v>
      </c>
    </row>
    <row r="145" spans="1:2" x14ac:dyDescent="0.25">
      <c r="A145" s="40">
        <v>44040</v>
      </c>
      <c r="B145">
        <v>0</v>
      </c>
    </row>
    <row r="146" spans="1:2" x14ac:dyDescent="0.25">
      <c r="A146" s="40">
        <v>44041</v>
      </c>
      <c r="B146">
        <v>1.0000000000000001E-11</v>
      </c>
    </row>
    <row r="147" spans="1:2" x14ac:dyDescent="0.25">
      <c r="A147" s="40">
        <v>44042</v>
      </c>
      <c r="B147">
        <v>3.0699999999999999E-9</v>
      </c>
    </row>
    <row r="148" spans="1:2" x14ac:dyDescent="0.25">
      <c r="A148" s="40">
        <v>44043</v>
      </c>
      <c r="B148">
        <v>1.5E-9</v>
      </c>
    </row>
    <row r="149" spans="1:2" x14ac:dyDescent="0.25">
      <c r="A149" s="40">
        <v>44046</v>
      </c>
      <c r="B149">
        <v>0</v>
      </c>
    </row>
    <row r="150" spans="1:2" x14ac:dyDescent="0.25">
      <c r="A150" s="40">
        <v>44047</v>
      </c>
      <c r="B150">
        <v>5.0000000000000002E-11</v>
      </c>
    </row>
    <row r="151" spans="1:2" x14ac:dyDescent="0.25">
      <c r="A151" s="40">
        <v>44048</v>
      </c>
      <c r="B151">
        <v>0</v>
      </c>
    </row>
    <row r="152" spans="1:2" x14ac:dyDescent="0.25">
      <c r="A152" s="40">
        <v>44049</v>
      </c>
      <c r="B152">
        <v>0</v>
      </c>
    </row>
    <row r="153" spans="1:2" x14ac:dyDescent="0.25">
      <c r="A153" s="40">
        <v>44050</v>
      </c>
      <c r="B153">
        <v>0</v>
      </c>
    </row>
    <row r="154" spans="1:2" x14ac:dyDescent="0.25">
      <c r="A154" s="40">
        <v>44053</v>
      </c>
      <c r="B154">
        <v>8.0000000000000008E-11</v>
      </c>
    </row>
    <row r="155" spans="1:2" x14ac:dyDescent="0.25">
      <c r="A155" s="40">
        <v>44054</v>
      </c>
      <c r="B155">
        <v>0</v>
      </c>
    </row>
    <row r="156" spans="1:2" x14ac:dyDescent="0.25">
      <c r="A156" s="40">
        <v>44055</v>
      </c>
      <c r="B156">
        <v>1.03E-9</v>
      </c>
    </row>
    <row r="157" spans="1:2" x14ac:dyDescent="0.25">
      <c r="A157" s="40">
        <v>44056</v>
      </c>
      <c r="B157">
        <v>1.26E-9</v>
      </c>
    </row>
    <row r="158" spans="1:2" x14ac:dyDescent="0.25">
      <c r="A158" s="40">
        <v>44057</v>
      </c>
      <c r="B158">
        <v>1.0000000000000001E-11</v>
      </c>
    </row>
    <row r="159" spans="1:2" x14ac:dyDescent="0.25">
      <c r="A159" s="40">
        <v>44060</v>
      </c>
      <c r="B159">
        <v>5.4E-10</v>
      </c>
    </row>
    <row r="160" spans="1:2" x14ac:dyDescent="0.25">
      <c r="A160" s="40">
        <v>44061</v>
      </c>
      <c r="B160">
        <v>2.0000000000000002E-11</v>
      </c>
    </row>
    <row r="161" spans="1:2" x14ac:dyDescent="0.25">
      <c r="A161" s="40">
        <v>44062</v>
      </c>
      <c r="B161">
        <v>1.1200000000000001E-9</v>
      </c>
    </row>
    <row r="162" spans="1:2" x14ac:dyDescent="0.25">
      <c r="A162" s="40">
        <v>44063</v>
      </c>
      <c r="B162">
        <v>1.5E-9</v>
      </c>
    </row>
    <row r="163" spans="1:2" x14ac:dyDescent="0.25">
      <c r="A163" s="40">
        <v>44064</v>
      </c>
      <c r="B163">
        <v>0</v>
      </c>
    </row>
    <row r="164" spans="1:2" x14ac:dyDescent="0.25">
      <c r="A164" s="40">
        <v>44067</v>
      </c>
      <c r="B164">
        <v>0</v>
      </c>
    </row>
    <row r="165" spans="1:2" x14ac:dyDescent="0.25">
      <c r="A165" s="40">
        <v>44068</v>
      </c>
      <c r="B165">
        <v>1.2E-10</v>
      </c>
    </row>
    <row r="166" spans="1:2" x14ac:dyDescent="0.25">
      <c r="A166" s="40">
        <v>44069</v>
      </c>
      <c r="B166">
        <v>8.9999999999999999E-11</v>
      </c>
    </row>
    <row r="167" spans="1:2" x14ac:dyDescent="0.25">
      <c r="A167" s="40">
        <v>44070</v>
      </c>
      <c r="B167">
        <v>2.0000000000000002E-11</v>
      </c>
    </row>
    <row r="168" spans="1:2" x14ac:dyDescent="0.25">
      <c r="A168" s="40">
        <v>44071</v>
      </c>
      <c r="B168">
        <v>0</v>
      </c>
    </row>
    <row r="169" spans="1:2" x14ac:dyDescent="0.25">
      <c r="A169" s="40">
        <v>44074</v>
      </c>
      <c r="B169">
        <v>1.0999999999999999E-10</v>
      </c>
    </row>
    <row r="170" spans="1:2" x14ac:dyDescent="0.25">
      <c r="A170" s="40">
        <v>44075</v>
      </c>
      <c r="B170">
        <v>8.0000000000000008E-11</v>
      </c>
    </row>
    <row r="171" spans="1:2" x14ac:dyDescent="0.25">
      <c r="A171" s="40">
        <v>44076</v>
      </c>
      <c r="B171">
        <v>1.4000000000000001E-10</v>
      </c>
    </row>
    <row r="172" spans="1:2" x14ac:dyDescent="0.25">
      <c r="A172" s="40">
        <v>44077</v>
      </c>
      <c r="B172">
        <v>0</v>
      </c>
    </row>
    <row r="173" spans="1:2" x14ac:dyDescent="0.25">
      <c r="A173" s="40">
        <v>44078</v>
      </c>
      <c r="B173">
        <v>0</v>
      </c>
    </row>
    <row r="174" spans="1:2" x14ac:dyDescent="0.25">
      <c r="A174" s="40">
        <v>44082</v>
      </c>
      <c r="B174">
        <v>0</v>
      </c>
    </row>
    <row r="175" spans="1:2" x14ac:dyDescent="0.25">
      <c r="A175" s="40">
        <v>44083</v>
      </c>
      <c r="B175">
        <v>1.0000000000000001E-11</v>
      </c>
    </row>
    <row r="176" spans="1:2" x14ac:dyDescent="0.25">
      <c r="A176" s="40">
        <v>44084</v>
      </c>
      <c r="B176">
        <v>1E-10</v>
      </c>
    </row>
    <row r="177" spans="1:2" x14ac:dyDescent="0.25">
      <c r="A177" s="40">
        <v>44085</v>
      </c>
      <c r="B177">
        <v>0</v>
      </c>
    </row>
    <row r="178" spans="1:2" x14ac:dyDescent="0.25">
      <c r="A178" s="40">
        <v>44088</v>
      </c>
      <c r="B178">
        <v>1.0000000000000001E-11</v>
      </c>
    </row>
    <row r="179" spans="1:2" x14ac:dyDescent="0.25">
      <c r="A179" s="40">
        <v>44089</v>
      </c>
      <c r="B179">
        <v>2.0000000000000002E-11</v>
      </c>
    </row>
    <row r="180" spans="1:2" x14ac:dyDescent="0.25">
      <c r="A180" s="40">
        <v>44090</v>
      </c>
      <c r="B180">
        <v>5.4999999999999996E-10</v>
      </c>
    </row>
    <row r="181" spans="1:2" x14ac:dyDescent="0.25">
      <c r="A181" s="40">
        <v>44091</v>
      </c>
      <c r="B181">
        <v>1.0000000000000001E-11</v>
      </c>
    </row>
    <row r="182" spans="1:2" x14ac:dyDescent="0.25">
      <c r="A182" s="40">
        <v>44092</v>
      </c>
      <c r="B182">
        <v>0</v>
      </c>
    </row>
    <row r="183" spans="1:2" x14ac:dyDescent="0.25">
      <c r="A183" s="40">
        <v>44095</v>
      </c>
      <c r="B183">
        <v>5.4E-10</v>
      </c>
    </row>
    <row r="184" spans="1:2" x14ac:dyDescent="0.25">
      <c r="A184" s="40">
        <v>44096</v>
      </c>
      <c r="B184">
        <v>0</v>
      </c>
    </row>
    <row r="185" spans="1:2" x14ac:dyDescent="0.25">
      <c r="A185" s="40">
        <v>44097</v>
      </c>
      <c r="B185">
        <v>1.0000000000000001E-11</v>
      </c>
    </row>
    <row r="186" spans="1:2" x14ac:dyDescent="0.25">
      <c r="A186" s="40">
        <v>44098</v>
      </c>
      <c r="B186">
        <v>4.0000000000000004E-11</v>
      </c>
    </row>
    <row r="187" spans="1:2" x14ac:dyDescent="0.25">
      <c r="A187" s="40">
        <v>44099</v>
      </c>
      <c r="B187">
        <v>0</v>
      </c>
    </row>
    <row r="188" spans="1:2" x14ac:dyDescent="0.25">
      <c r="A188" s="40">
        <v>44102</v>
      </c>
      <c r="B188">
        <v>0</v>
      </c>
    </row>
    <row r="189" spans="1:2" x14ac:dyDescent="0.25">
      <c r="A189" s="40">
        <v>44103</v>
      </c>
      <c r="B189">
        <v>1.3009999999999999E-8</v>
      </c>
    </row>
    <row r="190" spans="1:2" x14ac:dyDescent="0.25">
      <c r="A190" s="40">
        <v>44104</v>
      </c>
      <c r="B190">
        <v>8.5E-9</v>
      </c>
    </row>
    <row r="191" spans="1:2" x14ac:dyDescent="0.25">
      <c r="A191" s="40">
        <v>44105</v>
      </c>
      <c r="B191">
        <v>1.0000000000000001E-11</v>
      </c>
    </row>
    <row r="192" spans="1:2" x14ac:dyDescent="0.25">
      <c r="A192" s="40">
        <v>44106</v>
      </c>
      <c r="B192">
        <v>0</v>
      </c>
    </row>
    <row r="193" spans="1:2" x14ac:dyDescent="0.25">
      <c r="A193" s="40">
        <v>44109</v>
      </c>
      <c r="B193">
        <v>0</v>
      </c>
    </row>
    <row r="194" spans="1:2" x14ac:dyDescent="0.25">
      <c r="A194" s="40">
        <v>44110</v>
      </c>
      <c r="B194">
        <v>0</v>
      </c>
    </row>
    <row r="195" spans="1:2" x14ac:dyDescent="0.25">
      <c r="A195" s="40">
        <v>44111</v>
      </c>
      <c r="B195">
        <v>1.0999999999999999E-10</v>
      </c>
    </row>
    <row r="196" spans="1:2" x14ac:dyDescent="0.25">
      <c r="A196" s="40">
        <v>44112</v>
      </c>
      <c r="B196">
        <v>2.1200000000000001E-9</v>
      </c>
    </row>
    <row r="197" spans="1:2" x14ac:dyDescent="0.25">
      <c r="A197" s="40">
        <v>44113</v>
      </c>
      <c r="B197">
        <v>0</v>
      </c>
    </row>
    <row r="198" spans="1:2" x14ac:dyDescent="0.25">
      <c r="A198" s="40">
        <v>44117</v>
      </c>
      <c r="B198">
        <v>0</v>
      </c>
    </row>
    <row r="199" spans="1:2" x14ac:dyDescent="0.25">
      <c r="A199" s="40">
        <v>44118</v>
      </c>
      <c r="B199">
        <v>0</v>
      </c>
    </row>
    <row r="200" spans="1:2" x14ac:dyDescent="0.25">
      <c r="A200" s="40">
        <v>44119</v>
      </c>
      <c r="B200">
        <v>1.0000000000000001E-11</v>
      </c>
    </row>
    <row r="201" spans="1:2" x14ac:dyDescent="0.25">
      <c r="A201" s="40">
        <v>44120</v>
      </c>
      <c r="B201">
        <v>2.0000000000000002E-11</v>
      </c>
    </row>
    <row r="202" spans="1:2" x14ac:dyDescent="0.25">
      <c r="A202" s="40">
        <v>44123</v>
      </c>
      <c r="B202">
        <v>4.0000000000000004E-11</v>
      </c>
    </row>
    <row r="203" spans="1:2" x14ac:dyDescent="0.25">
      <c r="A203" s="40">
        <v>44124</v>
      </c>
      <c r="B203">
        <v>7.0000000000000004E-11</v>
      </c>
    </row>
    <row r="204" spans="1:2" x14ac:dyDescent="0.25">
      <c r="A204" s="40">
        <v>44125</v>
      </c>
      <c r="B204">
        <v>0</v>
      </c>
    </row>
    <row r="205" spans="1:2" x14ac:dyDescent="0.25">
      <c r="A205" s="40">
        <v>44126</v>
      </c>
      <c r="B205">
        <v>1.0000000000000001E-11</v>
      </c>
    </row>
    <row r="206" spans="1:2" x14ac:dyDescent="0.25">
      <c r="A206" s="40">
        <v>44127</v>
      </c>
      <c r="B206">
        <v>0</v>
      </c>
    </row>
    <row r="207" spans="1:2" x14ac:dyDescent="0.25">
      <c r="A207" s="40">
        <v>44130</v>
      </c>
      <c r="B207">
        <v>1.0000000000000001E-11</v>
      </c>
    </row>
    <row r="208" spans="1:2" x14ac:dyDescent="0.25">
      <c r="A208" s="40">
        <v>44131</v>
      </c>
      <c r="B208">
        <v>0</v>
      </c>
    </row>
    <row r="209" spans="1:2" x14ac:dyDescent="0.25">
      <c r="A209" s="40">
        <v>44132</v>
      </c>
      <c r="B209">
        <v>5.0000000000000002E-11</v>
      </c>
    </row>
    <row r="210" spans="1:2" x14ac:dyDescent="0.25">
      <c r="A210" s="40">
        <v>44133</v>
      </c>
      <c r="B210">
        <v>1.4000000000000001E-10</v>
      </c>
    </row>
    <row r="211" spans="1:2" x14ac:dyDescent="0.25">
      <c r="A211" s="40">
        <v>44134</v>
      </c>
      <c r="B211">
        <v>1.0000000000000001E-11</v>
      </c>
    </row>
    <row r="212" spans="1:2" x14ac:dyDescent="0.25">
      <c r="A212" s="40">
        <v>44137</v>
      </c>
      <c r="B212">
        <v>0</v>
      </c>
    </row>
    <row r="213" spans="1:2" x14ac:dyDescent="0.25">
      <c r="A213" s="40">
        <v>44138</v>
      </c>
      <c r="B213">
        <v>0</v>
      </c>
    </row>
    <row r="214" spans="1:2" x14ac:dyDescent="0.25">
      <c r="A214" s="40">
        <v>44139</v>
      </c>
      <c r="B214">
        <v>0</v>
      </c>
    </row>
    <row r="215" spans="1:2" x14ac:dyDescent="0.25">
      <c r="A215" s="40">
        <v>44140</v>
      </c>
      <c r="B215">
        <v>0</v>
      </c>
    </row>
    <row r="216" spans="1:2" x14ac:dyDescent="0.25">
      <c r="A216" s="40">
        <v>44141</v>
      </c>
      <c r="B216">
        <v>0</v>
      </c>
    </row>
    <row r="217" spans="1:2" x14ac:dyDescent="0.25">
      <c r="A217" s="40">
        <v>44144</v>
      </c>
      <c r="B217">
        <v>0</v>
      </c>
    </row>
    <row r="218" spans="1:2" x14ac:dyDescent="0.25">
      <c r="A218" s="40">
        <v>44145</v>
      </c>
      <c r="B218">
        <v>0</v>
      </c>
    </row>
    <row r="219" spans="1:2" x14ac:dyDescent="0.25">
      <c r="A219" s="40">
        <v>44147</v>
      </c>
      <c r="B219">
        <v>0</v>
      </c>
    </row>
    <row r="220" spans="1:2" x14ac:dyDescent="0.25">
      <c r="A220" s="40">
        <v>44148</v>
      </c>
      <c r="B220">
        <v>3E-11</v>
      </c>
    </row>
    <row r="221" spans="1:2" x14ac:dyDescent="0.25">
      <c r="A221" s="40">
        <v>44151</v>
      </c>
      <c r="B221">
        <v>1.2999999999999999E-10</v>
      </c>
    </row>
    <row r="222" spans="1:2" x14ac:dyDescent="0.25">
      <c r="A222" s="40">
        <v>44152</v>
      </c>
      <c r="B222">
        <v>0</v>
      </c>
    </row>
    <row r="223" spans="1:2" x14ac:dyDescent="0.25">
      <c r="A223" s="40">
        <v>44153</v>
      </c>
      <c r="B223">
        <v>1.03E-9</v>
      </c>
    </row>
    <row r="224" spans="1:2" x14ac:dyDescent="0.25">
      <c r="A224" s="40">
        <v>44154</v>
      </c>
      <c r="B224">
        <v>2E-8</v>
      </c>
    </row>
    <row r="225" spans="1:2" x14ac:dyDescent="0.25">
      <c r="A225" s="40">
        <v>44155</v>
      </c>
      <c r="B225">
        <v>0</v>
      </c>
    </row>
    <row r="226" spans="1:2" x14ac:dyDescent="0.25">
      <c r="A226" s="40">
        <v>44158</v>
      </c>
      <c r="B226">
        <v>4.8499999999999996E-9</v>
      </c>
    </row>
    <row r="227" spans="1:2" x14ac:dyDescent="0.25">
      <c r="A227" s="40">
        <v>44159</v>
      </c>
      <c r="B227">
        <v>1.0000000000000001E-11</v>
      </c>
    </row>
    <row r="228" spans="1:2" x14ac:dyDescent="0.25">
      <c r="A228" s="40">
        <v>44160</v>
      </c>
      <c r="B228">
        <v>0</v>
      </c>
    </row>
    <row r="229" spans="1:2" x14ac:dyDescent="0.25">
      <c r="A229" s="40">
        <v>44162</v>
      </c>
      <c r="B229">
        <v>0</v>
      </c>
    </row>
    <row r="230" spans="1:2" x14ac:dyDescent="0.25">
      <c r="A230" s="40">
        <v>44165</v>
      </c>
      <c r="B230">
        <v>6E-11</v>
      </c>
    </row>
    <row r="231" spans="1:2" x14ac:dyDescent="0.25">
      <c r="A231" s="40">
        <v>44166</v>
      </c>
      <c r="B231">
        <v>2.0000000000000002E-11</v>
      </c>
    </row>
    <row r="232" spans="1:2" x14ac:dyDescent="0.25">
      <c r="A232" s="40">
        <v>44167</v>
      </c>
      <c r="B232">
        <v>1.0000000000000001E-11</v>
      </c>
    </row>
    <row r="233" spans="1:2" x14ac:dyDescent="0.25">
      <c r="A233" s="40">
        <v>44168</v>
      </c>
      <c r="B233">
        <v>0</v>
      </c>
    </row>
    <row r="234" spans="1:2" x14ac:dyDescent="0.25">
      <c r="A234" s="40">
        <v>44169</v>
      </c>
      <c r="B234">
        <v>0</v>
      </c>
    </row>
    <row r="235" spans="1:2" x14ac:dyDescent="0.25">
      <c r="A235" s="40">
        <v>44172</v>
      </c>
      <c r="B235">
        <v>1.0000000000000001E-11</v>
      </c>
    </row>
    <row r="236" spans="1:2" x14ac:dyDescent="0.25">
      <c r="A236" s="40">
        <v>44173</v>
      </c>
      <c r="B236">
        <v>1.0000000000000001E-11</v>
      </c>
    </row>
    <row r="237" spans="1:2" x14ac:dyDescent="0.25">
      <c r="A237" s="40">
        <v>44174</v>
      </c>
      <c r="B237">
        <v>3E-11</v>
      </c>
    </row>
    <row r="238" spans="1:2" x14ac:dyDescent="0.25">
      <c r="A238" s="40">
        <v>44175</v>
      </c>
      <c r="B238">
        <v>1.0000000000000001E-11</v>
      </c>
    </row>
    <row r="239" spans="1:2" x14ac:dyDescent="0.25">
      <c r="A239" s="40">
        <v>44176</v>
      </c>
      <c r="B239">
        <v>0</v>
      </c>
    </row>
    <row r="240" spans="1:2" x14ac:dyDescent="0.25">
      <c r="A240" s="40">
        <v>44179</v>
      </c>
      <c r="B240">
        <v>1.0000000000000001E-9</v>
      </c>
    </row>
    <row r="241" spans="1:2" x14ac:dyDescent="0.25">
      <c r="A241" s="40">
        <v>44180</v>
      </c>
      <c r="B241">
        <v>1.0000000000000001E-11</v>
      </c>
    </row>
    <row r="242" spans="1:2" x14ac:dyDescent="0.25">
      <c r="A242" s="40">
        <v>44181</v>
      </c>
      <c r="B242">
        <v>2.5999999999999998E-10</v>
      </c>
    </row>
    <row r="243" spans="1:2" x14ac:dyDescent="0.25">
      <c r="A243" s="40">
        <v>44182</v>
      </c>
      <c r="B243">
        <v>1.4000000000000001E-10</v>
      </c>
    </row>
    <row r="244" spans="1:2" x14ac:dyDescent="0.25">
      <c r="A244" s="40">
        <v>44183</v>
      </c>
      <c r="B244">
        <v>3.2000000000000003E-10</v>
      </c>
    </row>
    <row r="245" spans="1:2" x14ac:dyDescent="0.25">
      <c r="A245" s="40">
        <v>44186</v>
      </c>
      <c r="B245">
        <v>4.3500000000000001E-9</v>
      </c>
    </row>
    <row r="246" spans="1:2" x14ac:dyDescent="0.25">
      <c r="A246" s="40">
        <v>44187</v>
      </c>
      <c r="B246">
        <v>4.0600000000000005E-9</v>
      </c>
    </row>
    <row r="247" spans="1:2" x14ac:dyDescent="0.25">
      <c r="A247" s="40">
        <v>44188</v>
      </c>
      <c r="B247">
        <v>8.57E-9</v>
      </c>
    </row>
    <row r="248" spans="1:2" x14ac:dyDescent="0.25">
      <c r="A248" s="40">
        <v>44189</v>
      </c>
      <c r="B248">
        <v>1E-10</v>
      </c>
    </row>
    <row r="249" spans="1:2" x14ac:dyDescent="0.25">
      <c r="A249" s="40">
        <v>44193</v>
      </c>
      <c r="B249">
        <v>9.0100000000000009E-9</v>
      </c>
    </row>
    <row r="250" spans="1:2" x14ac:dyDescent="0.25">
      <c r="A250" s="40">
        <v>44194</v>
      </c>
      <c r="B250">
        <v>2.57E-9</v>
      </c>
    </row>
    <row r="251" spans="1:2" x14ac:dyDescent="0.25">
      <c r="A251" s="40">
        <v>44195</v>
      </c>
      <c r="B251">
        <v>6.5200000000000006E-9</v>
      </c>
    </row>
    <row r="252" spans="1:2" x14ac:dyDescent="0.25">
      <c r="A252" s="40">
        <v>44196</v>
      </c>
      <c r="B252">
        <v>9.6509999999999995E-8</v>
      </c>
    </row>
    <row r="253" spans="1:2" x14ac:dyDescent="0.25">
      <c r="A253" s="40">
        <v>44200</v>
      </c>
      <c r="B253">
        <v>1.0000000000000001E-11</v>
      </c>
    </row>
    <row r="254" spans="1:2" x14ac:dyDescent="0.25">
      <c r="A254" s="40">
        <v>44201</v>
      </c>
      <c r="B254">
        <v>5.0000000000000002E-11</v>
      </c>
    </row>
    <row r="255" spans="1:2" x14ac:dyDescent="0.25">
      <c r="A255" s="40">
        <v>44202</v>
      </c>
      <c r="B255">
        <v>4.0000000000000004E-11</v>
      </c>
    </row>
    <row r="256" spans="1:2" x14ac:dyDescent="0.25">
      <c r="A256" s="40">
        <v>44203</v>
      </c>
      <c r="B256">
        <v>1.0000000000000001E-11</v>
      </c>
    </row>
    <row r="257" spans="1:2" x14ac:dyDescent="0.25">
      <c r="A257" s="40">
        <v>44204</v>
      </c>
      <c r="B257">
        <v>0</v>
      </c>
    </row>
    <row r="258" spans="1:2" x14ac:dyDescent="0.25">
      <c r="A258" s="40">
        <v>44207</v>
      </c>
      <c r="B258">
        <v>0</v>
      </c>
    </row>
    <row r="259" spans="1:2" x14ac:dyDescent="0.25">
      <c r="A259" s="40">
        <v>44208</v>
      </c>
      <c r="B259">
        <v>0</v>
      </c>
    </row>
    <row r="260" spans="1:2" x14ac:dyDescent="0.25">
      <c r="A260" s="40">
        <v>44209</v>
      </c>
      <c r="B260">
        <v>0</v>
      </c>
    </row>
    <row r="261" spans="1:2" x14ac:dyDescent="0.25">
      <c r="A261" s="40">
        <v>44210</v>
      </c>
      <c r="B261">
        <v>6E-9</v>
      </c>
    </row>
    <row r="262" spans="1:2" x14ac:dyDescent="0.25">
      <c r="A262" s="40">
        <v>44211</v>
      </c>
      <c r="B262">
        <v>0</v>
      </c>
    </row>
    <row r="263" spans="1:2" x14ac:dyDescent="0.25">
      <c r="A263" s="40">
        <v>44215</v>
      </c>
      <c r="B263">
        <v>4.0000000000000004E-11</v>
      </c>
    </row>
    <row r="264" spans="1:2" x14ac:dyDescent="0.25">
      <c r="A264" s="40">
        <v>44216</v>
      </c>
      <c r="B264">
        <v>1.8060000000000001E-8</v>
      </c>
    </row>
    <row r="265" spans="1:2" x14ac:dyDescent="0.25">
      <c r="A265" s="40">
        <v>44217</v>
      </c>
      <c r="B265">
        <v>1.2010000000000001E-8</v>
      </c>
    </row>
    <row r="266" spans="1:2" x14ac:dyDescent="0.25">
      <c r="A266" s="40">
        <v>44218</v>
      </c>
      <c r="B266">
        <v>0</v>
      </c>
    </row>
    <row r="267" spans="1:2" x14ac:dyDescent="0.25">
      <c r="A267" s="40">
        <v>44221</v>
      </c>
      <c r="B267">
        <v>2.2000000000000002E-8</v>
      </c>
    </row>
    <row r="268" spans="1:2" x14ac:dyDescent="0.25">
      <c r="A268" s="40">
        <v>44222</v>
      </c>
      <c r="B268">
        <v>1.6309999999999998E-8</v>
      </c>
    </row>
    <row r="269" spans="1:2" x14ac:dyDescent="0.25">
      <c r="A269" s="40">
        <v>44223</v>
      </c>
      <c r="B269">
        <v>1.152E-8</v>
      </c>
    </row>
    <row r="270" spans="1:2" x14ac:dyDescent="0.25">
      <c r="A270" s="40">
        <v>44224</v>
      </c>
      <c r="B270">
        <v>2.655E-8</v>
      </c>
    </row>
    <row r="271" spans="1:2" x14ac:dyDescent="0.25">
      <c r="A271" s="40">
        <v>44225</v>
      </c>
      <c r="B271">
        <v>7.1E-8</v>
      </c>
    </row>
    <row r="272" spans="1:2" x14ac:dyDescent="0.25">
      <c r="A272" s="40">
        <v>44228</v>
      </c>
      <c r="B272">
        <v>1.2E-10</v>
      </c>
    </row>
    <row r="273" spans="1:2" x14ac:dyDescent="0.25">
      <c r="A273" s="40">
        <v>44229</v>
      </c>
      <c r="B273">
        <v>1.0999999999999999E-10</v>
      </c>
    </row>
    <row r="274" spans="1:2" x14ac:dyDescent="0.25">
      <c r="A274" s="40">
        <v>44230</v>
      </c>
      <c r="B274">
        <v>1.7799999999999999E-9</v>
      </c>
    </row>
    <row r="275" spans="1:2" x14ac:dyDescent="0.25">
      <c r="A275" s="40">
        <v>44231</v>
      </c>
      <c r="B275">
        <v>5.0000000000000001E-9</v>
      </c>
    </row>
    <row r="276" spans="1:2" x14ac:dyDescent="0.25">
      <c r="A276" s="40">
        <v>44232</v>
      </c>
      <c r="B276">
        <v>1E-10</v>
      </c>
    </row>
    <row r="277" spans="1:2" x14ac:dyDescent="0.25">
      <c r="A277" s="40">
        <v>44235</v>
      </c>
      <c r="B277">
        <v>2.0000000000000002E-11</v>
      </c>
    </row>
    <row r="278" spans="1:2" x14ac:dyDescent="0.25">
      <c r="A278" s="40">
        <v>44236</v>
      </c>
      <c r="B278">
        <v>1.0000000000000001E-11</v>
      </c>
    </row>
    <row r="279" spans="1:2" x14ac:dyDescent="0.25">
      <c r="A279" s="40">
        <v>44237</v>
      </c>
      <c r="B279">
        <v>0</v>
      </c>
    </row>
    <row r="280" spans="1:2" x14ac:dyDescent="0.25">
      <c r="A280" s="40">
        <v>44238</v>
      </c>
      <c r="B280">
        <v>1.08E-9</v>
      </c>
    </row>
    <row r="281" spans="1:2" x14ac:dyDescent="0.25">
      <c r="A281" s="40">
        <v>44239</v>
      </c>
      <c r="B281">
        <v>1.0000000000000001E-11</v>
      </c>
    </row>
    <row r="282" spans="1:2" x14ac:dyDescent="0.25">
      <c r="A282" s="40">
        <v>44243</v>
      </c>
      <c r="B282">
        <v>4.0000000000000004E-11</v>
      </c>
    </row>
    <row r="283" spans="1:2" x14ac:dyDescent="0.25">
      <c r="A283" s="40">
        <v>44244</v>
      </c>
      <c r="B283">
        <v>5.0000000000000003E-10</v>
      </c>
    </row>
    <row r="284" spans="1:2" x14ac:dyDescent="0.25">
      <c r="A284" s="40">
        <v>44245</v>
      </c>
      <c r="B284">
        <v>0</v>
      </c>
    </row>
    <row r="285" spans="1:2" x14ac:dyDescent="0.25">
      <c r="A285" s="40">
        <v>44246</v>
      </c>
      <c r="B285">
        <v>2.0000000000000002E-11</v>
      </c>
    </row>
    <row r="286" spans="1:2" x14ac:dyDescent="0.25">
      <c r="A286" s="40">
        <v>44249</v>
      </c>
      <c r="B286">
        <v>1.1000000000000001E-8</v>
      </c>
    </row>
    <row r="287" spans="1:2" x14ac:dyDescent="0.25">
      <c r="A287" s="40">
        <v>44250</v>
      </c>
      <c r="B287">
        <v>4.3500000000000001E-9</v>
      </c>
    </row>
    <row r="288" spans="1:2" x14ac:dyDescent="0.25">
      <c r="A288" s="40">
        <v>44251</v>
      </c>
      <c r="B288">
        <v>1.0000000000000001E-11</v>
      </c>
    </row>
    <row r="289" spans="1:2" x14ac:dyDescent="0.25">
      <c r="A289" s="40">
        <v>44252</v>
      </c>
      <c r="B289">
        <v>9.9760000000000015E-8</v>
      </c>
    </row>
    <row r="290" spans="1:2" x14ac:dyDescent="0.25">
      <c r="A290" s="40">
        <v>44253</v>
      </c>
      <c r="B290">
        <v>1.12E-7</v>
      </c>
    </row>
    <row r="291" spans="1:2" x14ac:dyDescent="0.25">
      <c r="A291" s="40">
        <v>44256</v>
      </c>
      <c r="B291">
        <v>0</v>
      </c>
    </row>
    <row r="292" spans="1:2" x14ac:dyDescent="0.25">
      <c r="A292" s="40">
        <v>44257</v>
      </c>
      <c r="B292">
        <v>5.0000000000000002E-11</v>
      </c>
    </row>
    <row r="293" spans="1:2" x14ac:dyDescent="0.25">
      <c r="A293" s="40">
        <v>44258</v>
      </c>
      <c r="B293">
        <v>5.0700000000000001E-9</v>
      </c>
    </row>
    <row r="294" spans="1:2" x14ac:dyDescent="0.25">
      <c r="A294" s="40">
        <v>44259</v>
      </c>
      <c r="B294">
        <v>2.0999999999999999E-8</v>
      </c>
    </row>
    <row r="295" spans="1:2" x14ac:dyDescent="0.25">
      <c r="A295" s="40">
        <v>44260</v>
      </c>
      <c r="B295">
        <v>1E-8</v>
      </c>
    </row>
    <row r="296" spans="1:2" x14ac:dyDescent="0.25">
      <c r="A296" s="40">
        <v>44263</v>
      </c>
      <c r="B296">
        <v>2.5000000000000002E-10</v>
      </c>
    </row>
    <row r="297" spans="1:2" x14ac:dyDescent="0.25">
      <c r="A297" s="40">
        <v>44264</v>
      </c>
      <c r="B297">
        <v>0</v>
      </c>
    </row>
    <row r="298" spans="1:2" x14ac:dyDescent="0.25">
      <c r="A298" s="40">
        <v>44265</v>
      </c>
      <c r="B298">
        <v>1.0000000000000001E-9</v>
      </c>
    </row>
    <row r="299" spans="1:2" x14ac:dyDescent="0.25">
      <c r="A299" s="40">
        <v>44266</v>
      </c>
      <c r="B299">
        <v>1.1051E-7</v>
      </c>
    </row>
    <row r="300" spans="1:2" x14ac:dyDescent="0.25">
      <c r="A300" s="40">
        <v>44267</v>
      </c>
      <c r="B300">
        <v>6.8E-8</v>
      </c>
    </row>
    <row r="301" spans="1:2" x14ac:dyDescent="0.25">
      <c r="A301" s="40">
        <v>44270</v>
      </c>
      <c r="B301">
        <v>3E-11</v>
      </c>
    </row>
    <row r="302" spans="1:2" x14ac:dyDescent="0.25">
      <c r="A302" s="40">
        <v>44271</v>
      </c>
      <c r="B302">
        <v>7.0199999999999993E-9</v>
      </c>
    </row>
    <row r="303" spans="1:2" x14ac:dyDescent="0.25">
      <c r="A303" s="40">
        <v>44272</v>
      </c>
      <c r="B303">
        <v>0</v>
      </c>
    </row>
    <row r="304" spans="1:2" x14ac:dyDescent="0.25">
      <c r="A304" s="40">
        <v>44273</v>
      </c>
      <c r="B304">
        <v>2.657E-7</v>
      </c>
    </row>
    <row r="305" spans="1:2" x14ac:dyDescent="0.25">
      <c r="A305" s="40">
        <v>44274</v>
      </c>
      <c r="B305">
        <v>1.8908000000000002E-7</v>
      </c>
    </row>
    <row r="306" spans="1:2" x14ac:dyDescent="0.25">
      <c r="A306" s="40">
        <v>44277</v>
      </c>
      <c r="B306">
        <v>2.2242E-7</v>
      </c>
    </row>
    <row r="307" spans="1:2" x14ac:dyDescent="0.25">
      <c r="A307" s="40">
        <v>44278</v>
      </c>
      <c r="B307">
        <v>1.9525999999999999E-7</v>
      </c>
    </row>
    <row r="308" spans="1:2" x14ac:dyDescent="0.25">
      <c r="A308" s="40">
        <v>44279</v>
      </c>
      <c r="B308">
        <v>2.1902000000000001E-7</v>
      </c>
    </row>
    <row r="309" spans="1:2" x14ac:dyDescent="0.25">
      <c r="A309" s="40">
        <v>44280</v>
      </c>
      <c r="B309">
        <v>1.0099999999999999E-7</v>
      </c>
    </row>
    <row r="310" spans="1:2" x14ac:dyDescent="0.25">
      <c r="A310" s="40">
        <v>44281</v>
      </c>
      <c r="B310">
        <v>1.1449999999999999E-7</v>
      </c>
    </row>
    <row r="311" spans="1:2" x14ac:dyDescent="0.25">
      <c r="A311" s="40">
        <v>44284</v>
      </c>
      <c r="B311">
        <v>4.0353999999999997E-7</v>
      </c>
    </row>
    <row r="312" spans="1:2" x14ac:dyDescent="0.25">
      <c r="A312" s="40">
        <v>44285</v>
      </c>
      <c r="B312">
        <v>1.04725E-6</v>
      </c>
    </row>
    <row r="313" spans="1:2" x14ac:dyDescent="0.25">
      <c r="A313" s="40">
        <v>44286</v>
      </c>
      <c r="B313">
        <v>1.3430699999999999E-6</v>
      </c>
    </row>
    <row r="314" spans="1:2" x14ac:dyDescent="0.25">
      <c r="A314" s="40">
        <v>44287</v>
      </c>
      <c r="B314">
        <v>9.5749999999999994E-8</v>
      </c>
    </row>
    <row r="315" spans="1:2" x14ac:dyDescent="0.25">
      <c r="A315" s="40">
        <v>44291</v>
      </c>
      <c r="B315">
        <v>3.4500000000000005E-8</v>
      </c>
    </row>
    <row r="316" spans="1:2" x14ac:dyDescent="0.25">
      <c r="A316" s="40">
        <v>44292</v>
      </c>
      <c r="B316">
        <v>1.8951000000000001E-7</v>
      </c>
    </row>
    <row r="317" spans="1:2" x14ac:dyDescent="0.25">
      <c r="A317" s="40">
        <v>44293</v>
      </c>
      <c r="B317">
        <v>3.5034999999999996E-7</v>
      </c>
    </row>
    <row r="318" spans="1:2" x14ac:dyDescent="0.25">
      <c r="A318" s="40">
        <v>44294</v>
      </c>
      <c r="B318">
        <v>2.7640000000000001E-7</v>
      </c>
    </row>
    <row r="319" spans="1:2" x14ac:dyDescent="0.25">
      <c r="A319" s="40">
        <v>44295</v>
      </c>
      <c r="B319">
        <v>3.1264999999999998E-7</v>
      </c>
    </row>
    <row r="320" spans="1:2" x14ac:dyDescent="0.25">
      <c r="A320" s="40">
        <v>44298</v>
      </c>
      <c r="B320">
        <v>3.0221E-7</v>
      </c>
    </row>
    <row r="321" spans="1:2" x14ac:dyDescent="0.25">
      <c r="A321" s="40">
        <v>44299</v>
      </c>
      <c r="B321">
        <v>3.7542999999999997E-7</v>
      </c>
    </row>
    <row r="322" spans="1:2" x14ac:dyDescent="0.25">
      <c r="A322" s="40">
        <v>44300</v>
      </c>
      <c r="B322">
        <v>5.0856000000000005E-7</v>
      </c>
    </row>
    <row r="323" spans="1:2" x14ac:dyDescent="0.25">
      <c r="A323" s="40">
        <v>44301</v>
      </c>
      <c r="B323">
        <v>2.8626000000000002E-7</v>
      </c>
    </row>
    <row r="324" spans="1:2" x14ac:dyDescent="0.25">
      <c r="A324" s="40">
        <v>44302</v>
      </c>
      <c r="B324">
        <v>3.9939999999999999E-7</v>
      </c>
    </row>
    <row r="325" spans="1:2" x14ac:dyDescent="0.25">
      <c r="A325" s="40">
        <v>44305</v>
      </c>
      <c r="B325">
        <v>5.3798000000000006E-7</v>
      </c>
    </row>
    <row r="326" spans="1:2" x14ac:dyDescent="0.25">
      <c r="A326" s="40">
        <v>44306</v>
      </c>
      <c r="B326">
        <v>6.7746999999999999E-7</v>
      </c>
    </row>
    <row r="327" spans="1:2" x14ac:dyDescent="0.25">
      <c r="A327" s="40">
        <v>44307</v>
      </c>
      <c r="B327">
        <v>8.1328999999999995E-7</v>
      </c>
    </row>
    <row r="328" spans="1:2" x14ac:dyDescent="0.25">
      <c r="A328" s="40">
        <v>44308</v>
      </c>
      <c r="B328">
        <v>1.0264400000000001E-6</v>
      </c>
    </row>
    <row r="329" spans="1:2" x14ac:dyDescent="0.25">
      <c r="A329" s="40">
        <v>44309</v>
      </c>
      <c r="B329">
        <v>7.3794E-7</v>
      </c>
    </row>
    <row r="330" spans="1:2" x14ac:dyDescent="0.25">
      <c r="A330" s="40">
        <v>44312</v>
      </c>
      <c r="B330">
        <v>1.00916E-6</v>
      </c>
    </row>
    <row r="331" spans="1:2" x14ac:dyDescent="0.25">
      <c r="A331" s="40">
        <v>44313</v>
      </c>
      <c r="B331">
        <v>1.42172E-6</v>
      </c>
    </row>
    <row r="332" spans="1:2" x14ac:dyDescent="0.25">
      <c r="A332" s="40">
        <v>44314</v>
      </c>
      <c r="B332">
        <v>1.66732E-6</v>
      </c>
    </row>
    <row r="333" spans="1:2" x14ac:dyDescent="0.25">
      <c r="A333" s="40">
        <v>44315</v>
      </c>
      <c r="B333">
        <v>1.73469E-6</v>
      </c>
    </row>
    <row r="334" spans="1:2" x14ac:dyDescent="0.25">
      <c r="A334" s="40">
        <v>44316</v>
      </c>
      <c r="B334">
        <v>1.8323400000000001E-6</v>
      </c>
    </row>
    <row r="335" spans="1:2" x14ac:dyDescent="0.25">
      <c r="A335" s="40">
        <v>44319</v>
      </c>
      <c r="B335">
        <v>1.2972399999999999E-6</v>
      </c>
    </row>
    <row r="336" spans="1:2" x14ac:dyDescent="0.25">
      <c r="A336" s="40">
        <v>44320</v>
      </c>
      <c r="B336">
        <v>1.47806E-6</v>
      </c>
    </row>
    <row r="337" spans="1:2" x14ac:dyDescent="0.25">
      <c r="A337" s="40">
        <v>44321</v>
      </c>
      <c r="B337">
        <v>1.6280000000000001E-6</v>
      </c>
    </row>
    <row r="338" spans="1:2" x14ac:dyDescent="0.25">
      <c r="A338" s="40">
        <v>44322</v>
      </c>
      <c r="B338">
        <v>1.54921E-6</v>
      </c>
    </row>
    <row r="339" spans="1:2" x14ac:dyDescent="0.25">
      <c r="A339" s="40">
        <v>44323</v>
      </c>
      <c r="B339">
        <v>1.61856E-6</v>
      </c>
    </row>
    <row r="340" spans="1:2" x14ac:dyDescent="0.25">
      <c r="A340" s="40">
        <v>44326</v>
      </c>
      <c r="B340">
        <v>1.75548E-6</v>
      </c>
    </row>
    <row r="341" spans="1:2" x14ac:dyDescent="0.25">
      <c r="A341" s="40">
        <v>44327</v>
      </c>
      <c r="B341">
        <v>1.8175299999999999E-6</v>
      </c>
    </row>
    <row r="342" spans="1:2" x14ac:dyDescent="0.25">
      <c r="A342" s="40">
        <v>44328</v>
      </c>
      <c r="B342">
        <v>2.0925700000000001E-6</v>
      </c>
    </row>
    <row r="343" spans="1:2" x14ac:dyDescent="0.25">
      <c r="A343" s="40">
        <v>44329</v>
      </c>
      <c r="B343">
        <v>2.3521700000000001E-6</v>
      </c>
    </row>
    <row r="344" spans="1:2" x14ac:dyDescent="0.25">
      <c r="A344" s="40">
        <v>44330</v>
      </c>
      <c r="B344">
        <v>2.41185E-6</v>
      </c>
    </row>
    <row r="345" spans="1:2" x14ac:dyDescent="0.25">
      <c r="A345" s="40">
        <v>44333</v>
      </c>
      <c r="B345">
        <v>2.0896000000000003E-6</v>
      </c>
    </row>
    <row r="346" spans="1:2" x14ac:dyDescent="0.25">
      <c r="A346" s="40">
        <v>44334</v>
      </c>
      <c r="B346">
        <v>2.4347000000000002E-6</v>
      </c>
    </row>
    <row r="347" spans="1:2" x14ac:dyDescent="0.25">
      <c r="A347" s="40">
        <v>44335</v>
      </c>
      <c r="B347">
        <v>2.9399800000000001E-6</v>
      </c>
    </row>
    <row r="348" spans="1:2" x14ac:dyDescent="0.25">
      <c r="A348" s="40">
        <v>44336</v>
      </c>
      <c r="B348">
        <v>3.5112099999999998E-6</v>
      </c>
    </row>
    <row r="349" spans="1:2" x14ac:dyDescent="0.25">
      <c r="A349" s="40">
        <v>44337</v>
      </c>
      <c r="B349">
        <v>3.6904599999999998E-6</v>
      </c>
    </row>
    <row r="350" spans="1:2" x14ac:dyDescent="0.25">
      <c r="A350" s="40">
        <v>44340</v>
      </c>
      <c r="B350">
        <v>3.9494099999999997E-6</v>
      </c>
    </row>
    <row r="351" spans="1:2" x14ac:dyDescent="0.25">
      <c r="A351" s="40">
        <v>44341</v>
      </c>
      <c r="B351">
        <v>4.3295499999999999E-6</v>
      </c>
    </row>
    <row r="352" spans="1:2" x14ac:dyDescent="0.25">
      <c r="A352" s="40">
        <v>44342</v>
      </c>
      <c r="B352">
        <v>4.5028299999999999E-6</v>
      </c>
    </row>
    <row r="353" spans="1:2" x14ac:dyDescent="0.25">
      <c r="A353" s="40">
        <v>44343</v>
      </c>
      <c r="B353">
        <v>4.8532899999999999E-6</v>
      </c>
    </row>
    <row r="354" spans="1:2" x14ac:dyDescent="0.25">
      <c r="A354" s="40">
        <v>44344</v>
      </c>
      <c r="B354">
        <v>4.7949800000000001E-6</v>
      </c>
    </row>
    <row r="355" spans="1:2" x14ac:dyDescent="0.25">
      <c r="A355" s="40">
        <v>44348</v>
      </c>
      <c r="B355">
        <v>4.47985E-6</v>
      </c>
    </row>
    <row r="356" spans="1:2" x14ac:dyDescent="0.25">
      <c r="A356" s="40">
        <v>44349</v>
      </c>
      <c r="B356">
        <v>4.38778E-6</v>
      </c>
    </row>
    <row r="357" spans="1:2" x14ac:dyDescent="0.25">
      <c r="A357" s="40">
        <v>44350</v>
      </c>
      <c r="B357">
        <v>4.7910200000000001E-6</v>
      </c>
    </row>
    <row r="358" spans="1:2" x14ac:dyDescent="0.25">
      <c r="A358" s="40">
        <v>44351</v>
      </c>
      <c r="B358">
        <v>4.8334899999999997E-6</v>
      </c>
    </row>
    <row r="359" spans="1:2" x14ac:dyDescent="0.25">
      <c r="A359" s="40">
        <v>44354</v>
      </c>
      <c r="B359">
        <v>4.8609700000000001E-6</v>
      </c>
    </row>
    <row r="360" spans="1:2" x14ac:dyDescent="0.25">
      <c r="A360" s="40">
        <v>44355</v>
      </c>
      <c r="B360">
        <v>4.9742800000000003E-6</v>
      </c>
    </row>
    <row r="361" spans="1:2" x14ac:dyDescent="0.25">
      <c r="A361" s="40">
        <v>44356</v>
      </c>
      <c r="B361">
        <v>5.0290399999999999E-6</v>
      </c>
    </row>
    <row r="362" spans="1:2" x14ac:dyDescent="0.25">
      <c r="A362" s="40">
        <v>44357</v>
      </c>
      <c r="B362">
        <v>5.3494299999999995E-6</v>
      </c>
    </row>
    <row r="363" spans="1:2" x14ac:dyDescent="0.25">
      <c r="A363" s="40">
        <v>44358</v>
      </c>
      <c r="B363">
        <v>5.4780799999999996E-6</v>
      </c>
    </row>
    <row r="364" spans="1:2" x14ac:dyDescent="0.25">
      <c r="A364" s="40">
        <v>44361</v>
      </c>
      <c r="B364">
        <v>5.8389200000000007E-6</v>
      </c>
    </row>
    <row r="365" spans="1:2" x14ac:dyDescent="0.25">
      <c r="A365" s="40">
        <v>44362</v>
      </c>
      <c r="B365">
        <v>5.0955900000000001E-6</v>
      </c>
    </row>
    <row r="366" spans="1:2" x14ac:dyDescent="0.25">
      <c r="A366" s="40">
        <v>44363</v>
      </c>
      <c r="B366">
        <v>5.2094200000000002E-6</v>
      </c>
    </row>
    <row r="367" spans="1:2" x14ac:dyDescent="0.25">
      <c r="A367" s="40">
        <v>44364</v>
      </c>
      <c r="B367">
        <v>7.5579999999999995E-6</v>
      </c>
    </row>
    <row r="368" spans="1:2" x14ac:dyDescent="0.25">
      <c r="A368" s="40">
        <v>44365</v>
      </c>
      <c r="B368">
        <v>7.4712099999999996E-6</v>
      </c>
    </row>
    <row r="369" spans="1:2" x14ac:dyDescent="0.25">
      <c r="A369" s="40">
        <v>44368</v>
      </c>
      <c r="B369">
        <v>7.65141E-6</v>
      </c>
    </row>
    <row r="370" spans="1:2" x14ac:dyDescent="0.25">
      <c r="A370" s="40">
        <v>44369</v>
      </c>
      <c r="B370">
        <v>7.9160500000000002E-6</v>
      </c>
    </row>
    <row r="371" spans="1:2" x14ac:dyDescent="0.25">
      <c r="A371" s="40">
        <v>44370</v>
      </c>
      <c r="B371">
        <v>8.1364999999999991E-6</v>
      </c>
    </row>
    <row r="372" spans="1:2" x14ac:dyDescent="0.25">
      <c r="A372" s="40">
        <v>44371</v>
      </c>
      <c r="B372">
        <v>8.1304799999999998E-6</v>
      </c>
    </row>
    <row r="373" spans="1:2" x14ac:dyDescent="0.25">
      <c r="A373" s="40">
        <v>44372</v>
      </c>
      <c r="B373">
        <v>7.7083000000000004E-6</v>
      </c>
    </row>
    <row r="374" spans="1:2" x14ac:dyDescent="0.25">
      <c r="A374" s="40">
        <v>44375</v>
      </c>
      <c r="B374">
        <v>8.0301900000000008E-6</v>
      </c>
    </row>
    <row r="375" spans="1:2" x14ac:dyDescent="0.25">
      <c r="A375" s="40">
        <v>44376</v>
      </c>
      <c r="B375">
        <v>8.4124600000000001E-6</v>
      </c>
    </row>
    <row r="376" spans="1:2" x14ac:dyDescent="0.25">
      <c r="A376" s="40">
        <v>44377</v>
      </c>
      <c r="B376">
        <v>9.9193899999999996E-6</v>
      </c>
    </row>
    <row r="377" spans="1:2" x14ac:dyDescent="0.25">
      <c r="A377" s="40">
        <v>44378</v>
      </c>
      <c r="B377">
        <v>7.4264700000000004E-6</v>
      </c>
    </row>
    <row r="378" spans="1:2" x14ac:dyDescent="0.25">
      <c r="A378" s="40">
        <v>44379</v>
      </c>
      <c r="B378">
        <v>7.3150400000000005E-6</v>
      </c>
    </row>
    <row r="379" spans="1:2" x14ac:dyDescent="0.25">
      <c r="A379" s="40">
        <v>44383</v>
      </c>
      <c r="B379">
        <v>7.7258100000000005E-6</v>
      </c>
    </row>
    <row r="380" spans="1:2" x14ac:dyDescent="0.25">
      <c r="A380" s="40">
        <v>44384</v>
      </c>
      <c r="B380">
        <v>7.8571999999999999E-6</v>
      </c>
    </row>
    <row r="381" spans="1:2" x14ac:dyDescent="0.25">
      <c r="A381" s="40">
        <v>44385</v>
      </c>
      <c r="B381">
        <v>7.9339899999999999E-6</v>
      </c>
    </row>
    <row r="382" spans="1:2" x14ac:dyDescent="0.25">
      <c r="A382" s="40">
        <v>44386</v>
      </c>
      <c r="B382">
        <v>7.8059600000000001E-6</v>
      </c>
    </row>
    <row r="383" spans="1:2" x14ac:dyDescent="0.25">
      <c r="A383" s="40">
        <v>44389</v>
      </c>
      <c r="B383">
        <v>7.7647200000000001E-6</v>
      </c>
    </row>
    <row r="384" spans="1:2" x14ac:dyDescent="0.25">
      <c r="A384" s="40">
        <v>44390</v>
      </c>
      <c r="B384">
        <v>7.9826700000000003E-6</v>
      </c>
    </row>
    <row r="385" spans="1:2" x14ac:dyDescent="0.25">
      <c r="A385" s="40">
        <v>44391</v>
      </c>
      <c r="B385">
        <v>8.5997500000000001E-6</v>
      </c>
    </row>
    <row r="386" spans="1:2" x14ac:dyDescent="0.25">
      <c r="A386" s="40">
        <v>44392</v>
      </c>
      <c r="B386">
        <v>7.7626099999999999E-6</v>
      </c>
    </row>
    <row r="387" spans="1:2" x14ac:dyDescent="0.25">
      <c r="A387" s="40">
        <v>44393</v>
      </c>
      <c r="B387">
        <v>8.1756600000000009E-6</v>
      </c>
    </row>
    <row r="388" spans="1:2" x14ac:dyDescent="0.25">
      <c r="A388" s="40">
        <v>44396</v>
      </c>
      <c r="B388">
        <v>8.6046799999999994E-6</v>
      </c>
    </row>
    <row r="389" spans="1:2" x14ac:dyDescent="0.25">
      <c r="A389" s="40">
        <v>44397</v>
      </c>
      <c r="B389">
        <v>8.4810200000000003E-6</v>
      </c>
    </row>
    <row r="390" spans="1:2" x14ac:dyDescent="0.25">
      <c r="A390" s="40">
        <v>44398</v>
      </c>
      <c r="B390">
        <v>8.86206E-6</v>
      </c>
    </row>
    <row r="391" spans="1:2" x14ac:dyDescent="0.25">
      <c r="A391" s="40">
        <v>44399</v>
      </c>
      <c r="B391">
        <v>8.9819699999999993E-6</v>
      </c>
    </row>
    <row r="392" spans="1:2" x14ac:dyDescent="0.25">
      <c r="A392" s="40">
        <v>44400</v>
      </c>
      <c r="B392">
        <v>8.7725100000000001E-6</v>
      </c>
    </row>
    <row r="393" spans="1:2" x14ac:dyDescent="0.25">
      <c r="A393" s="40">
        <v>44403</v>
      </c>
      <c r="B393">
        <v>8.9120299999999991E-6</v>
      </c>
    </row>
    <row r="394" spans="1:2" x14ac:dyDescent="0.25">
      <c r="A394" s="40">
        <v>44404</v>
      </c>
      <c r="B394">
        <v>9.2741899999999994E-6</v>
      </c>
    </row>
    <row r="395" spans="1:2" x14ac:dyDescent="0.25">
      <c r="A395" s="40">
        <v>44405</v>
      </c>
      <c r="B395">
        <v>9.6518899999999992E-6</v>
      </c>
    </row>
    <row r="396" spans="1:2" x14ac:dyDescent="0.25">
      <c r="A396" s="40">
        <v>44406</v>
      </c>
      <c r="B396">
        <v>9.8728300000000001E-6</v>
      </c>
    </row>
    <row r="397" spans="1:2" x14ac:dyDescent="0.25">
      <c r="A397" s="40">
        <v>44407</v>
      </c>
      <c r="B397">
        <v>1.039394E-5</v>
      </c>
    </row>
    <row r="398" spans="1:2" x14ac:dyDescent="0.25">
      <c r="A398" s="40">
        <v>44410</v>
      </c>
      <c r="B398">
        <v>9.2131699999999997E-6</v>
      </c>
    </row>
    <row r="399" spans="1:2" x14ac:dyDescent="0.25">
      <c r="A399" s="40">
        <v>44411</v>
      </c>
      <c r="B399">
        <v>9.0944200000000002E-6</v>
      </c>
    </row>
    <row r="400" spans="1:2" x14ac:dyDescent="0.25">
      <c r="A400" s="40">
        <v>44412</v>
      </c>
      <c r="B400">
        <v>9.3175500000000003E-6</v>
      </c>
    </row>
    <row r="401" spans="1:2" x14ac:dyDescent="0.25">
      <c r="A401" s="40">
        <v>44413</v>
      </c>
      <c r="B401">
        <v>9.44335E-6</v>
      </c>
    </row>
    <row r="402" spans="1:2" x14ac:dyDescent="0.25">
      <c r="A402" s="40">
        <v>44414</v>
      </c>
      <c r="B402">
        <v>9.5213400000000009E-6</v>
      </c>
    </row>
    <row r="403" spans="1:2" x14ac:dyDescent="0.25">
      <c r="A403" s="40">
        <v>44417</v>
      </c>
      <c r="B403">
        <v>9.8176499999999991E-6</v>
      </c>
    </row>
    <row r="404" spans="1:2" x14ac:dyDescent="0.25">
      <c r="A404" s="40">
        <v>44418</v>
      </c>
      <c r="B404">
        <v>9.9865399999999994E-6</v>
      </c>
    </row>
    <row r="405" spans="1:2" x14ac:dyDescent="0.25">
      <c r="A405" s="40">
        <v>44419</v>
      </c>
      <c r="B405">
        <v>1.0004600000000001E-5</v>
      </c>
    </row>
    <row r="406" spans="1:2" x14ac:dyDescent="0.25">
      <c r="A406" s="40">
        <v>44420</v>
      </c>
      <c r="B406">
        <v>1.0873420000000001E-5</v>
      </c>
    </row>
    <row r="407" spans="1:2" x14ac:dyDescent="0.25">
      <c r="A407" s="40">
        <v>44421</v>
      </c>
      <c r="B407">
        <v>1.050941E-5</v>
      </c>
    </row>
    <row r="408" spans="1:2" x14ac:dyDescent="0.25">
      <c r="A408" s="40">
        <v>44424</v>
      </c>
      <c r="B408">
        <v>1.0364179999999998E-5</v>
      </c>
    </row>
    <row r="409" spans="1:2" x14ac:dyDescent="0.25">
      <c r="A409" s="40">
        <v>44425</v>
      </c>
      <c r="B409">
        <v>1.053454E-5</v>
      </c>
    </row>
    <row r="410" spans="1:2" x14ac:dyDescent="0.25">
      <c r="A410" s="40">
        <v>44426</v>
      </c>
      <c r="B410">
        <v>1.115656E-5</v>
      </c>
    </row>
    <row r="411" spans="1:2" x14ac:dyDescent="0.25">
      <c r="A411" s="40">
        <v>44427</v>
      </c>
      <c r="B411">
        <v>1.1099380000000001E-5</v>
      </c>
    </row>
    <row r="412" spans="1:2" x14ac:dyDescent="0.25">
      <c r="A412" s="40">
        <v>44428</v>
      </c>
      <c r="B412">
        <v>1.111905E-5</v>
      </c>
    </row>
    <row r="413" spans="1:2" x14ac:dyDescent="0.25">
      <c r="A413" s="40">
        <v>44431</v>
      </c>
      <c r="B413">
        <v>1.1356969999999999E-5</v>
      </c>
    </row>
    <row r="414" spans="1:2" x14ac:dyDescent="0.25">
      <c r="A414" s="40">
        <v>44432</v>
      </c>
      <c r="B414">
        <v>1.1297370000000001E-5</v>
      </c>
    </row>
    <row r="415" spans="1:2" x14ac:dyDescent="0.25">
      <c r="A415" s="40">
        <v>44433</v>
      </c>
      <c r="B415">
        <v>1.147089E-5</v>
      </c>
    </row>
    <row r="416" spans="1:2" x14ac:dyDescent="0.25">
      <c r="A416" s="40">
        <v>44434</v>
      </c>
      <c r="B416">
        <v>1.0917919999999999E-5</v>
      </c>
    </row>
    <row r="417" spans="1:2" x14ac:dyDescent="0.25">
      <c r="A417" s="40">
        <v>44435</v>
      </c>
      <c r="B417">
        <v>1.1200150000000002E-5</v>
      </c>
    </row>
    <row r="418" spans="1:2" x14ac:dyDescent="0.25">
      <c r="A418" s="40">
        <v>44438</v>
      </c>
      <c r="B418">
        <v>1.140711E-5</v>
      </c>
    </row>
    <row r="419" spans="1:2" x14ac:dyDescent="0.25">
      <c r="A419" s="40">
        <v>44439</v>
      </c>
      <c r="B419">
        <v>1.189616E-5</v>
      </c>
    </row>
    <row r="420" spans="1:2" x14ac:dyDescent="0.25">
      <c r="A420" s="40">
        <v>44440</v>
      </c>
      <c r="B420">
        <v>1.084115E-5</v>
      </c>
    </row>
    <row r="421" spans="1:2" x14ac:dyDescent="0.25">
      <c r="A421" s="40">
        <v>44441</v>
      </c>
      <c r="B421">
        <v>1.0669870000000001E-5</v>
      </c>
    </row>
    <row r="422" spans="1:2" x14ac:dyDescent="0.25">
      <c r="A422" s="40">
        <v>44442</v>
      </c>
      <c r="B422">
        <v>1.074707E-5</v>
      </c>
    </row>
    <row r="423" spans="1:2" x14ac:dyDescent="0.25">
      <c r="A423" s="40">
        <v>44446</v>
      </c>
      <c r="B423">
        <v>1.0799449999999999E-5</v>
      </c>
    </row>
    <row r="424" spans="1:2" x14ac:dyDescent="0.25">
      <c r="A424" s="40">
        <v>44447</v>
      </c>
      <c r="B424">
        <v>1.1152290000000001E-5</v>
      </c>
    </row>
    <row r="425" spans="1:2" x14ac:dyDescent="0.25">
      <c r="A425" s="40">
        <v>44448</v>
      </c>
      <c r="B425">
        <v>1.1076590000000001E-5</v>
      </c>
    </row>
    <row r="426" spans="1:2" x14ac:dyDescent="0.25">
      <c r="A426" s="40">
        <v>44449</v>
      </c>
      <c r="B426">
        <v>1.099323E-5</v>
      </c>
    </row>
    <row r="427" spans="1:2" x14ac:dyDescent="0.25">
      <c r="A427" s="40">
        <v>44452</v>
      </c>
      <c r="B427">
        <v>1.087108E-5</v>
      </c>
    </row>
    <row r="428" spans="1:2" x14ac:dyDescent="0.25">
      <c r="A428" s="40">
        <v>44453</v>
      </c>
      <c r="B428">
        <v>1.1692799999999999E-5</v>
      </c>
    </row>
    <row r="429" spans="1:2" x14ac:dyDescent="0.25">
      <c r="A429" s="40">
        <v>44454</v>
      </c>
      <c r="B429">
        <v>1.081342E-5</v>
      </c>
    </row>
    <row r="430" spans="1:2" x14ac:dyDescent="0.25">
      <c r="A430" s="40">
        <v>44455</v>
      </c>
      <c r="B430">
        <v>1.1474939999999999E-5</v>
      </c>
    </row>
    <row r="431" spans="1:2" x14ac:dyDescent="0.25">
      <c r="A431" s="40">
        <v>44456</v>
      </c>
      <c r="B431">
        <v>1.218303E-5</v>
      </c>
    </row>
    <row r="432" spans="1:2" x14ac:dyDescent="0.25">
      <c r="A432" s="40">
        <v>44459</v>
      </c>
      <c r="B432">
        <v>1.224289E-5</v>
      </c>
    </row>
    <row r="433" spans="1:2" x14ac:dyDescent="0.25">
      <c r="A433" s="40">
        <v>44460</v>
      </c>
      <c r="B433">
        <v>1.240494E-5</v>
      </c>
    </row>
    <row r="434" spans="1:2" x14ac:dyDescent="0.25">
      <c r="A434" s="40">
        <v>44461</v>
      </c>
      <c r="B434">
        <v>1.2832809999999999E-5</v>
      </c>
    </row>
    <row r="435" spans="1:2" x14ac:dyDescent="0.25">
      <c r="A435" s="40">
        <v>44462</v>
      </c>
      <c r="B435">
        <v>1.352483E-5</v>
      </c>
    </row>
    <row r="436" spans="1:2" x14ac:dyDescent="0.25">
      <c r="A436" s="40">
        <v>44463</v>
      </c>
      <c r="B436">
        <v>1.3136569999999998E-5</v>
      </c>
    </row>
    <row r="437" spans="1:2" x14ac:dyDescent="0.25">
      <c r="A437" s="40">
        <v>44466</v>
      </c>
      <c r="B437">
        <v>1.2970499999999999E-5</v>
      </c>
    </row>
    <row r="438" spans="1:2" x14ac:dyDescent="0.25">
      <c r="A438" s="40">
        <v>44467</v>
      </c>
      <c r="B438">
        <v>1.3651849999999999E-5</v>
      </c>
    </row>
    <row r="439" spans="1:2" x14ac:dyDescent="0.25">
      <c r="A439" s="40">
        <v>44468</v>
      </c>
      <c r="B439">
        <v>1.41584E-5</v>
      </c>
    </row>
    <row r="440" spans="1:2" x14ac:dyDescent="0.25">
      <c r="A440" s="40">
        <v>44469</v>
      </c>
      <c r="B440">
        <v>1.6048810000000002E-5</v>
      </c>
    </row>
    <row r="441" spans="1:2" x14ac:dyDescent="0.25">
      <c r="A441" s="40">
        <v>44470</v>
      </c>
      <c r="B441">
        <v>1.385991E-5</v>
      </c>
    </row>
    <row r="442" spans="1:2" x14ac:dyDescent="0.25">
      <c r="A442" s="40">
        <v>44473</v>
      </c>
      <c r="B442">
        <v>1.3991730000000001E-5</v>
      </c>
    </row>
    <row r="443" spans="1:2" x14ac:dyDescent="0.25">
      <c r="A443" s="40">
        <v>44474</v>
      </c>
      <c r="B443">
        <v>1.4311800000000001E-5</v>
      </c>
    </row>
    <row r="444" spans="1:2" x14ac:dyDescent="0.25">
      <c r="A444" s="40">
        <v>44475</v>
      </c>
      <c r="B444">
        <v>1.4511749999999999E-5</v>
      </c>
    </row>
    <row r="445" spans="1:2" x14ac:dyDescent="0.25">
      <c r="A445" s="40">
        <v>44476</v>
      </c>
      <c r="B445">
        <v>1.3758630000000001E-5</v>
      </c>
    </row>
    <row r="446" spans="1:2" x14ac:dyDescent="0.25">
      <c r="A446" s="40">
        <v>44477</v>
      </c>
      <c r="B446">
        <v>1.371958E-5</v>
      </c>
    </row>
    <row r="447" spans="1:2" x14ac:dyDescent="0.25">
      <c r="A447" s="40">
        <v>44481</v>
      </c>
      <c r="B447">
        <v>1.367051E-5</v>
      </c>
    </row>
    <row r="448" spans="1:2" x14ac:dyDescent="0.25">
      <c r="A448" s="40">
        <v>44482</v>
      </c>
      <c r="B448">
        <v>1.3647010000000001E-5</v>
      </c>
    </row>
    <row r="449" spans="1:2" x14ac:dyDescent="0.25">
      <c r="A449" s="40">
        <v>44483</v>
      </c>
      <c r="B449">
        <v>1.4456600000000001E-5</v>
      </c>
    </row>
    <row r="450" spans="1:2" x14ac:dyDescent="0.25">
      <c r="A450" s="40">
        <v>44484</v>
      </c>
      <c r="B450">
        <v>1.462297E-5</v>
      </c>
    </row>
    <row r="451" spans="1:2" x14ac:dyDescent="0.25">
      <c r="A451" s="40">
        <v>44487</v>
      </c>
      <c r="B451">
        <v>1.4771140000000001E-5</v>
      </c>
    </row>
    <row r="452" spans="1:2" x14ac:dyDescent="0.25">
      <c r="A452" s="40">
        <v>44488</v>
      </c>
      <c r="B452">
        <v>1.470739E-5</v>
      </c>
    </row>
    <row r="453" spans="1:2" x14ac:dyDescent="0.25">
      <c r="A453" s="40">
        <v>44489</v>
      </c>
      <c r="B453">
        <v>1.4939610000000001E-5</v>
      </c>
    </row>
    <row r="454" spans="1:2" x14ac:dyDescent="0.25">
      <c r="A454" s="40">
        <v>44490</v>
      </c>
      <c r="B454">
        <v>1.4586050000000001E-5</v>
      </c>
    </row>
    <row r="455" spans="1:2" x14ac:dyDescent="0.25">
      <c r="A455" s="40">
        <v>44491</v>
      </c>
      <c r="B455">
        <v>1.40302E-5</v>
      </c>
    </row>
    <row r="456" spans="1:2" x14ac:dyDescent="0.25">
      <c r="A456" s="40">
        <v>44494</v>
      </c>
      <c r="B456">
        <v>1.4131880000000001E-5</v>
      </c>
    </row>
    <row r="457" spans="1:2" x14ac:dyDescent="0.25">
      <c r="A457" s="40">
        <v>44495</v>
      </c>
      <c r="B457">
        <v>1.4231980000000001E-5</v>
      </c>
    </row>
    <row r="458" spans="1:2" x14ac:dyDescent="0.25">
      <c r="A458" s="40">
        <v>44496</v>
      </c>
      <c r="B458">
        <v>1.43337E-5</v>
      </c>
    </row>
    <row r="459" spans="1:2" x14ac:dyDescent="0.25">
      <c r="A459" s="40">
        <v>44497</v>
      </c>
      <c r="B459">
        <v>1.384684E-5</v>
      </c>
    </row>
    <row r="460" spans="1:2" x14ac:dyDescent="0.25">
      <c r="A460" s="40">
        <v>44498</v>
      </c>
      <c r="B460">
        <v>1.5022960000000001E-5</v>
      </c>
    </row>
    <row r="461" spans="1:2" x14ac:dyDescent="0.25">
      <c r="A461" s="40">
        <v>44501</v>
      </c>
      <c r="B461">
        <v>1.3586059999999999E-5</v>
      </c>
    </row>
    <row r="462" spans="1:2" x14ac:dyDescent="0.25">
      <c r="A462" s="40">
        <v>44502</v>
      </c>
      <c r="B462">
        <v>1.329913E-5</v>
      </c>
    </row>
    <row r="463" spans="1:2" x14ac:dyDescent="0.25">
      <c r="A463" s="40">
        <v>44503</v>
      </c>
      <c r="B463">
        <v>1.343985E-5</v>
      </c>
    </row>
    <row r="464" spans="1:2" x14ac:dyDescent="0.25">
      <c r="A464" s="40">
        <v>44504</v>
      </c>
      <c r="B464">
        <v>1.3485390000000001E-5</v>
      </c>
    </row>
    <row r="465" spans="1:2" x14ac:dyDescent="0.25">
      <c r="A465" s="40">
        <v>44505</v>
      </c>
      <c r="B465">
        <v>1.354059E-5</v>
      </c>
    </row>
    <row r="466" spans="1:2" x14ac:dyDescent="0.25">
      <c r="A466" s="40">
        <v>44508</v>
      </c>
      <c r="B466">
        <v>1.354382E-5</v>
      </c>
    </row>
    <row r="467" spans="1:2" x14ac:dyDescent="0.25">
      <c r="A467" s="40">
        <v>44509</v>
      </c>
      <c r="B467">
        <v>1.3771969999999999E-5</v>
      </c>
    </row>
    <row r="468" spans="1:2" x14ac:dyDescent="0.25">
      <c r="A468" s="40">
        <v>44510</v>
      </c>
      <c r="B468">
        <v>1.4486230000000001E-5</v>
      </c>
    </row>
    <row r="469" spans="1:2" x14ac:dyDescent="0.25">
      <c r="A469" s="40">
        <v>44512</v>
      </c>
      <c r="B469">
        <v>1.4176430000000001E-5</v>
      </c>
    </row>
    <row r="470" spans="1:2" x14ac:dyDescent="0.25">
      <c r="A470" s="40">
        <v>44515</v>
      </c>
      <c r="B470">
        <v>1.3916569999999999E-5</v>
      </c>
    </row>
    <row r="471" spans="1:2" x14ac:dyDescent="0.25">
      <c r="A471" s="40">
        <v>44516</v>
      </c>
      <c r="B471">
        <v>1.466857E-5</v>
      </c>
    </row>
    <row r="472" spans="1:2" x14ac:dyDescent="0.25">
      <c r="A472" s="40">
        <v>44517</v>
      </c>
      <c r="B472">
        <v>1.52E-5</v>
      </c>
    </row>
    <row r="473" spans="1:2" x14ac:dyDescent="0.25">
      <c r="A473" s="40">
        <v>44518</v>
      </c>
      <c r="B473">
        <v>1.5840970000000001E-5</v>
      </c>
    </row>
    <row r="474" spans="1:2" x14ac:dyDescent="0.25">
      <c r="A474" s="40">
        <v>44519</v>
      </c>
      <c r="B474">
        <v>1.5753840000000001E-5</v>
      </c>
    </row>
    <row r="475" spans="1:2" x14ac:dyDescent="0.25">
      <c r="A475" s="40">
        <v>44522</v>
      </c>
      <c r="B475">
        <v>1.5737689999999999E-5</v>
      </c>
    </row>
    <row r="476" spans="1:2" x14ac:dyDescent="0.25">
      <c r="A476" s="40">
        <v>44523</v>
      </c>
      <c r="B476">
        <v>1.5719800000000002E-5</v>
      </c>
    </row>
    <row r="477" spans="1:2" x14ac:dyDescent="0.25">
      <c r="A477" s="40">
        <v>44524</v>
      </c>
      <c r="B477">
        <v>1.4528969999999999E-5</v>
      </c>
    </row>
    <row r="478" spans="1:2" x14ac:dyDescent="0.25">
      <c r="A478" s="40">
        <v>44526</v>
      </c>
      <c r="B478">
        <v>1.4511079999999999E-5</v>
      </c>
    </row>
    <row r="479" spans="1:2" x14ac:dyDescent="0.25">
      <c r="A479" s="40">
        <v>44529</v>
      </c>
      <c r="B479">
        <v>1.4593389999999999E-5</v>
      </c>
    </row>
    <row r="480" spans="1:2" x14ac:dyDescent="0.25">
      <c r="A480" s="40">
        <v>44530</v>
      </c>
      <c r="B480">
        <v>1.5179559999999998E-5</v>
      </c>
    </row>
    <row r="481" spans="1:2" x14ac:dyDescent="0.25">
      <c r="A481" s="40">
        <v>44531</v>
      </c>
      <c r="B481">
        <v>1.4273469999999999E-5</v>
      </c>
    </row>
    <row r="482" spans="1:2" x14ac:dyDescent="0.25">
      <c r="A482" s="40">
        <v>44532</v>
      </c>
      <c r="B482">
        <v>1.448585E-5</v>
      </c>
    </row>
    <row r="483" spans="1:2" x14ac:dyDescent="0.25">
      <c r="A483" s="40">
        <v>44533</v>
      </c>
      <c r="B483">
        <v>1.4754639999999999E-5</v>
      </c>
    </row>
    <row r="484" spans="1:2" x14ac:dyDescent="0.25">
      <c r="A484" s="40">
        <v>44536</v>
      </c>
      <c r="B484">
        <v>1.487996E-5</v>
      </c>
    </row>
    <row r="485" spans="1:2" x14ac:dyDescent="0.25">
      <c r="A485" s="40">
        <v>44537</v>
      </c>
      <c r="B485">
        <v>1.4550380000000001E-5</v>
      </c>
    </row>
    <row r="486" spans="1:2" x14ac:dyDescent="0.25">
      <c r="A486" s="40">
        <v>44538</v>
      </c>
      <c r="B486">
        <v>1.4841920000000001E-5</v>
      </c>
    </row>
    <row r="487" spans="1:2" x14ac:dyDescent="0.25">
      <c r="A487" s="40">
        <v>44539</v>
      </c>
      <c r="B487">
        <v>1.5000270000000001E-5</v>
      </c>
    </row>
    <row r="488" spans="1:2" x14ac:dyDescent="0.25">
      <c r="A488" s="40">
        <v>44540</v>
      </c>
      <c r="B488">
        <v>1.5071469999999999E-5</v>
      </c>
    </row>
    <row r="489" spans="1:2" x14ac:dyDescent="0.25">
      <c r="A489" s="40">
        <v>44543</v>
      </c>
      <c r="B489">
        <v>1.599768E-5</v>
      </c>
    </row>
    <row r="490" spans="1:2" x14ac:dyDescent="0.25">
      <c r="A490" s="40">
        <v>44544</v>
      </c>
      <c r="B490">
        <v>1.584488E-5</v>
      </c>
    </row>
    <row r="491" spans="1:2" x14ac:dyDescent="0.25">
      <c r="A491" s="40">
        <v>44545</v>
      </c>
      <c r="B491">
        <v>1.6210969999999999E-5</v>
      </c>
    </row>
    <row r="492" spans="1:2" x14ac:dyDescent="0.25">
      <c r="A492" s="40">
        <v>44546</v>
      </c>
      <c r="B492">
        <v>1.657626E-5</v>
      </c>
    </row>
    <row r="493" spans="1:2" x14ac:dyDescent="0.25">
      <c r="A493" s="40">
        <v>44547</v>
      </c>
      <c r="B493">
        <v>1.7045859999999999E-5</v>
      </c>
    </row>
    <row r="494" spans="1:2" x14ac:dyDescent="0.25">
      <c r="A494" s="40">
        <v>44550</v>
      </c>
      <c r="B494">
        <v>1.7580409999999999E-5</v>
      </c>
    </row>
    <row r="495" spans="1:2" x14ac:dyDescent="0.25">
      <c r="A495" s="40">
        <v>44551</v>
      </c>
      <c r="B495">
        <v>1.7482850000000002E-5</v>
      </c>
    </row>
    <row r="496" spans="1:2" x14ac:dyDescent="0.25">
      <c r="A496" s="40">
        <v>44552</v>
      </c>
      <c r="B496">
        <v>1.6992769999999999E-5</v>
      </c>
    </row>
    <row r="497" spans="1:2" x14ac:dyDescent="0.25">
      <c r="A497" s="40">
        <v>44553</v>
      </c>
      <c r="B497">
        <v>1.57778E-5</v>
      </c>
    </row>
    <row r="498" spans="1:2" x14ac:dyDescent="0.25">
      <c r="A498" s="40">
        <v>44557</v>
      </c>
      <c r="B498">
        <v>1.580347E-5</v>
      </c>
    </row>
    <row r="499" spans="1:2" x14ac:dyDescent="0.25">
      <c r="A499" s="40">
        <v>44558</v>
      </c>
      <c r="B499">
        <v>1.6370640000000002E-5</v>
      </c>
    </row>
    <row r="500" spans="1:2" x14ac:dyDescent="0.25">
      <c r="A500" s="40">
        <v>44559</v>
      </c>
      <c r="B500">
        <v>1.642506E-5</v>
      </c>
    </row>
    <row r="501" spans="1:2" x14ac:dyDescent="0.25">
      <c r="A501" s="40">
        <v>44560</v>
      </c>
      <c r="B501">
        <v>1.6964760000000001E-5</v>
      </c>
    </row>
    <row r="502" spans="1:2" x14ac:dyDescent="0.25">
      <c r="A502" s="40">
        <v>44561</v>
      </c>
      <c r="B502">
        <v>1.9045820000000001E-5</v>
      </c>
    </row>
    <row r="503" spans="1:2" x14ac:dyDescent="0.25">
      <c r="A503" s="40">
        <v>44564</v>
      </c>
      <c r="B503">
        <v>1.5795260000000002E-5</v>
      </c>
    </row>
    <row r="504" spans="1:2" x14ac:dyDescent="0.25">
      <c r="A504" s="40">
        <v>44565</v>
      </c>
      <c r="B504">
        <v>1.495692E-5</v>
      </c>
    </row>
    <row r="505" spans="1:2" x14ac:dyDescent="0.25">
      <c r="A505" s="40">
        <v>44566</v>
      </c>
      <c r="B505">
        <v>1.4927870000000001E-5</v>
      </c>
    </row>
    <row r="506" spans="1:2" x14ac:dyDescent="0.25">
      <c r="A506" s="40">
        <v>44567</v>
      </c>
      <c r="B506">
        <v>1.5105530000000002E-5</v>
      </c>
    </row>
    <row r="507" spans="1:2" x14ac:dyDescent="0.25">
      <c r="A507" s="40">
        <v>44568</v>
      </c>
      <c r="B507">
        <v>1.5300959999999999E-5</v>
      </c>
    </row>
    <row r="508" spans="1:2" x14ac:dyDescent="0.25">
      <c r="A508" s="40">
        <v>44571</v>
      </c>
      <c r="B508">
        <v>1.5604209999999999E-5</v>
      </c>
    </row>
    <row r="509" spans="1:2" x14ac:dyDescent="0.25">
      <c r="A509" s="40">
        <v>44572</v>
      </c>
      <c r="B509">
        <v>1.5270199999999998E-5</v>
      </c>
    </row>
    <row r="510" spans="1:2" x14ac:dyDescent="0.25">
      <c r="A510" s="40">
        <v>44573</v>
      </c>
      <c r="B510">
        <v>1.536981E-5</v>
      </c>
    </row>
    <row r="511" spans="1:2" x14ac:dyDescent="0.25">
      <c r="A511" s="40">
        <v>44574</v>
      </c>
      <c r="B511">
        <v>1.636742E-5</v>
      </c>
    </row>
    <row r="512" spans="1:2" x14ac:dyDescent="0.25">
      <c r="A512" s="40">
        <v>44575</v>
      </c>
      <c r="B512">
        <v>1.598887E-5</v>
      </c>
    </row>
    <row r="513" spans="1:2" x14ac:dyDescent="0.25">
      <c r="A513" s="40">
        <v>44579</v>
      </c>
      <c r="B513">
        <v>1.5971369999999999E-5</v>
      </c>
    </row>
    <row r="514" spans="1:2" x14ac:dyDescent="0.25">
      <c r="A514" s="40">
        <v>44580</v>
      </c>
      <c r="B514">
        <v>1.656576E-5</v>
      </c>
    </row>
    <row r="515" spans="1:2" x14ac:dyDescent="0.25">
      <c r="A515" s="40">
        <v>44581</v>
      </c>
      <c r="B515">
        <v>1.6789309999999999E-5</v>
      </c>
    </row>
    <row r="516" spans="1:2" x14ac:dyDescent="0.25">
      <c r="A516" s="40">
        <v>44582</v>
      </c>
      <c r="B516">
        <v>1.706127E-5</v>
      </c>
    </row>
    <row r="517" spans="1:2" x14ac:dyDescent="0.25">
      <c r="A517" s="40">
        <v>44585</v>
      </c>
      <c r="B517">
        <v>1.6140019999999999E-5</v>
      </c>
    </row>
    <row r="518" spans="1:2" x14ac:dyDescent="0.25">
      <c r="A518" s="40">
        <v>44586</v>
      </c>
      <c r="B518">
        <v>1.599502E-5</v>
      </c>
    </row>
    <row r="519" spans="1:2" x14ac:dyDescent="0.25">
      <c r="A519" s="40">
        <v>44587</v>
      </c>
      <c r="B519">
        <v>1.6130460000000001E-5</v>
      </c>
    </row>
    <row r="520" spans="1:2" x14ac:dyDescent="0.25">
      <c r="A520" s="40">
        <v>44588</v>
      </c>
      <c r="B520">
        <v>1.5838949999999999E-5</v>
      </c>
    </row>
    <row r="521" spans="1:2" x14ac:dyDescent="0.25">
      <c r="A521" s="40">
        <v>44589</v>
      </c>
      <c r="B521">
        <v>1.6150210000000001E-5</v>
      </c>
    </row>
    <row r="522" spans="1:2" x14ac:dyDescent="0.25">
      <c r="A522" s="40">
        <v>44592</v>
      </c>
      <c r="B522">
        <v>1.6548499999999999E-5</v>
      </c>
    </row>
    <row r="523" spans="1:2" x14ac:dyDescent="0.25">
      <c r="A523" s="40">
        <v>44593</v>
      </c>
      <c r="B523">
        <v>1.5841089999999999E-5</v>
      </c>
    </row>
    <row r="524" spans="1:2" x14ac:dyDescent="0.25">
      <c r="A524" s="40">
        <v>44594</v>
      </c>
      <c r="B524">
        <v>1.6268949999999999E-5</v>
      </c>
    </row>
    <row r="525" spans="1:2" x14ac:dyDescent="0.25">
      <c r="A525" s="40">
        <v>44595</v>
      </c>
      <c r="B525">
        <v>1.6403969999999999E-5</v>
      </c>
    </row>
    <row r="526" spans="1:2" x14ac:dyDescent="0.25">
      <c r="A526" s="40">
        <v>44596</v>
      </c>
      <c r="B526">
        <v>1.6428919999999999E-5</v>
      </c>
    </row>
    <row r="527" spans="1:2" x14ac:dyDescent="0.25">
      <c r="A527" s="40">
        <v>44599</v>
      </c>
      <c r="B527">
        <v>1.6799320000000002E-5</v>
      </c>
    </row>
    <row r="528" spans="1:2" x14ac:dyDescent="0.25">
      <c r="A528" s="40">
        <v>44600</v>
      </c>
      <c r="B528">
        <v>1.6746099999999999E-5</v>
      </c>
    </row>
    <row r="529" spans="1:2" x14ac:dyDescent="0.25">
      <c r="A529" s="40">
        <v>44601</v>
      </c>
      <c r="B529">
        <v>1.6531530000000001E-5</v>
      </c>
    </row>
    <row r="530" spans="1:2" x14ac:dyDescent="0.25">
      <c r="A530" s="40">
        <v>44602</v>
      </c>
      <c r="B530">
        <v>1.634146E-5</v>
      </c>
    </row>
    <row r="531" spans="1:2" x14ac:dyDescent="0.25">
      <c r="A531" s="40">
        <v>44603</v>
      </c>
      <c r="B531">
        <v>1.6358259999999999E-5</v>
      </c>
    </row>
    <row r="532" spans="1:2" x14ac:dyDescent="0.25">
      <c r="A532" s="40">
        <v>44606</v>
      </c>
      <c r="B532">
        <v>1.6662319999999999E-5</v>
      </c>
    </row>
    <row r="533" spans="1:2" x14ac:dyDescent="0.25">
      <c r="A533" s="40">
        <v>44607</v>
      </c>
      <c r="B533">
        <v>1.6084939999999998E-5</v>
      </c>
    </row>
    <row r="534" spans="1:2" x14ac:dyDescent="0.25">
      <c r="A534" s="40">
        <v>44608</v>
      </c>
      <c r="B534">
        <v>1.6441340000000001E-5</v>
      </c>
    </row>
    <row r="535" spans="1:2" x14ac:dyDescent="0.25">
      <c r="A535" s="40">
        <v>44609</v>
      </c>
      <c r="B535">
        <v>1.6472019999999999E-5</v>
      </c>
    </row>
    <row r="536" spans="1:2" x14ac:dyDescent="0.25">
      <c r="A536" s="40">
        <v>44610</v>
      </c>
      <c r="B536">
        <v>1.6749290000000002E-5</v>
      </c>
    </row>
    <row r="537" spans="1:2" x14ac:dyDescent="0.25">
      <c r="A537" s="40">
        <v>44614</v>
      </c>
      <c r="B537">
        <v>1.6994319999999999E-5</v>
      </c>
    </row>
    <row r="538" spans="1:2" x14ac:dyDescent="0.25">
      <c r="A538" s="40">
        <v>44615</v>
      </c>
      <c r="B538">
        <v>1.7383219999999998E-5</v>
      </c>
    </row>
    <row r="539" spans="1:2" x14ac:dyDescent="0.25">
      <c r="A539" s="40">
        <v>44616</v>
      </c>
      <c r="B539">
        <v>1.6503989999999999E-5</v>
      </c>
    </row>
    <row r="540" spans="1:2" x14ac:dyDescent="0.25">
      <c r="A540" s="40">
        <v>44617</v>
      </c>
      <c r="B540">
        <v>1.6033490000000001E-5</v>
      </c>
    </row>
    <row r="541" spans="1:2" x14ac:dyDescent="0.25">
      <c r="A541" s="40">
        <v>44620</v>
      </c>
      <c r="B541">
        <v>1.5960519999999999E-5</v>
      </c>
    </row>
    <row r="542" spans="1:2" x14ac:dyDescent="0.25">
      <c r="A542" s="40">
        <v>44621</v>
      </c>
      <c r="B542">
        <v>1.5529500000000001E-5</v>
      </c>
    </row>
    <row r="543" spans="1:2" x14ac:dyDescent="0.25">
      <c r="A543" s="40">
        <v>44622</v>
      </c>
      <c r="B543">
        <v>1.5262110000000002E-5</v>
      </c>
    </row>
    <row r="544" spans="1:2" x14ac:dyDescent="0.25">
      <c r="A544" s="40">
        <v>44623</v>
      </c>
      <c r="B544">
        <v>1.533992E-5</v>
      </c>
    </row>
    <row r="545" spans="1:2" x14ac:dyDescent="0.25">
      <c r="A545" s="40">
        <v>44624</v>
      </c>
      <c r="B545">
        <v>1.4830609999999999E-5</v>
      </c>
    </row>
    <row r="546" spans="1:2" x14ac:dyDescent="0.25">
      <c r="A546" s="40">
        <v>44627</v>
      </c>
      <c r="B546">
        <v>1.461227E-5</v>
      </c>
    </row>
    <row r="547" spans="1:2" x14ac:dyDescent="0.25">
      <c r="A547" s="40">
        <v>44628</v>
      </c>
      <c r="B547">
        <v>1.5250989999999999E-5</v>
      </c>
    </row>
    <row r="548" spans="1:2" x14ac:dyDescent="0.25">
      <c r="A548" s="40">
        <v>44629</v>
      </c>
      <c r="B548">
        <v>1.5425039999999998E-5</v>
      </c>
    </row>
    <row r="549" spans="1:2" x14ac:dyDescent="0.25">
      <c r="A549" s="40">
        <v>44630</v>
      </c>
      <c r="B549">
        <v>1.5687349999999998E-5</v>
      </c>
    </row>
    <row r="550" spans="1:2" x14ac:dyDescent="0.25">
      <c r="A550" s="40">
        <v>44631</v>
      </c>
      <c r="B550">
        <v>1.5578230000000001E-5</v>
      </c>
    </row>
    <row r="551" spans="1:2" x14ac:dyDescent="0.25">
      <c r="A551" s="40">
        <v>44634</v>
      </c>
      <c r="B551">
        <v>1.608021E-5</v>
      </c>
    </row>
    <row r="552" spans="1:2" x14ac:dyDescent="0.25">
      <c r="A552" s="40">
        <v>44635</v>
      </c>
      <c r="B552">
        <v>1.583471E-5</v>
      </c>
    </row>
    <row r="553" spans="1:2" x14ac:dyDescent="0.25">
      <c r="A553" s="40">
        <v>44636</v>
      </c>
      <c r="B553">
        <v>1.6136369999999998E-5</v>
      </c>
    </row>
    <row r="554" spans="1:2" x14ac:dyDescent="0.25">
      <c r="A554" s="40">
        <v>44637</v>
      </c>
      <c r="B554">
        <v>1.6599770000000001E-5</v>
      </c>
    </row>
    <row r="555" spans="1:2" x14ac:dyDescent="0.25">
      <c r="A555" s="40">
        <v>44638</v>
      </c>
      <c r="B555">
        <v>1.7151479999999999E-5</v>
      </c>
    </row>
    <row r="556" spans="1:2" x14ac:dyDescent="0.25">
      <c r="A556" s="40">
        <v>44641</v>
      </c>
      <c r="B556">
        <v>1.7288930000000002E-5</v>
      </c>
    </row>
    <row r="557" spans="1:2" x14ac:dyDescent="0.25">
      <c r="A557" s="40">
        <v>44642</v>
      </c>
      <c r="B557">
        <v>1.7631830000000002E-5</v>
      </c>
    </row>
    <row r="558" spans="1:2" x14ac:dyDescent="0.25">
      <c r="A558" s="40">
        <v>44643</v>
      </c>
      <c r="B558">
        <v>1.803186E-5</v>
      </c>
    </row>
    <row r="559" spans="1:2" x14ac:dyDescent="0.25">
      <c r="A559" s="40">
        <v>44644</v>
      </c>
      <c r="B559">
        <v>1.7076549999999998E-5</v>
      </c>
    </row>
    <row r="560" spans="1:2" x14ac:dyDescent="0.25">
      <c r="A560" s="40">
        <v>44645</v>
      </c>
      <c r="B560">
        <v>1.6769739999999999E-5</v>
      </c>
    </row>
    <row r="561" spans="1:2" x14ac:dyDescent="0.25">
      <c r="A561" s="40">
        <v>44648</v>
      </c>
      <c r="B561">
        <v>1.6886319999999999E-5</v>
      </c>
    </row>
    <row r="562" spans="1:2" x14ac:dyDescent="0.25">
      <c r="A562" s="40">
        <v>44649</v>
      </c>
      <c r="B562">
        <v>1.71887E-5</v>
      </c>
    </row>
    <row r="563" spans="1:2" x14ac:dyDescent="0.25">
      <c r="A563" s="40">
        <v>44650</v>
      </c>
      <c r="B563">
        <v>1.785939E-5</v>
      </c>
    </row>
    <row r="564" spans="1:2" x14ac:dyDescent="0.25">
      <c r="A564" s="40">
        <v>44651</v>
      </c>
      <c r="B564">
        <v>1.87197E-5</v>
      </c>
    </row>
    <row r="565" spans="1:2" x14ac:dyDescent="0.25">
      <c r="A565" s="40">
        <v>44652</v>
      </c>
      <c r="B565">
        <v>1.666063E-5</v>
      </c>
    </row>
    <row r="566" spans="1:2" x14ac:dyDescent="0.25">
      <c r="A566" s="40">
        <v>44655</v>
      </c>
      <c r="B566">
        <v>1.6929359999999998E-5</v>
      </c>
    </row>
    <row r="567" spans="1:2" x14ac:dyDescent="0.25">
      <c r="A567" s="40">
        <v>44656</v>
      </c>
      <c r="B567">
        <v>1.710834E-5</v>
      </c>
    </row>
    <row r="568" spans="1:2" x14ac:dyDescent="0.25">
      <c r="A568" s="40">
        <v>44657</v>
      </c>
      <c r="B568">
        <v>1.731472E-5</v>
      </c>
    </row>
    <row r="569" spans="1:2" x14ac:dyDescent="0.25">
      <c r="A569" s="40">
        <v>44658</v>
      </c>
      <c r="B569">
        <v>1.7344239999999998E-5</v>
      </c>
    </row>
    <row r="570" spans="1:2" x14ac:dyDescent="0.25">
      <c r="A570" s="40">
        <v>44659</v>
      </c>
      <c r="B570">
        <v>1.7504980000000001E-5</v>
      </c>
    </row>
    <row r="571" spans="1:2" x14ac:dyDescent="0.25">
      <c r="A571" s="40">
        <v>44662</v>
      </c>
      <c r="B571">
        <v>1.758958E-5</v>
      </c>
    </row>
    <row r="572" spans="1:2" x14ac:dyDescent="0.25">
      <c r="A572" s="40">
        <v>44663</v>
      </c>
      <c r="B572">
        <v>1.7104140000000001E-5</v>
      </c>
    </row>
    <row r="573" spans="1:2" x14ac:dyDescent="0.25">
      <c r="A573" s="40">
        <v>44664</v>
      </c>
      <c r="B573">
        <v>1.8155549999999999E-5</v>
      </c>
    </row>
    <row r="574" spans="1:2" x14ac:dyDescent="0.25">
      <c r="A574" s="40">
        <v>44665</v>
      </c>
      <c r="B574">
        <v>1.7069349999999999E-5</v>
      </c>
    </row>
    <row r="575" spans="1:2" x14ac:dyDescent="0.25">
      <c r="A575" s="40">
        <v>44669</v>
      </c>
      <c r="B575">
        <v>1.738379E-5</v>
      </c>
    </row>
    <row r="576" spans="1:2" x14ac:dyDescent="0.25">
      <c r="A576" s="40">
        <v>44670</v>
      </c>
      <c r="B576">
        <v>1.8172919999999998E-5</v>
      </c>
    </row>
    <row r="577" spans="1:2" x14ac:dyDescent="0.25">
      <c r="A577" s="40">
        <v>44671</v>
      </c>
      <c r="B577">
        <v>1.86656E-5</v>
      </c>
    </row>
    <row r="578" spans="1:2" x14ac:dyDescent="0.25">
      <c r="A578" s="40">
        <v>44672</v>
      </c>
      <c r="B578">
        <v>1.8547E-5</v>
      </c>
    </row>
    <row r="579" spans="1:2" x14ac:dyDescent="0.25">
      <c r="A579" s="40">
        <v>44673</v>
      </c>
      <c r="B579">
        <v>1.765031E-5</v>
      </c>
    </row>
    <row r="580" spans="1:2" x14ac:dyDescent="0.25">
      <c r="A580" s="40">
        <v>44676</v>
      </c>
      <c r="B580">
        <v>1.783609E-5</v>
      </c>
    </row>
    <row r="581" spans="1:2" x14ac:dyDescent="0.25">
      <c r="A581" s="40">
        <v>44677</v>
      </c>
      <c r="B581">
        <v>1.819343E-5</v>
      </c>
    </row>
    <row r="582" spans="1:2" x14ac:dyDescent="0.25">
      <c r="A582" s="40">
        <v>44678</v>
      </c>
      <c r="B582">
        <v>1.803162E-5</v>
      </c>
    </row>
    <row r="583" spans="1:2" x14ac:dyDescent="0.25">
      <c r="A583" s="40">
        <v>44679</v>
      </c>
      <c r="B583">
        <v>1.8184159999999998E-5</v>
      </c>
    </row>
    <row r="584" spans="1:2" x14ac:dyDescent="0.25">
      <c r="A584" s="40">
        <v>44680</v>
      </c>
      <c r="B584">
        <v>1.9068019999999999E-5</v>
      </c>
    </row>
    <row r="585" spans="1:2" x14ac:dyDescent="0.25">
      <c r="A585" s="40">
        <v>44683</v>
      </c>
      <c r="B585">
        <v>1.7963019999999999E-5</v>
      </c>
    </row>
    <row r="586" spans="1:2" x14ac:dyDescent="0.25">
      <c r="A586" s="40">
        <v>44684</v>
      </c>
      <c r="B586">
        <v>1.7962520000000001E-5</v>
      </c>
    </row>
    <row r="587" spans="1:2" x14ac:dyDescent="0.25">
      <c r="A587" s="40">
        <v>44685</v>
      </c>
      <c r="B587">
        <v>1.8156559999999999E-5</v>
      </c>
    </row>
    <row r="588" spans="1:2" x14ac:dyDescent="0.25">
      <c r="A588" s="40">
        <v>44686</v>
      </c>
      <c r="B588">
        <v>1.8447620000000001E-5</v>
      </c>
    </row>
    <row r="589" spans="1:2" x14ac:dyDescent="0.25">
      <c r="A589" s="40">
        <v>44687</v>
      </c>
      <c r="B589">
        <v>1.8618659999999999E-5</v>
      </c>
    </row>
    <row r="590" spans="1:2" x14ac:dyDescent="0.25">
      <c r="A590" s="40">
        <v>44690</v>
      </c>
      <c r="B590">
        <v>1.858995E-5</v>
      </c>
    </row>
    <row r="591" spans="1:2" x14ac:dyDescent="0.25">
      <c r="A591" s="40">
        <v>44691</v>
      </c>
      <c r="B591">
        <v>1.8642249999999999E-5</v>
      </c>
    </row>
    <row r="592" spans="1:2" x14ac:dyDescent="0.25">
      <c r="A592" s="40">
        <v>44692</v>
      </c>
      <c r="B592">
        <v>1.8761189999999998E-5</v>
      </c>
    </row>
    <row r="593" spans="1:2" x14ac:dyDescent="0.25">
      <c r="A593" s="40">
        <v>44693</v>
      </c>
      <c r="B593">
        <v>1.9000689999999998E-5</v>
      </c>
    </row>
    <row r="594" spans="1:2" x14ac:dyDescent="0.25">
      <c r="A594" s="40">
        <v>44694</v>
      </c>
      <c r="B594">
        <v>1.865287E-5</v>
      </c>
    </row>
    <row r="595" spans="1:2" x14ac:dyDescent="0.25">
      <c r="A595" s="40">
        <v>44697</v>
      </c>
      <c r="B595">
        <v>1.833152E-5</v>
      </c>
    </row>
    <row r="596" spans="1:2" x14ac:dyDescent="0.25">
      <c r="A596" s="40">
        <v>44698</v>
      </c>
      <c r="B596">
        <v>1.8774830000000001E-5</v>
      </c>
    </row>
    <row r="597" spans="1:2" x14ac:dyDescent="0.25">
      <c r="A597" s="40">
        <v>44699</v>
      </c>
      <c r="B597">
        <v>1.9733729999999999E-5</v>
      </c>
    </row>
    <row r="598" spans="1:2" x14ac:dyDescent="0.25">
      <c r="A598" s="40">
        <v>44700</v>
      </c>
      <c r="B598">
        <v>1.9810050000000002E-5</v>
      </c>
    </row>
    <row r="599" spans="1:2" x14ac:dyDescent="0.25">
      <c r="A599" s="40">
        <v>44701</v>
      </c>
      <c r="B599">
        <v>1.987987E-5</v>
      </c>
    </row>
    <row r="600" spans="1:2" x14ac:dyDescent="0.25">
      <c r="A600" s="40">
        <v>44704</v>
      </c>
      <c r="B600">
        <v>2.044658E-5</v>
      </c>
    </row>
    <row r="601" spans="1:2" x14ac:dyDescent="0.25">
      <c r="A601" s="40">
        <v>44705</v>
      </c>
      <c r="B601">
        <v>1.987865E-5</v>
      </c>
    </row>
    <row r="602" spans="1:2" x14ac:dyDescent="0.25">
      <c r="A602" s="40">
        <v>44706</v>
      </c>
      <c r="B602">
        <v>1.99575E-5</v>
      </c>
    </row>
    <row r="603" spans="1:2" x14ac:dyDescent="0.25">
      <c r="A603" s="40">
        <v>44707</v>
      </c>
      <c r="B603">
        <v>2.0077019999999999E-5</v>
      </c>
    </row>
    <row r="604" spans="1:2" x14ac:dyDescent="0.25">
      <c r="A604" s="40">
        <v>44708</v>
      </c>
      <c r="B604">
        <v>2.0066880000000001E-5</v>
      </c>
    </row>
    <row r="605" spans="1:2" x14ac:dyDescent="0.25">
      <c r="A605" s="40">
        <v>44712</v>
      </c>
      <c r="B605">
        <v>1.9785380000000001E-5</v>
      </c>
    </row>
    <row r="606" spans="1:2" x14ac:dyDescent="0.25">
      <c r="A606" s="40">
        <v>44713</v>
      </c>
      <c r="B606">
        <v>1.965015E-5</v>
      </c>
    </row>
    <row r="607" spans="1:2" x14ac:dyDescent="0.25">
      <c r="A607" s="40">
        <v>44714</v>
      </c>
      <c r="B607">
        <v>1.9852389999999999E-5</v>
      </c>
    </row>
    <row r="608" spans="1:2" x14ac:dyDescent="0.25">
      <c r="A608" s="40">
        <v>44715</v>
      </c>
      <c r="B608">
        <v>2.0312280000000001E-5</v>
      </c>
    </row>
    <row r="609" spans="1:2" x14ac:dyDescent="0.25">
      <c r="A609" s="40">
        <v>44718</v>
      </c>
      <c r="B609">
        <v>2.0400930000000002E-5</v>
      </c>
    </row>
    <row r="610" spans="1:2" x14ac:dyDescent="0.25">
      <c r="A610" s="40">
        <v>44719</v>
      </c>
      <c r="B610">
        <v>2.091395E-5</v>
      </c>
    </row>
    <row r="611" spans="1:2" x14ac:dyDescent="0.25">
      <c r="A611" s="40">
        <v>44720</v>
      </c>
      <c r="B611">
        <v>2.1402769999999999E-5</v>
      </c>
    </row>
    <row r="612" spans="1:2" x14ac:dyDescent="0.25">
      <c r="A612" s="40">
        <v>44721</v>
      </c>
      <c r="B612">
        <v>2.142318E-5</v>
      </c>
    </row>
    <row r="613" spans="1:2" x14ac:dyDescent="0.25">
      <c r="A613" s="40">
        <v>44722</v>
      </c>
      <c r="B613">
        <v>2.1628850000000002E-5</v>
      </c>
    </row>
    <row r="614" spans="1:2" x14ac:dyDescent="0.25">
      <c r="A614" s="40">
        <v>44725</v>
      </c>
      <c r="B614">
        <v>2.2126199999999998E-5</v>
      </c>
    </row>
    <row r="615" spans="1:2" x14ac:dyDescent="0.25">
      <c r="A615" s="40">
        <v>44726</v>
      </c>
      <c r="B615">
        <v>2.2238569999999999E-5</v>
      </c>
    </row>
    <row r="616" spans="1:2" x14ac:dyDescent="0.25">
      <c r="A616" s="40">
        <v>44727</v>
      </c>
      <c r="B616">
        <v>2.1629239999999999E-5</v>
      </c>
    </row>
    <row r="617" spans="1:2" x14ac:dyDescent="0.25">
      <c r="A617" s="40">
        <v>44728</v>
      </c>
      <c r="B617">
        <v>2.1783820000000001E-5</v>
      </c>
    </row>
    <row r="618" spans="1:2" x14ac:dyDescent="0.25">
      <c r="A618" s="40">
        <v>44729</v>
      </c>
      <c r="B618">
        <v>2.229279E-5</v>
      </c>
    </row>
    <row r="619" spans="1:2" x14ac:dyDescent="0.25">
      <c r="A619" s="40">
        <v>44733</v>
      </c>
      <c r="B619">
        <v>2.1886269999999999E-5</v>
      </c>
    </row>
    <row r="620" spans="1:2" x14ac:dyDescent="0.25">
      <c r="A620" s="40">
        <v>44734</v>
      </c>
      <c r="B620">
        <v>2.2594580000000001E-5</v>
      </c>
    </row>
    <row r="621" spans="1:2" x14ac:dyDescent="0.25">
      <c r="A621" s="40">
        <v>44735</v>
      </c>
      <c r="B621">
        <v>2.2854420000000001E-5</v>
      </c>
    </row>
    <row r="622" spans="1:2" x14ac:dyDescent="0.25">
      <c r="A622" s="40">
        <v>44736</v>
      </c>
      <c r="B622">
        <v>2.1809839999999999E-5</v>
      </c>
    </row>
    <row r="623" spans="1:2" x14ac:dyDescent="0.25">
      <c r="A623" s="40">
        <v>44739</v>
      </c>
      <c r="B623">
        <v>2.155942E-5</v>
      </c>
    </row>
    <row r="624" spans="1:2" x14ac:dyDescent="0.25">
      <c r="A624" s="40">
        <v>44740</v>
      </c>
      <c r="B624">
        <v>2.2137839999999999E-5</v>
      </c>
    </row>
    <row r="625" spans="1:2" x14ac:dyDescent="0.25">
      <c r="A625" s="40">
        <v>44741</v>
      </c>
      <c r="B625">
        <v>2.2269760000000002E-5</v>
      </c>
    </row>
    <row r="626" spans="1:2" x14ac:dyDescent="0.25">
      <c r="A626" s="40">
        <v>44742</v>
      </c>
      <c r="B626">
        <v>2.329743E-5</v>
      </c>
    </row>
    <row r="627" spans="1:2" x14ac:dyDescent="0.25">
      <c r="A627" s="40">
        <v>44743</v>
      </c>
      <c r="B627">
        <v>2.1670849999999999E-5</v>
      </c>
    </row>
    <row r="628" spans="1:2" x14ac:dyDescent="0.25">
      <c r="A628" s="40">
        <v>44747</v>
      </c>
      <c r="B628">
        <v>2.1382800000000001E-5</v>
      </c>
    </row>
    <row r="629" spans="1:2" x14ac:dyDescent="0.25">
      <c r="A629" s="40">
        <v>44748</v>
      </c>
      <c r="B629">
        <v>2.1680259999999997E-5</v>
      </c>
    </row>
    <row r="630" spans="1:2" x14ac:dyDescent="0.25">
      <c r="A630" s="40">
        <v>44749</v>
      </c>
      <c r="B630">
        <v>2.172457E-5</v>
      </c>
    </row>
    <row r="631" spans="1:2" x14ac:dyDescent="0.25">
      <c r="A631" s="40">
        <v>44750</v>
      </c>
      <c r="B631">
        <v>2.1449209999999999E-5</v>
      </c>
    </row>
    <row r="632" spans="1:2" x14ac:dyDescent="0.25">
      <c r="A632" s="40">
        <v>44753</v>
      </c>
      <c r="B632">
        <v>2.1642659999999999E-5</v>
      </c>
    </row>
    <row r="633" spans="1:2" x14ac:dyDescent="0.25">
      <c r="A633" s="40">
        <v>44754</v>
      </c>
      <c r="B633">
        <v>2.1461320000000002E-5</v>
      </c>
    </row>
    <row r="634" spans="1:2" x14ac:dyDescent="0.25">
      <c r="A634" s="40">
        <v>44755</v>
      </c>
      <c r="B634">
        <v>2.1552899999999998E-5</v>
      </c>
    </row>
    <row r="635" spans="1:2" x14ac:dyDescent="0.25">
      <c r="A635" s="40">
        <v>44756</v>
      </c>
      <c r="B635">
        <v>2.207121E-5</v>
      </c>
    </row>
    <row r="636" spans="1:2" x14ac:dyDescent="0.25">
      <c r="A636" s="40">
        <v>44757</v>
      </c>
      <c r="B636">
        <v>2.1537499999999998E-5</v>
      </c>
    </row>
    <row r="637" spans="1:2" x14ac:dyDescent="0.25">
      <c r="A637" s="40">
        <v>44760</v>
      </c>
      <c r="B637">
        <v>2.1903749999999998E-5</v>
      </c>
    </row>
    <row r="638" spans="1:2" x14ac:dyDescent="0.25">
      <c r="A638" s="40">
        <v>44761</v>
      </c>
      <c r="B638">
        <v>2.2118209999999998E-5</v>
      </c>
    </row>
    <row r="639" spans="1:2" x14ac:dyDescent="0.25">
      <c r="A639" s="40">
        <v>44762</v>
      </c>
      <c r="B639">
        <v>2.2402040000000003E-5</v>
      </c>
    </row>
    <row r="640" spans="1:2" x14ac:dyDescent="0.25">
      <c r="A640" s="40">
        <v>44763</v>
      </c>
      <c r="B640">
        <v>2.2717559999999998E-5</v>
      </c>
    </row>
    <row r="641" spans="1:2" x14ac:dyDescent="0.25">
      <c r="A641" s="40">
        <v>44764</v>
      </c>
      <c r="B641">
        <v>2.2289589999999997E-5</v>
      </c>
    </row>
    <row r="642" spans="1:2" x14ac:dyDescent="0.25">
      <c r="A642" s="40">
        <v>44767</v>
      </c>
      <c r="B642">
        <v>2.1923670000000003E-5</v>
      </c>
    </row>
    <row r="643" spans="1:2" x14ac:dyDescent="0.25">
      <c r="A643" s="40">
        <v>44768</v>
      </c>
      <c r="B643">
        <v>2.1894740000000002E-5</v>
      </c>
    </row>
    <row r="644" spans="1:2" x14ac:dyDescent="0.25">
      <c r="A644" s="40">
        <v>44769</v>
      </c>
      <c r="B644">
        <v>2.1889940000000001E-5</v>
      </c>
    </row>
    <row r="645" spans="1:2" x14ac:dyDescent="0.25">
      <c r="A645" s="40">
        <v>44770</v>
      </c>
      <c r="B645">
        <v>2.2398829999999998E-5</v>
      </c>
    </row>
    <row r="646" spans="1:2" x14ac:dyDescent="0.25">
      <c r="A646" s="40">
        <v>44771</v>
      </c>
      <c r="B646">
        <v>2.3001999999999998E-5</v>
      </c>
    </row>
    <row r="647" spans="1:2" x14ac:dyDescent="0.25">
      <c r="A647" s="40">
        <v>44774</v>
      </c>
      <c r="B647">
        <v>2.1618850000000001E-5</v>
      </c>
    </row>
    <row r="648" spans="1:2" x14ac:dyDescent="0.25">
      <c r="A648" s="40">
        <v>44775</v>
      </c>
      <c r="B648">
        <v>2.1560129999999999E-5</v>
      </c>
    </row>
    <row r="649" spans="1:2" x14ac:dyDescent="0.25">
      <c r="A649" s="40">
        <v>44776</v>
      </c>
      <c r="B649">
        <v>2.1822379999999998E-5</v>
      </c>
    </row>
    <row r="650" spans="1:2" x14ac:dyDescent="0.25">
      <c r="A650" s="40">
        <v>44777</v>
      </c>
      <c r="B650">
        <v>2.1915459999999998E-5</v>
      </c>
    </row>
    <row r="651" spans="1:2" x14ac:dyDescent="0.25">
      <c r="A651" s="40">
        <v>44778</v>
      </c>
      <c r="B651">
        <v>2.1949270000000001E-5</v>
      </c>
    </row>
    <row r="652" spans="1:2" x14ac:dyDescent="0.25">
      <c r="A652" s="40">
        <v>44781</v>
      </c>
      <c r="B652">
        <v>2.1956920000000001E-5</v>
      </c>
    </row>
    <row r="653" spans="1:2" x14ac:dyDescent="0.25">
      <c r="A653" s="40">
        <v>44782</v>
      </c>
      <c r="B653">
        <v>2.1865680000000002E-5</v>
      </c>
    </row>
    <row r="654" spans="1:2" x14ac:dyDescent="0.25">
      <c r="A654" s="40">
        <v>44783</v>
      </c>
      <c r="B654">
        <v>2.1776460000000001E-5</v>
      </c>
    </row>
    <row r="655" spans="1:2" x14ac:dyDescent="0.25">
      <c r="A655" s="40">
        <v>44784</v>
      </c>
      <c r="B655">
        <v>2.1992469999999998E-5</v>
      </c>
    </row>
    <row r="656" spans="1:2" x14ac:dyDescent="0.25">
      <c r="A656" s="40">
        <v>44785</v>
      </c>
      <c r="B656">
        <v>2.2131930000000003E-5</v>
      </c>
    </row>
    <row r="657" spans="1:2" x14ac:dyDescent="0.25">
      <c r="A657" s="40">
        <v>44788</v>
      </c>
      <c r="B657">
        <v>2.175857E-5</v>
      </c>
    </row>
    <row r="658" spans="1:2" x14ac:dyDescent="0.25">
      <c r="A658" s="40">
        <v>44789</v>
      </c>
      <c r="B658">
        <v>2.165332E-5</v>
      </c>
    </row>
    <row r="659" spans="1:2" x14ac:dyDescent="0.25">
      <c r="A659" s="40">
        <v>44790</v>
      </c>
      <c r="B659">
        <v>2.1996309999999999E-5</v>
      </c>
    </row>
    <row r="660" spans="1:2" x14ac:dyDescent="0.25">
      <c r="A660" s="40">
        <v>44791</v>
      </c>
      <c r="B660">
        <v>2.2181610000000002E-5</v>
      </c>
    </row>
    <row r="661" spans="1:2" x14ac:dyDescent="0.25">
      <c r="A661" s="40">
        <v>44792</v>
      </c>
      <c r="B661">
        <v>2.2216799999999997E-5</v>
      </c>
    </row>
    <row r="662" spans="1:2" x14ac:dyDescent="0.25">
      <c r="A662" s="40">
        <v>44795</v>
      </c>
      <c r="B662">
        <v>2.2356649999999999E-5</v>
      </c>
    </row>
    <row r="663" spans="1:2" x14ac:dyDescent="0.25">
      <c r="A663" s="40">
        <v>44796</v>
      </c>
      <c r="B663">
        <v>2.2507179999999999E-5</v>
      </c>
    </row>
    <row r="664" spans="1:2" x14ac:dyDescent="0.25">
      <c r="A664" s="40">
        <v>44797</v>
      </c>
      <c r="B664">
        <v>2.2370720000000001E-5</v>
      </c>
    </row>
    <row r="665" spans="1:2" x14ac:dyDescent="0.25">
      <c r="A665" s="40">
        <v>44798</v>
      </c>
      <c r="B665">
        <v>2.187907E-5</v>
      </c>
    </row>
    <row r="666" spans="1:2" x14ac:dyDescent="0.25">
      <c r="A666" s="40">
        <v>44799</v>
      </c>
      <c r="B666">
        <v>2.1824520000000002E-5</v>
      </c>
    </row>
    <row r="667" spans="1:2" x14ac:dyDescent="0.25">
      <c r="A667" s="40">
        <v>44802</v>
      </c>
      <c r="B667">
        <v>2.205188E-5</v>
      </c>
    </row>
    <row r="668" spans="1:2" x14ac:dyDescent="0.25">
      <c r="A668" s="40">
        <v>44803</v>
      </c>
      <c r="B668">
        <v>2.1889749999999998E-5</v>
      </c>
    </row>
    <row r="669" spans="1:2" x14ac:dyDescent="0.25">
      <c r="A669" s="40">
        <v>44804</v>
      </c>
      <c r="B669">
        <v>2.251025E-5</v>
      </c>
    </row>
    <row r="670" spans="1:2" x14ac:dyDescent="0.25">
      <c r="A670" s="40">
        <v>44805</v>
      </c>
      <c r="B670">
        <v>2.1731560000000001E-5</v>
      </c>
    </row>
    <row r="671" spans="1:2" x14ac:dyDescent="0.25">
      <c r="A671" s="40">
        <v>44806</v>
      </c>
      <c r="B671">
        <v>2.1734130000000001E-5</v>
      </c>
    </row>
    <row r="672" spans="1:2" x14ac:dyDescent="0.25">
      <c r="A672" s="40">
        <v>44810</v>
      </c>
      <c r="B672">
        <v>2.1887959999999998E-5</v>
      </c>
    </row>
    <row r="673" spans="1:2" x14ac:dyDescent="0.25">
      <c r="A673" s="40">
        <v>44811</v>
      </c>
      <c r="B673">
        <v>2.2069870000000002E-5</v>
      </c>
    </row>
    <row r="674" spans="1:2" x14ac:dyDescent="0.25">
      <c r="A674" s="40">
        <v>44812</v>
      </c>
      <c r="B674">
        <v>2.2104659999999999E-5</v>
      </c>
    </row>
    <row r="675" spans="1:2" x14ac:dyDescent="0.25">
      <c r="A675" s="40">
        <v>44813</v>
      </c>
      <c r="B675">
        <v>2.2097139999999998E-5</v>
      </c>
    </row>
    <row r="676" spans="1:2" x14ac:dyDescent="0.25">
      <c r="A676" s="40">
        <v>44816</v>
      </c>
      <c r="B676">
        <v>2.2185459999999997E-5</v>
      </c>
    </row>
    <row r="677" spans="1:2" x14ac:dyDescent="0.25">
      <c r="A677" s="40">
        <v>44817</v>
      </c>
      <c r="B677">
        <v>2.2027190000000001E-5</v>
      </c>
    </row>
    <row r="678" spans="1:2" x14ac:dyDescent="0.25">
      <c r="A678" s="40">
        <v>44818</v>
      </c>
      <c r="B678">
        <v>2.2255790000000001E-5</v>
      </c>
    </row>
    <row r="679" spans="1:2" x14ac:dyDescent="0.25">
      <c r="A679" s="40">
        <v>44819</v>
      </c>
      <c r="B679">
        <v>2.1761880000000001E-5</v>
      </c>
    </row>
    <row r="680" spans="1:2" x14ac:dyDescent="0.25">
      <c r="A680" s="40">
        <v>44820</v>
      </c>
      <c r="B680">
        <v>2.1868330000000001E-5</v>
      </c>
    </row>
    <row r="681" spans="1:2" x14ac:dyDescent="0.25">
      <c r="A681" s="40">
        <v>44823</v>
      </c>
      <c r="B681">
        <v>2.2175419999999999E-5</v>
      </c>
    </row>
    <row r="682" spans="1:2" x14ac:dyDescent="0.25">
      <c r="A682" s="40">
        <v>44824</v>
      </c>
      <c r="B682">
        <v>2.2388699999999998E-5</v>
      </c>
    </row>
    <row r="683" spans="1:2" x14ac:dyDescent="0.25">
      <c r="A683" s="40">
        <v>44825</v>
      </c>
      <c r="B683">
        <v>2.3159E-5</v>
      </c>
    </row>
    <row r="684" spans="1:2" x14ac:dyDescent="0.25">
      <c r="A684" s="40">
        <v>44826</v>
      </c>
      <c r="B684">
        <v>2.3592269999999999E-5</v>
      </c>
    </row>
    <row r="685" spans="1:2" x14ac:dyDescent="0.25">
      <c r="A685" s="40">
        <v>44827</v>
      </c>
      <c r="B685">
        <v>2.3193609999999998E-5</v>
      </c>
    </row>
    <row r="686" spans="1:2" x14ac:dyDescent="0.25">
      <c r="A686" s="40">
        <v>44830</v>
      </c>
      <c r="B686">
        <v>2.2990109999999999E-5</v>
      </c>
    </row>
    <row r="687" spans="1:2" x14ac:dyDescent="0.25">
      <c r="A687" s="40">
        <v>44831</v>
      </c>
      <c r="B687">
        <v>2.3271109999999999E-5</v>
      </c>
    </row>
    <row r="688" spans="1:2" x14ac:dyDescent="0.25">
      <c r="A688" s="40">
        <v>44832</v>
      </c>
      <c r="B688">
        <v>2.3667979999999996E-5</v>
      </c>
    </row>
    <row r="689" spans="1:2" x14ac:dyDescent="0.25">
      <c r="A689" s="40">
        <v>44833</v>
      </c>
      <c r="B689">
        <v>2.371763E-5</v>
      </c>
    </row>
    <row r="690" spans="1:2" x14ac:dyDescent="0.25">
      <c r="A690" s="40">
        <v>44834</v>
      </c>
      <c r="B690">
        <v>2.42591E-5</v>
      </c>
    </row>
    <row r="691" spans="1:2" x14ac:dyDescent="0.25">
      <c r="A691" s="40">
        <v>44837</v>
      </c>
      <c r="B691">
        <v>2.2525230000000001E-5</v>
      </c>
    </row>
    <row r="692" spans="1:2" x14ac:dyDescent="0.25">
      <c r="A692" s="40">
        <v>44838</v>
      </c>
      <c r="B692">
        <v>2.2336159999999999E-5</v>
      </c>
    </row>
    <row r="693" spans="1:2" x14ac:dyDescent="0.25">
      <c r="A693" s="40">
        <v>44839</v>
      </c>
      <c r="B693">
        <v>2.230799E-5</v>
      </c>
    </row>
    <row r="694" spans="1:2" x14ac:dyDescent="0.25">
      <c r="A694" s="40">
        <v>44840</v>
      </c>
      <c r="B694">
        <v>2.2328009999999998E-5</v>
      </c>
    </row>
    <row r="695" spans="1:2" x14ac:dyDescent="0.25">
      <c r="A695" s="40">
        <v>44841</v>
      </c>
      <c r="B695">
        <v>2.2269499999999997E-5</v>
      </c>
    </row>
    <row r="696" spans="1:2" x14ac:dyDescent="0.25">
      <c r="A696" s="40">
        <v>44845</v>
      </c>
      <c r="B696">
        <v>2.2224789999999997E-5</v>
      </c>
    </row>
    <row r="697" spans="1:2" x14ac:dyDescent="0.25">
      <c r="A697" s="40">
        <v>44846</v>
      </c>
      <c r="B697">
        <v>2.2472060000000002E-5</v>
      </c>
    </row>
    <row r="698" spans="1:2" x14ac:dyDescent="0.25">
      <c r="A698" s="40">
        <v>44847</v>
      </c>
      <c r="B698">
        <v>2.2440999999999997E-5</v>
      </c>
    </row>
    <row r="699" spans="1:2" x14ac:dyDescent="0.25">
      <c r="A699" s="40">
        <v>44848</v>
      </c>
      <c r="B699">
        <v>2.222052E-5</v>
      </c>
    </row>
    <row r="700" spans="1:2" x14ac:dyDescent="0.25">
      <c r="A700" s="40">
        <v>44851</v>
      </c>
      <c r="B700">
        <v>2.1723009999999999E-5</v>
      </c>
    </row>
    <row r="701" spans="1:2" x14ac:dyDescent="0.25">
      <c r="A701" s="40">
        <v>44852</v>
      </c>
      <c r="B701">
        <v>2.2267249999999999E-5</v>
      </c>
    </row>
    <row r="702" spans="1:2" x14ac:dyDescent="0.25">
      <c r="A702" s="40">
        <v>44853</v>
      </c>
      <c r="B702">
        <v>2.2418350000000002E-5</v>
      </c>
    </row>
    <row r="703" spans="1:2" x14ac:dyDescent="0.25">
      <c r="A703" s="40">
        <v>44854</v>
      </c>
      <c r="B703">
        <v>2.2340709999999998E-5</v>
      </c>
    </row>
    <row r="704" spans="1:2" x14ac:dyDescent="0.25">
      <c r="A704" s="40">
        <v>44855</v>
      </c>
      <c r="B704">
        <v>2.2658090000000002E-5</v>
      </c>
    </row>
    <row r="705" spans="1:2" x14ac:dyDescent="0.25">
      <c r="A705" s="40">
        <v>44858</v>
      </c>
      <c r="B705">
        <v>2.2420439999999999E-5</v>
      </c>
    </row>
    <row r="706" spans="1:2" x14ac:dyDescent="0.25">
      <c r="A706" s="40">
        <v>44859</v>
      </c>
      <c r="B706">
        <v>2.1956159999999999E-5</v>
      </c>
    </row>
    <row r="707" spans="1:2" x14ac:dyDescent="0.25">
      <c r="A707" s="40">
        <v>44860</v>
      </c>
      <c r="B707">
        <v>2.1868560000000003E-5</v>
      </c>
    </row>
    <row r="708" spans="1:2" x14ac:dyDescent="0.25">
      <c r="A708" s="40">
        <v>44861</v>
      </c>
      <c r="B708">
        <v>2.1524850000000001E-5</v>
      </c>
    </row>
    <row r="709" spans="1:2" x14ac:dyDescent="0.25">
      <c r="A709" s="40">
        <v>44862</v>
      </c>
      <c r="B709">
        <v>2.1832899999999999E-5</v>
      </c>
    </row>
    <row r="710" spans="1:2" x14ac:dyDescent="0.25">
      <c r="A710" s="40">
        <v>44865</v>
      </c>
      <c r="B710">
        <v>2.275459E-5</v>
      </c>
    </row>
    <row r="711" spans="1:2" x14ac:dyDescent="0.25">
      <c r="A711" s="40">
        <v>44866</v>
      </c>
      <c r="B711">
        <v>2.2005100000000004E-5</v>
      </c>
    </row>
    <row r="712" spans="1:2" x14ac:dyDescent="0.25">
      <c r="A712" s="40">
        <v>44867</v>
      </c>
      <c r="B712">
        <v>2.2298609999999998E-5</v>
      </c>
    </row>
    <row r="713" spans="1:2" x14ac:dyDescent="0.25">
      <c r="A713" s="40">
        <v>44868</v>
      </c>
      <c r="B713">
        <v>2.219791E-5</v>
      </c>
    </row>
    <row r="714" spans="1:2" x14ac:dyDescent="0.25">
      <c r="A714" s="40">
        <v>44869</v>
      </c>
      <c r="B714">
        <v>2.2308400000000001E-5</v>
      </c>
    </row>
    <row r="715" spans="1:2" x14ac:dyDescent="0.25">
      <c r="A715" s="40">
        <v>44872</v>
      </c>
      <c r="B715">
        <v>2.2413169999999999E-5</v>
      </c>
    </row>
    <row r="716" spans="1:2" x14ac:dyDescent="0.25">
      <c r="A716" s="40">
        <v>44873</v>
      </c>
      <c r="B716">
        <v>2.2325549999999998E-5</v>
      </c>
    </row>
    <row r="717" spans="1:2" x14ac:dyDescent="0.25">
      <c r="A717" s="40">
        <v>44874</v>
      </c>
      <c r="B717">
        <v>2.237812E-5</v>
      </c>
    </row>
    <row r="718" spans="1:2" x14ac:dyDescent="0.25">
      <c r="A718" s="40">
        <v>44875</v>
      </c>
      <c r="B718">
        <v>2.2005859999999999E-5</v>
      </c>
    </row>
    <row r="719" spans="1:2" x14ac:dyDescent="0.25">
      <c r="A719" s="40">
        <v>44879</v>
      </c>
      <c r="B719">
        <v>2.165018E-5</v>
      </c>
    </row>
    <row r="720" spans="1:2" x14ac:dyDescent="0.25">
      <c r="A720" s="40">
        <v>44880</v>
      </c>
      <c r="B720">
        <v>2.0865740000000002E-5</v>
      </c>
    </row>
    <row r="721" spans="1:2" x14ac:dyDescent="0.25">
      <c r="A721" s="40">
        <v>44881</v>
      </c>
      <c r="B721">
        <v>2.0990700000000002E-5</v>
      </c>
    </row>
    <row r="722" spans="1:2" x14ac:dyDescent="0.25">
      <c r="A722" s="40">
        <v>44882</v>
      </c>
      <c r="B722">
        <v>2.114439E-5</v>
      </c>
    </row>
    <row r="723" spans="1:2" x14ac:dyDescent="0.25">
      <c r="A723" s="40">
        <v>44883</v>
      </c>
      <c r="B723">
        <v>2.113413E-5</v>
      </c>
    </row>
    <row r="724" spans="1:2" x14ac:dyDescent="0.25">
      <c r="A724" s="40">
        <v>44886</v>
      </c>
      <c r="B724">
        <v>2.1254259999999998E-5</v>
      </c>
    </row>
    <row r="725" spans="1:2" x14ac:dyDescent="0.25">
      <c r="A725" s="40">
        <v>44887</v>
      </c>
      <c r="B725">
        <v>2.1039319999999998E-5</v>
      </c>
    </row>
    <row r="726" spans="1:2" x14ac:dyDescent="0.25">
      <c r="A726" s="40">
        <v>44888</v>
      </c>
      <c r="B726">
        <v>2.069174E-5</v>
      </c>
    </row>
    <row r="727" spans="1:2" x14ac:dyDescent="0.25">
      <c r="A727" s="40">
        <v>44890</v>
      </c>
      <c r="B727">
        <v>2.0310659999999999E-5</v>
      </c>
    </row>
    <row r="728" spans="1:2" x14ac:dyDescent="0.25">
      <c r="A728" s="40">
        <v>44893</v>
      </c>
      <c r="B728">
        <v>2.0549140000000002E-5</v>
      </c>
    </row>
    <row r="729" spans="1:2" x14ac:dyDescent="0.25">
      <c r="A729" s="40">
        <v>44894</v>
      </c>
      <c r="B729">
        <v>2.0643769999999998E-5</v>
      </c>
    </row>
    <row r="730" spans="1:2" x14ac:dyDescent="0.25">
      <c r="A730" s="40">
        <v>44895</v>
      </c>
      <c r="B730">
        <v>2.1159130000000001E-5</v>
      </c>
    </row>
    <row r="731" spans="1:2" x14ac:dyDescent="0.25">
      <c r="A731" s="40">
        <v>44896</v>
      </c>
      <c r="B731">
        <v>2.050286E-5</v>
      </c>
    </row>
    <row r="732" spans="1:2" x14ac:dyDescent="0.25">
      <c r="A732" s="40">
        <v>44897</v>
      </c>
      <c r="B732">
        <v>2.049763E-5</v>
      </c>
    </row>
    <row r="733" spans="1:2" x14ac:dyDescent="0.25">
      <c r="A733" s="40">
        <v>44900</v>
      </c>
      <c r="B733">
        <v>2.093647E-5</v>
      </c>
    </row>
    <row r="734" spans="1:2" x14ac:dyDescent="0.25">
      <c r="A734" s="40">
        <v>44901</v>
      </c>
      <c r="B734">
        <v>2.1114650000000003E-5</v>
      </c>
    </row>
    <row r="735" spans="1:2" x14ac:dyDescent="0.25">
      <c r="A735" s="40">
        <v>44902</v>
      </c>
      <c r="B735">
        <v>2.151549E-5</v>
      </c>
    </row>
    <row r="736" spans="1:2" x14ac:dyDescent="0.25">
      <c r="A736" s="40">
        <v>44903</v>
      </c>
      <c r="B736">
        <v>2.175973E-5</v>
      </c>
    </row>
    <row r="737" spans="1:2" x14ac:dyDescent="0.25">
      <c r="A737" s="40">
        <v>44904</v>
      </c>
      <c r="B737">
        <v>2.1467479999999999E-5</v>
      </c>
    </row>
    <row r="738" spans="1:2" x14ac:dyDescent="0.25">
      <c r="A738" s="40">
        <v>44907</v>
      </c>
      <c r="B738">
        <v>2.1585169999999999E-5</v>
      </c>
    </row>
    <row r="739" spans="1:2" x14ac:dyDescent="0.25">
      <c r="A739" s="40">
        <v>44908</v>
      </c>
      <c r="B739">
        <v>2.180676E-5</v>
      </c>
    </row>
    <row r="740" spans="1:2" x14ac:dyDescent="0.25">
      <c r="A740" s="40">
        <v>44909</v>
      </c>
      <c r="B740">
        <v>2.1928640000000002E-5</v>
      </c>
    </row>
    <row r="741" spans="1:2" x14ac:dyDescent="0.25">
      <c r="A741" s="40">
        <v>44910</v>
      </c>
      <c r="B741">
        <v>2.123995E-5</v>
      </c>
    </row>
    <row r="742" spans="1:2" x14ac:dyDescent="0.25">
      <c r="A742" s="40">
        <v>44911</v>
      </c>
      <c r="B742">
        <v>2.1265399999999998E-5</v>
      </c>
    </row>
    <row r="743" spans="1:2" x14ac:dyDescent="0.25">
      <c r="A743" s="40">
        <v>44914</v>
      </c>
      <c r="B743">
        <v>2.1347649999999999E-5</v>
      </c>
    </row>
    <row r="744" spans="1:2" x14ac:dyDescent="0.25">
      <c r="A744" s="40">
        <v>44915</v>
      </c>
      <c r="B744">
        <v>2.1594079999999999E-5</v>
      </c>
    </row>
    <row r="745" spans="1:2" x14ac:dyDescent="0.25">
      <c r="A745" s="40">
        <v>44916</v>
      </c>
      <c r="B745">
        <v>2.2069650000000003E-5</v>
      </c>
    </row>
    <row r="746" spans="1:2" x14ac:dyDescent="0.25">
      <c r="A746" s="40">
        <v>44917</v>
      </c>
      <c r="B746">
        <v>2.2228980000000002E-5</v>
      </c>
    </row>
    <row r="747" spans="1:2" x14ac:dyDescent="0.25">
      <c r="A747" s="40">
        <v>44918</v>
      </c>
      <c r="B747">
        <v>2.2163480000000001E-5</v>
      </c>
    </row>
    <row r="748" spans="1:2" x14ac:dyDescent="0.25">
      <c r="A748" s="40">
        <v>44922</v>
      </c>
      <c r="B748">
        <v>2.2212590000000001E-5</v>
      </c>
    </row>
    <row r="749" spans="1:2" x14ac:dyDescent="0.25">
      <c r="A749" s="40">
        <v>44923</v>
      </c>
      <c r="B749">
        <v>2.2930030000000001E-5</v>
      </c>
    </row>
    <row r="750" spans="1:2" x14ac:dyDescent="0.25">
      <c r="A750" s="40">
        <v>44924</v>
      </c>
      <c r="B750">
        <v>2.3083189999999999E-5</v>
      </c>
    </row>
    <row r="751" spans="1:2" x14ac:dyDescent="0.25">
      <c r="A751" s="40">
        <v>44925</v>
      </c>
      <c r="B751">
        <v>2.5537159999999997E-5</v>
      </c>
    </row>
    <row r="752" spans="1:2" x14ac:dyDescent="0.25">
      <c r="A752" s="40">
        <v>44929</v>
      </c>
      <c r="B752">
        <v>2.1882719999999998E-5</v>
      </c>
    </row>
    <row r="753" spans="1:2" x14ac:dyDescent="0.25">
      <c r="A753" s="40">
        <v>44930</v>
      </c>
      <c r="B753">
        <v>2.2295419999999998E-5</v>
      </c>
    </row>
    <row r="754" spans="1:2" x14ac:dyDescent="0.25">
      <c r="A754" s="40">
        <v>44931</v>
      </c>
      <c r="B754">
        <v>2.242486E-5</v>
      </c>
    </row>
    <row r="755" spans="1:2" x14ac:dyDescent="0.25">
      <c r="A755" s="40">
        <v>44932</v>
      </c>
      <c r="B755">
        <v>2.2082649999999998E-5</v>
      </c>
    </row>
    <row r="756" spans="1:2" x14ac:dyDescent="0.25">
      <c r="A756" s="40">
        <v>44935</v>
      </c>
      <c r="B756">
        <v>2.1991210000000001E-5</v>
      </c>
    </row>
    <row r="757" spans="1:2" x14ac:dyDescent="0.25">
      <c r="A757" s="40">
        <v>44936</v>
      </c>
      <c r="B757">
        <v>2.1929419999999998E-5</v>
      </c>
    </row>
    <row r="758" spans="1:2" x14ac:dyDescent="0.25">
      <c r="A758" s="40">
        <v>44937</v>
      </c>
      <c r="B758">
        <v>2.1991700000000002E-5</v>
      </c>
    </row>
    <row r="759" spans="1:2" x14ac:dyDescent="0.25">
      <c r="A759" s="40">
        <v>44938</v>
      </c>
      <c r="B759">
        <v>2.202989E-5</v>
      </c>
    </row>
    <row r="760" spans="1:2" x14ac:dyDescent="0.25">
      <c r="A760" s="40">
        <v>44939</v>
      </c>
      <c r="B760">
        <v>2.1797810000000001E-5</v>
      </c>
    </row>
    <row r="761" spans="1:2" x14ac:dyDescent="0.25">
      <c r="A761" s="40">
        <v>44943</v>
      </c>
      <c r="B761">
        <v>2.093328E-5</v>
      </c>
    </row>
    <row r="762" spans="1:2" x14ac:dyDescent="0.25">
      <c r="A762" s="40">
        <v>44944</v>
      </c>
      <c r="B762">
        <v>2.1316779999999998E-5</v>
      </c>
    </row>
    <row r="763" spans="1:2" x14ac:dyDescent="0.25">
      <c r="A763" s="40">
        <v>44945</v>
      </c>
      <c r="B763">
        <v>2.1101450000000001E-5</v>
      </c>
    </row>
    <row r="764" spans="1:2" x14ac:dyDescent="0.25">
      <c r="A764" s="40">
        <v>44946</v>
      </c>
      <c r="B764">
        <v>2.090523E-5</v>
      </c>
    </row>
    <row r="765" spans="1:2" x14ac:dyDescent="0.25">
      <c r="A765" s="40">
        <v>44949</v>
      </c>
      <c r="B765">
        <v>2.1354989999999997E-5</v>
      </c>
    </row>
    <row r="766" spans="1:2" x14ac:dyDescent="0.25">
      <c r="A766" s="40">
        <v>44950</v>
      </c>
      <c r="B766">
        <v>2.0483859999999999E-5</v>
      </c>
    </row>
    <row r="767" spans="1:2" x14ac:dyDescent="0.25">
      <c r="A767" s="40">
        <v>44951</v>
      </c>
      <c r="B767">
        <v>2.031561E-5</v>
      </c>
    </row>
    <row r="768" spans="1:2" x14ac:dyDescent="0.25">
      <c r="A768" s="40">
        <v>44952</v>
      </c>
      <c r="B768">
        <v>2.024069E-5</v>
      </c>
    </row>
    <row r="769" spans="1:2" x14ac:dyDescent="0.25">
      <c r="A769" s="40">
        <v>44953</v>
      </c>
      <c r="B769">
        <v>2.0036339999999999E-5</v>
      </c>
    </row>
    <row r="770" spans="1:2" x14ac:dyDescent="0.25">
      <c r="A770" s="40">
        <v>44956</v>
      </c>
      <c r="B770">
        <v>2.0487139999999998E-5</v>
      </c>
    </row>
    <row r="771" spans="1:2" x14ac:dyDescent="0.25">
      <c r="A771" s="40">
        <v>44957</v>
      </c>
      <c r="B771">
        <v>2.0615720000000001E-5</v>
      </c>
    </row>
    <row r="772" spans="1:2" x14ac:dyDescent="0.25">
      <c r="A772" s="40">
        <v>44958</v>
      </c>
      <c r="B772">
        <v>2.0382619999999998E-5</v>
      </c>
    </row>
    <row r="773" spans="1:2" x14ac:dyDescent="0.25">
      <c r="A773" s="40">
        <v>44959</v>
      </c>
      <c r="B773">
        <v>2.050063E-5</v>
      </c>
    </row>
    <row r="774" spans="1:2" x14ac:dyDescent="0.25">
      <c r="A774" s="40">
        <v>44960</v>
      </c>
      <c r="B774">
        <v>2.0412170000000002E-5</v>
      </c>
    </row>
    <row r="775" spans="1:2" x14ac:dyDescent="0.25">
      <c r="A775" s="40">
        <v>44963</v>
      </c>
      <c r="B775">
        <v>2.0722610000000001E-5</v>
      </c>
    </row>
    <row r="776" spans="1:2" x14ac:dyDescent="0.25">
      <c r="A776" s="40">
        <v>44964</v>
      </c>
      <c r="B776">
        <v>2.0579580000000001E-5</v>
      </c>
    </row>
    <row r="777" spans="1:2" x14ac:dyDescent="0.25">
      <c r="A777" s="40">
        <v>44965</v>
      </c>
      <c r="B777">
        <v>2.0596039999999997E-5</v>
      </c>
    </row>
    <row r="778" spans="1:2" x14ac:dyDescent="0.25">
      <c r="A778" s="40">
        <v>44966</v>
      </c>
      <c r="B778">
        <v>2.0589420000000001E-5</v>
      </c>
    </row>
    <row r="779" spans="1:2" x14ac:dyDescent="0.25">
      <c r="A779" s="40">
        <v>44967</v>
      </c>
      <c r="B779">
        <v>2.0428929999999999E-5</v>
      </c>
    </row>
    <row r="780" spans="1:2" x14ac:dyDescent="0.25">
      <c r="A780" s="40">
        <v>44970</v>
      </c>
      <c r="B780">
        <v>2.107775E-5</v>
      </c>
    </row>
    <row r="781" spans="1:2" x14ac:dyDescent="0.25">
      <c r="A781" s="40">
        <v>44971</v>
      </c>
      <c r="B781">
        <v>2.0765479999999998E-5</v>
      </c>
    </row>
    <row r="782" spans="1:2" x14ac:dyDescent="0.25">
      <c r="A782" s="40">
        <v>44972</v>
      </c>
      <c r="B782">
        <v>2.0119979999999999E-5</v>
      </c>
    </row>
    <row r="783" spans="1:2" x14ac:dyDescent="0.25">
      <c r="A783" s="40">
        <v>44973</v>
      </c>
      <c r="B783">
        <v>2.032457E-5</v>
      </c>
    </row>
    <row r="784" spans="1:2" x14ac:dyDescent="0.25">
      <c r="A784" s="40">
        <v>44974</v>
      </c>
      <c r="B784">
        <v>2.0596619999999997E-5</v>
      </c>
    </row>
    <row r="785" spans="1:2" x14ac:dyDescent="0.25">
      <c r="A785" s="40">
        <v>44978</v>
      </c>
      <c r="B785">
        <v>2.0460640000000001E-5</v>
      </c>
    </row>
    <row r="786" spans="1:2" x14ac:dyDescent="0.25">
      <c r="A786" s="40">
        <v>44979</v>
      </c>
      <c r="B786">
        <v>2.113849E-5</v>
      </c>
    </row>
    <row r="787" spans="1:2" x14ac:dyDescent="0.25">
      <c r="A787" s="40">
        <v>44980</v>
      </c>
      <c r="B787">
        <v>2.147417E-5</v>
      </c>
    </row>
    <row r="788" spans="1:2" x14ac:dyDescent="0.25">
      <c r="A788" s="40">
        <v>44981</v>
      </c>
      <c r="B788">
        <v>2.1421410000000002E-5</v>
      </c>
    </row>
    <row r="789" spans="1:2" x14ac:dyDescent="0.25">
      <c r="A789" s="40">
        <v>44984</v>
      </c>
      <c r="B789">
        <v>2.1624349999999999E-5</v>
      </c>
    </row>
    <row r="790" spans="1:2" x14ac:dyDescent="0.25">
      <c r="A790" s="40">
        <v>44985</v>
      </c>
      <c r="B790">
        <v>2.1880349999999998E-5</v>
      </c>
    </row>
    <row r="791" spans="1:2" x14ac:dyDescent="0.25">
      <c r="A791" s="40">
        <v>44986</v>
      </c>
      <c r="B791">
        <v>2.1339499999999998E-5</v>
      </c>
    </row>
    <row r="792" spans="1:2" x14ac:dyDescent="0.25">
      <c r="A792" s="40">
        <v>44987</v>
      </c>
      <c r="B792">
        <v>2.1923550000000001E-5</v>
      </c>
    </row>
    <row r="793" spans="1:2" x14ac:dyDescent="0.25">
      <c r="A793" s="40">
        <v>44988</v>
      </c>
      <c r="B793">
        <v>2.1861500000000001E-5</v>
      </c>
    </row>
    <row r="794" spans="1:2" x14ac:dyDescent="0.25">
      <c r="A794" s="40">
        <v>44991</v>
      </c>
      <c r="B794">
        <v>2.1907930000000003E-5</v>
      </c>
    </row>
    <row r="795" spans="1:2" x14ac:dyDescent="0.25">
      <c r="A795" s="40">
        <v>44992</v>
      </c>
      <c r="B795">
        <v>2.1701950000000003E-5</v>
      </c>
    </row>
    <row r="796" spans="1:2" x14ac:dyDescent="0.25">
      <c r="A796" s="40">
        <v>44993</v>
      </c>
      <c r="B796">
        <v>2.1932370000000002E-5</v>
      </c>
    </row>
    <row r="797" spans="1:2" x14ac:dyDescent="0.25">
      <c r="A797" s="40">
        <v>44994</v>
      </c>
      <c r="B797">
        <v>2.229623E-5</v>
      </c>
    </row>
    <row r="798" spans="1:2" x14ac:dyDescent="0.25">
      <c r="A798" s="40">
        <v>44995</v>
      </c>
      <c r="B798">
        <v>2.1883749999999999E-5</v>
      </c>
    </row>
    <row r="799" spans="1:2" x14ac:dyDescent="0.25">
      <c r="A799" s="40">
        <v>44998</v>
      </c>
      <c r="B799">
        <v>2.1266770000000002E-5</v>
      </c>
    </row>
    <row r="800" spans="1:2" x14ac:dyDescent="0.25">
      <c r="A800" s="40">
        <v>44999</v>
      </c>
      <c r="B800">
        <v>2.0425789999999999E-5</v>
      </c>
    </row>
    <row r="801" spans="1:2" x14ac:dyDescent="0.25">
      <c r="A801" s="40">
        <v>45000</v>
      </c>
      <c r="B801">
        <v>2.0558229999999998E-5</v>
      </c>
    </row>
    <row r="802" spans="1:2" x14ac:dyDescent="0.25">
      <c r="A802" s="40">
        <v>45001</v>
      </c>
      <c r="B802">
        <v>2.0663189999999998E-5</v>
      </c>
    </row>
    <row r="803" spans="1:2" x14ac:dyDescent="0.25">
      <c r="A803" s="40">
        <v>45002</v>
      </c>
      <c r="B803">
        <v>2.1061660000000003E-5</v>
      </c>
    </row>
    <row r="804" spans="1:2" x14ac:dyDescent="0.25">
      <c r="A804" s="40">
        <v>45005</v>
      </c>
      <c r="B804">
        <v>2.098393E-5</v>
      </c>
    </row>
    <row r="805" spans="1:2" x14ac:dyDescent="0.25">
      <c r="A805" s="40">
        <v>45006</v>
      </c>
      <c r="B805">
        <v>2.1946309999999998E-5</v>
      </c>
    </row>
    <row r="806" spans="1:2" x14ac:dyDescent="0.25">
      <c r="A806" s="40">
        <v>45007</v>
      </c>
      <c r="B806">
        <v>2.2796080000000002E-5</v>
      </c>
    </row>
    <row r="807" spans="1:2" x14ac:dyDescent="0.25">
      <c r="A807" s="40">
        <v>45008</v>
      </c>
      <c r="B807">
        <v>2.2339560000000003E-5</v>
      </c>
    </row>
    <row r="808" spans="1:2" x14ac:dyDescent="0.25">
      <c r="A808" s="40">
        <v>45009</v>
      </c>
      <c r="B808">
        <v>2.218458E-5</v>
      </c>
    </row>
    <row r="809" spans="1:2" x14ac:dyDescent="0.25">
      <c r="A809" s="40">
        <v>45012</v>
      </c>
      <c r="B809">
        <v>2.2201309999999998E-5</v>
      </c>
    </row>
    <row r="810" spans="1:2" x14ac:dyDescent="0.25">
      <c r="A810" s="40">
        <v>45013</v>
      </c>
      <c r="B810">
        <v>2.2317489999999997E-5</v>
      </c>
    </row>
    <row r="811" spans="1:2" x14ac:dyDescent="0.25">
      <c r="A811" s="40">
        <v>45014</v>
      </c>
      <c r="B811">
        <v>2.264862E-5</v>
      </c>
    </row>
    <row r="812" spans="1:2" x14ac:dyDescent="0.25">
      <c r="A812" s="40">
        <v>45015</v>
      </c>
      <c r="B812">
        <v>2.271531E-5</v>
      </c>
    </row>
    <row r="813" spans="1:2" x14ac:dyDescent="0.25">
      <c r="A813" s="40">
        <v>45016</v>
      </c>
      <c r="B813">
        <v>2.3751709999999999E-5</v>
      </c>
    </row>
    <row r="814" spans="1:2" x14ac:dyDescent="0.25">
      <c r="A814" s="40">
        <v>45019</v>
      </c>
      <c r="B814">
        <v>2.2210100000000003E-5</v>
      </c>
    </row>
    <row r="815" spans="1:2" x14ac:dyDescent="0.25">
      <c r="A815" s="40">
        <v>45020</v>
      </c>
      <c r="B815">
        <v>2.2193750000000001E-5</v>
      </c>
    </row>
    <row r="816" spans="1:2" x14ac:dyDescent="0.25">
      <c r="A816" s="40">
        <v>45021</v>
      </c>
      <c r="B816">
        <v>2.2430110000000001E-5</v>
      </c>
    </row>
    <row r="817" spans="1:2" x14ac:dyDescent="0.25">
      <c r="A817" s="40">
        <v>45022</v>
      </c>
      <c r="B817">
        <v>2.173663E-5</v>
      </c>
    </row>
    <row r="818" spans="1:2" x14ac:dyDescent="0.25">
      <c r="A818" s="40">
        <v>45026</v>
      </c>
      <c r="B818">
        <v>2.2396550000000002E-5</v>
      </c>
    </row>
    <row r="819" spans="1:2" x14ac:dyDescent="0.25">
      <c r="A819" s="40">
        <v>45027</v>
      </c>
      <c r="B819">
        <v>2.2972080000000002E-5</v>
      </c>
    </row>
    <row r="820" spans="1:2" x14ac:dyDescent="0.25">
      <c r="A820" s="40">
        <v>45028</v>
      </c>
      <c r="B820">
        <v>2.3038620000000001E-5</v>
      </c>
    </row>
    <row r="821" spans="1:2" x14ac:dyDescent="0.25">
      <c r="A821" s="40">
        <v>45029</v>
      </c>
      <c r="B821">
        <v>2.3216990000000001E-5</v>
      </c>
    </row>
    <row r="822" spans="1:2" x14ac:dyDescent="0.25">
      <c r="A822" s="40">
        <v>45030</v>
      </c>
      <c r="B822">
        <v>2.253786E-5</v>
      </c>
    </row>
    <row r="823" spans="1:2" x14ac:dyDescent="0.25">
      <c r="A823" s="40">
        <v>45033</v>
      </c>
      <c r="B823">
        <v>2.2568449999999999E-5</v>
      </c>
    </row>
    <row r="824" spans="1:2" x14ac:dyDescent="0.25">
      <c r="A824" s="40">
        <v>45034</v>
      </c>
      <c r="B824">
        <v>2.238994E-5</v>
      </c>
    </row>
    <row r="825" spans="1:2" x14ac:dyDescent="0.25">
      <c r="A825" s="40">
        <v>45035</v>
      </c>
      <c r="B825">
        <v>2.294677E-5</v>
      </c>
    </row>
    <row r="826" spans="1:2" x14ac:dyDescent="0.25">
      <c r="A826" s="40">
        <v>45036</v>
      </c>
      <c r="B826">
        <v>2.2772589999999999E-5</v>
      </c>
    </row>
    <row r="827" spans="1:2" x14ac:dyDescent="0.25">
      <c r="A827" s="40">
        <v>45037</v>
      </c>
      <c r="B827">
        <v>2.290023E-5</v>
      </c>
    </row>
    <row r="828" spans="1:2" x14ac:dyDescent="0.25">
      <c r="A828" s="40">
        <v>45040</v>
      </c>
      <c r="B828">
        <v>2.308538E-5</v>
      </c>
    </row>
    <row r="829" spans="1:2" x14ac:dyDescent="0.25">
      <c r="A829" s="40">
        <v>45041</v>
      </c>
      <c r="B829">
        <v>2.2754020000000001E-5</v>
      </c>
    </row>
    <row r="830" spans="1:2" x14ac:dyDescent="0.25">
      <c r="A830" s="40">
        <v>45042</v>
      </c>
      <c r="B830">
        <v>2.2795610000000003E-5</v>
      </c>
    </row>
    <row r="831" spans="1:2" x14ac:dyDescent="0.25">
      <c r="A831" s="40">
        <v>45043</v>
      </c>
      <c r="B831">
        <v>2.2739259999999998E-5</v>
      </c>
    </row>
    <row r="832" spans="1:2" x14ac:dyDescent="0.25">
      <c r="A832" s="40">
        <v>45044</v>
      </c>
      <c r="B832">
        <v>2.3254789999999999E-5</v>
      </c>
    </row>
    <row r="833" spans="1:2" x14ac:dyDescent="0.25">
      <c r="A833" s="40">
        <v>45047</v>
      </c>
      <c r="B833">
        <v>2.239866E-5</v>
      </c>
    </row>
    <row r="834" spans="1:2" x14ac:dyDescent="0.25">
      <c r="A834" s="40">
        <v>45048</v>
      </c>
      <c r="B834">
        <v>2.2671300000000001E-5</v>
      </c>
    </row>
    <row r="835" spans="1:2" x14ac:dyDescent="0.25">
      <c r="A835" s="40">
        <v>45049</v>
      </c>
      <c r="B835">
        <v>2.2582220000000003E-5</v>
      </c>
    </row>
    <row r="836" spans="1:2" x14ac:dyDescent="0.25">
      <c r="A836" s="40">
        <v>45050</v>
      </c>
      <c r="B836">
        <v>2.242399E-5</v>
      </c>
    </row>
    <row r="837" spans="1:2" x14ac:dyDescent="0.25">
      <c r="A837" s="40">
        <v>45051</v>
      </c>
      <c r="B837">
        <v>2.2074149999999999E-5</v>
      </c>
    </row>
    <row r="838" spans="1:2" x14ac:dyDescent="0.25">
      <c r="A838" s="40">
        <v>45054</v>
      </c>
      <c r="B838">
        <v>2.217601E-5</v>
      </c>
    </row>
    <row r="839" spans="1:2" x14ac:dyDescent="0.25">
      <c r="A839" s="40">
        <v>45055</v>
      </c>
      <c r="B839">
        <v>2.2228639999999999E-5</v>
      </c>
    </row>
    <row r="840" spans="1:2" x14ac:dyDescent="0.25">
      <c r="A840" s="40">
        <v>45056</v>
      </c>
      <c r="B840">
        <v>2.2331490000000001E-5</v>
      </c>
    </row>
    <row r="841" spans="1:2" x14ac:dyDescent="0.25">
      <c r="A841" s="40">
        <v>45057</v>
      </c>
      <c r="B841">
        <v>2.2422429999999999E-5</v>
      </c>
    </row>
    <row r="842" spans="1:2" x14ac:dyDescent="0.25">
      <c r="A842" s="40">
        <v>45058</v>
      </c>
      <c r="B842">
        <v>2.2291990000000002E-5</v>
      </c>
    </row>
    <row r="843" spans="1:2" x14ac:dyDescent="0.25">
      <c r="A843" s="40">
        <v>45061</v>
      </c>
      <c r="B843">
        <v>2.2209270000000002E-5</v>
      </c>
    </row>
    <row r="844" spans="1:2" x14ac:dyDescent="0.25">
      <c r="A844" s="40">
        <v>45062</v>
      </c>
      <c r="B844">
        <v>2.2032139999999998E-5</v>
      </c>
    </row>
    <row r="845" spans="1:2" x14ac:dyDescent="0.25">
      <c r="A845" s="40">
        <v>45063</v>
      </c>
      <c r="B845">
        <v>2.2136759999999998E-5</v>
      </c>
    </row>
    <row r="846" spans="1:2" x14ac:dyDescent="0.25">
      <c r="A846" s="40">
        <v>45064</v>
      </c>
      <c r="B846">
        <v>2.2382660000000002E-5</v>
      </c>
    </row>
    <row r="847" spans="1:2" x14ac:dyDescent="0.25">
      <c r="A847" s="40">
        <v>45065</v>
      </c>
      <c r="B847">
        <v>2.2767199999999998E-5</v>
      </c>
    </row>
    <row r="848" spans="1:2" x14ac:dyDescent="0.25">
      <c r="A848" s="40">
        <v>45068</v>
      </c>
      <c r="B848">
        <v>2.2753110000000001E-5</v>
      </c>
    </row>
    <row r="849" spans="1:2" x14ac:dyDescent="0.25">
      <c r="A849" s="40">
        <v>45069</v>
      </c>
      <c r="B849">
        <v>2.2566889999999998E-5</v>
      </c>
    </row>
    <row r="850" spans="1:2" x14ac:dyDescent="0.25">
      <c r="A850" s="40">
        <v>45070</v>
      </c>
      <c r="B850">
        <v>2.2507089999999999E-5</v>
      </c>
    </row>
    <row r="851" spans="1:2" x14ac:dyDescent="0.25">
      <c r="A851" s="40">
        <v>45071</v>
      </c>
      <c r="B851">
        <v>2.197638E-5</v>
      </c>
    </row>
    <row r="852" spans="1:2" x14ac:dyDescent="0.25">
      <c r="A852" s="40">
        <v>45072</v>
      </c>
      <c r="B852">
        <v>2.1896810000000001E-5</v>
      </c>
    </row>
    <row r="853" spans="1:2" x14ac:dyDescent="0.25">
      <c r="A853" s="40">
        <v>45076</v>
      </c>
      <c r="B853">
        <v>2.2004789999999999E-5</v>
      </c>
    </row>
    <row r="854" spans="1:2" x14ac:dyDescent="0.25">
      <c r="A854" s="40">
        <v>45077</v>
      </c>
      <c r="B854">
        <v>2.2548589999999999E-5</v>
      </c>
    </row>
    <row r="855" spans="1:2" x14ac:dyDescent="0.25">
      <c r="A855" s="40">
        <v>45078</v>
      </c>
      <c r="B855">
        <v>2.1600549999999998E-5</v>
      </c>
    </row>
    <row r="856" spans="1:2" x14ac:dyDescent="0.25">
      <c r="A856" s="40">
        <v>45079</v>
      </c>
      <c r="B856">
        <v>2.1421019999999998E-5</v>
      </c>
    </row>
    <row r="857" spans="1:2" x14ac:dyDescent="0.25">
      <c r="A857" s="40">
        <v>45082</v>
      </c>
      <c r="B857">
        <v>2.1314169999999998E-5</v>
      </c>
    </row>
    <row r="858" spans="1:2" x14ac:dyDescent="0.25">
      <c r="A858" s="40">
        <v>45083</v>
      </c>
      <c r="B858">
        <v>2.1346379999999998E-5</v>
      </c>
    </row>
    <row r="859" spans="1:2" x14ac:dyDescent="0.25">
      <c r="A859" s="40">
        <v>45084</v>
      </c>
      <c r="B859">
        <v>2.1615560000000001E-5</v>
      </c>
    </row>
    <row r="860" spans="1:2" x14ac:dyDescent="0.25">
      <c r="A860" s="40">
        <v>45085</v>
      </c>
      <c r="B860">
        <v>2.1417979999999999E-5</v>
      </c>
    </row>
    <row r="861" spans="1:2" x14ac:dyDescent="0.25">
      <c r="A861" s="40">
        <v>45086</v>
      </c>
      <c r="B861">
        <v>2.127652E-5</v>
      </c>
    </row>
    <row r="862" spans="1:2" x14ac:dyDescent="0.25">
      <c r="A862" s="40">
        <v>45089</v>
      </c>
      <c r="B862">
        <v>2.1268699999999998E-5</v>
      </c>
    </row>
    <row r="863" spans="1:2" x14ac:dyDescent="0.25">
      <c r="A863" s="40">
        <v>45090</v>
      </c>
      <c r="B863">
        <v>2.0745199999999999E-5</v>
      </c>
    </row>
    <row r="864" spans="1:2" x14ac:dyDescent="0.25">
      <c r="A864" s="40">
        <v>45091</v>
      </c>
      <c r="B864">
        <v>2.1091049999999999E-5</v>
      </c>
    </row>
    <row r="865" spans="1:2" x14ac:dyDescent="0.25">
      <c r="A865" s="40">
        <v>45092</v>
      </c>
      <c r="B865">
        <v>1.9921400000000002E-5</v>
      </c>
    </row>
    <row r="866" spans="1:2" x14ac:dyDescent="0.25">
      <c r="A866" s="40">
        <v>45093</v>
      </c>
      <c r="B866">
        <v>2.0115560000000002E-5</v>
      </c>
    </row>
    <row r="867" spans="1:2" x14ac:dyDescent="0.25">
      <c r="A867" s="40">
        <v>45097</v>
      </c>
      <c r="B867">
        <v>1.9894890000000001E-5</v>
      </c>
    </row>
    <row r="868" spans="1:2" x14ac:dyDescent="0.25">
      <c r="A868" s="40">
        <v>45098</v>
      </c>
      <c r="B868">
        <v>2.037102E-5</v>
      </c>
    </row>
    <row r="869" spans="1:2" x14ac:dyDescent="0.25">
      <c r="A869" s="40">
        <v>45099</v>
      </c>
      <c r="B869">
        <v>1.9947110000000002E-5</v>
      </c>
    </row>
    <row r="870" spans="1:2" x14ac:dyDescent="0.25">
      <c r="A870" s="40">
        <v>45100</v>
      </c>
      <c r="B870">
        <v>1.9693800000000001E-5</v>
      </c>
    </row>
    <row r="871" spans="1:2" x14ac:dyDescent="0.25">
      <c r="A871" s="40">
        <v>45103</v>
      </c>
      <c r="B871">
        <v>1.9610269999999999E-5</v>
      </c>
    </row>
    <row r="872" spans="1:2" x14ac:dyDescent="0.25">
      <c r="A872" s="40">
        <v>45104</v>
      </c>
      <c r="B872">
        <v>1.9510979999999999E-5</v>
      </c>
    </row>
    <row r="873" spans="1:2" x14ac:dyDescent="0.25">
      <c r="A873" s="40">
        <v>45105</v>
      </c>
      <c r="B873">
        <v>1.945211E-5</v>
      </c>
    </row>
    <row r="874" spans="1:2" x14ac:dyDescent="0.25">
      <c r="A874" s="40">
        <v>45106</v>
      </c>
      <c r="B874">
        <v>1.9346839999999999E-5</v>
      </c>
    </row>
    <row r="875" spans="1:2" x14ac:dyDescent="0.25">
      <c r="A875" s="40">
        <v>45107</v>
      </c>
      <c r="B875">
        <v>2.0343189999999998E-5</v>
      </c>
    </row>
    <row r="876" spans="1:2" x14ac:dyDescent="0.25">
      <c r="A876" s="40">
        <v>45110</v>
      </c>
      <c r="B876">
        <v>1.9096389999999998E-5</v>
      </c>
    </row>
    <row r="877" spans="1:2" x14ac:dyDescent="0.25">
      <c r="A877" s="40">
        <v>45112</v>
      </c>
      <c r="B877">
        <v>1.8670609999999998E-5</v>
      </c>
    </row>
    <row r="878" spans="1:2" x14ac:dyDescent="0.25">
      <c r="A878" s="40">
        <v>45113</v>
      </c>
      <c r="B878">
        <v>1.8542560000000002E-5</v>
      </c>
    </row>
    <row r="879" spans="1:2" x14ac:dyDescent="0.25">
      <c r="A879" s="40">
        <v>45114</v>
      </c>
      <c r="B879">
        <v>1.822303E-5</v>
      </c>
    </row>
    <row r="880" spans="1:2" x14ac:dyDescent="0.25">
      <c r="A880" s="40">
        <v>45117</v>
      </c>
      <c r="B880">
        <v>1.811981E-5</v>
      </c>
    </row>
    <row r="881" spans="1:2" x14ac:dyDescent="0.25">
      <c r="A881" s="40">
        <v>45118</v>
      </c>
      <c r="B881">
        <v>1.7757959999999999E-5</v>
      </c>
    </row>
    <row r="882" spans="1:2" x14ac:dyDescent="0.25">
      <c r="A882" s="40">
        <v>45119</v>
      </c>
      <c r="B882">
        <v>1.8201459999999999E-5</v>
      </c>
    </row>
    <row r="883" spans="1:2" x14ac:dyDescent="0.25">
      <c r="A883" s="40">
        <v>45120</v>
      </c>
      <c r="B883">
        <v>1.7674319999999999E-5</v>
      </c>
    </row>
    <row r="884" spans="1:2" x14ac:dyDescent="0.25">
      <c r="A884" s="40">
        <v>45121</v>
      </c>
      <c r="B884">
        <v>1.7407770000000001E-5</v>
      </c>
    </row>
    <row r="885" spans="1:2" x14ac:dyDescent="0.25">
      <c r="A885" s="40">
        <v>45124</v>
      </c>
      <c r="B885">
        <v>1.7283219999999999E-5</v>
      </c>
    </row>
    <row r="886" spans="1:2" x14ac:dyDescent="0.25">
      <c r="A886" s="40">
        <v>45125</v>
      </c>
      <c r="B886">
        <v>1.7168620000000002E-5</v>
      </c>
    </row>
    <row r="887" spans="1:2" x14ac:dyDescent="0.25">
      <c r="A887" s="40">
        <v>45126</v>
      </c>
      <c r="B887">
        <v>1.732804E-5</v>
      </c>
    </row>
    <row r="888" spans="1:2" x14ac:dyDescent="0.25">
      <c r="A888" s="40">
        <v>45127</v>
      </c>
      <c r="B888">
        <v>1.721001E-5</v>
      </c>
    </row>
    <row r="889" spans="1:2" x14ac:dyDescent="0.25">
      <c r="A889" s="40">
        <v>45128</v>
      </c>
      <c r="B889">
        <v>1.7707520000000001E-5</v>
      </c>
    </row>
    <row r="890" spans="1:2" x14ac:dyDescent="0.25">
      <c r="A890" s="40">
        <v>45131</v>
      </c>
      <c r="B890">
        <v>1.770867E-5</v>
      </c>
    </row>
    <row r="891" spans="1:2" x14ac:dyDescent="0.25">
      <c r="A891" s="40">
        <v>45132</v>
      </c>
      <c r="B891">
        <v>1.7207159999999997E-5</v>
      </c>
    </row>
    <row r="892" spans="1:2" x14ac:dyDescent="0.25">
      <c r="A892" s="40">
        <v>45133</v>
      </c>
      <c r="B892">
        <v>1.7497329999999998E-5</v>
      </c>
    </row>
    <row r="893" spans="1:2" x14ac:dyDescent="0.25">
      <c r="A893" s="40">
        <v>45134</v>
      </c>
      <c r="B893">
        <v>1.735783E-5</v>
      </c>
    </row>
    <row r="894" spans="1:2" x14ac:dyDescent="0.25">
      <c r="A894" s="40">
        <v>45135</v>
      </c>
      <c r="B894">
        <v>1.730227E-5</v>
      </c>
    </row>
    <row r="895" spans="1:2" x14ac:dyDescent="0.25">
      <c r="A895" s="40">
        <v>45138</v>
      </c>
      <c r="B895">
        <v>1.8211239999999999E-5</v>
      </c>
    </row>
    <row r="896" spans="1:2" x14ac:dyDescent="0.25">
      <c r="A896" s="40">
        <v>45139</v>
      </c>
      <c r="B896">
        <v>1.7395540000000003E-5</v>
      </c>
    </row>
    <row r="897" spans="1:2" x14ac:dyDescent="0.25">
      <c r="A897" s="40">
        <v>45140</v>
      </c>
      <c r="B897">
        <v>1.7701859999999998E-5</v>
      </c>
    </row>
    <row r="898" spans="1:2" x14ac:dyDescent="0.25">
      <c r="A898" s="40">
        <v>45141</v>
      </c>
      <c r="B898">
        <v>1.7767739999999999E-5</v>
      </c>
    </row>
    <row r="899" spans="1:2" x14ac:dyDescent="0.25">
      <c r="A899" s="40">
        <v>45142</v>
      </c>
      <c r="B899">
        <v>1.7938039999999999E-5</v>
      </c>
    </row>
    <row r="900" spans="1:2" x14ac:dyDescent="0.25">
      <c r="A900" s="40">
        <v>45145</v>
      </c>
      <c r="B900">
        <v>1.8105830000000001E-5</v>
      </c>
    </row>
    <row r="901" spans="1:2" x14ac:dyDescent="0.25">
      <c r="A901" s="40">
        <v>45146</v>
      </c>
      <c r="B901">
        <v>1.7783510000000001E-5</v>
      </c>
    </row>
    <row r="902" spans="1:2" x14ac:dyDescent="0.25">
      <c r="A902" s="40">
        <v>45147</v>
      </c>
      <c r="B902">
        <v>1.7965190000000001E-5</v>
      </c>
    </row>
    <row r="903" spans="1:2" x14ac:dyDescent="0.25">
      <c r="A903" s="40">
        <v>45148</v>
      </c>
      <c r="B903">
        <v>1.759897E-5</v>
      </c>
    </row>
    <row r="904" spans="1:2" x14ac:dyDescent="0.25">
      <c r="A904" s="40">
        <v>45149</v>
      </c>
      <c r="B904">
        <v>1.773236E-5</v>
      </c>
    </row>
    <row r="905" spans="1:2" x14ac:dyDescent="0.25">
      <c r="A905" s="40">
        <v>45152</v>
      </c>
      <c r="B905">
        <v>1.799311E-5</v>
      </c>
    </row>
    <row r="906" spans="1:2" x14ac:dyDescent="0.25">
      <c r="A906" s="40">
        <v>45153</v>
      </c>
      <c r="B906">
        <v>1.743784E-5</v>
      </c>
    </row>
    <row r="907" spans="1:2" x14ac:dyDescent="0.25">
      <c r="A907" s="40">
        <v>45154</v>
      </c>
      <c r="B907">
        <v>1.796725E-5</v>
      </c>
    </row>
    <row r="908" spans="1:2" x14ac:dyDescent="0.25">
      <c r="A908" s="40">
        <v>45155</v>
      </c>
      <c r="B908">
        <v>1.79412E-5</v>
      </c>
    </row>
    <row r="909" spans="1:2" x14ac:dyDescent="0.25">
      <c r="A909" s="40">
        <v>45156</v>
      </c>
      <c r="B909">
        <v>1.8192009999999999E-5</v>
      </c>
    </row>
    <row r="910" spans="1:2" x14ac:dyDescent="0.25">
      <c r="A910" s="40">
        <v>45159</v>
      </c>
      <c r="B910">
        <v>1.8247880000000001E-5</v>
      </c>
    </row>
    <row r="911" spans="1:2" x14ac:dyDescent="0.25">
      <c r="A911" s="40">
        <v>45160</v>
      </c>
      <c r="B911">
        <v>1.8122940000000002E-5</v>
      </c>
    </row>
    <row r="912" spans="1:2" x14ac:dyDescent="0.25">
      <c r="A912" s="40">
        <v>45161</v>
      </c>
      <c r="B912">
        <v>1.8165329999999999E-5</v>
      </c>
    </row>
    <row r="913" spans="1:2" x14ac:dyDescent="0.25">
      <c r="A913" s="40">
        <v>45162</v>
      </c>
      <c r="B913">
        <v>1.7316230000000001E-5</v>
      </c>
    </row>
    <row r="914" spans="1:2" x14ac:dyDescent="0.25">
      <c r="A914" s="40">
        <v>45163</v>
      </c>
      <c r="B914">
        <v>1.687379E-5</v>
      </c>
    </row>
    <row r="915" spans="1:2" x14ac:dyDescent="0.25">
      <c r="A915" s="40">
        <v>45166</v>
      </c>
      <c r="B915">
        <v>1.7086049999999999E-5</v>
      </c>
    </row>
    <row r="916" spans="1:2" x14ac:dyDescent="0.25">
      <c r="A916" s="40">
        <v>45167</v>
      </c>
      <c r="B916">
        <v>1.693278E-5</v>
      </c>
    </row>
    <row r="917" spans="1:2" x14ac:dyDescent="0.25">
      <c r="A917" s="40">
        <v>45168</v>
      </c>
      <c r="B917">
        <v>1.6968190000000001E-5</v>
      </c>
    </row>
    <row r="918" spans="1:2" x14ac:dyDescent="0.25">
      <c r="A918" s="40">
        <v>45169</v>
      </c>
      <c r="B918">
        <v>1.651602E-5</v>
      </c>
    </row>
    <row r="919" spans="1:2" x14ac:dyDescent="0.25">
      <c r="A919" s="40">
        <v>45170</v>
      </c>
      <c r="B919">
        <v>1.574065E-5</v>
      </c>
    </row>
    <row r="920" spans="1:2" x14ac:dyDescent="0.25">
      <c r="A920" s="40">
        <v>45174</v>
      </c>
      <c r="B920">
        <v>1.56849E-5</v>
      </c>
    </row>
    <row r="921" spans="1:2" x14ac:dyDescent="0.25">
      <c r="A921" s="40">
        <v>45175</v>
      </c>
      <c r="B921">
        <v>1.606244E-5</v>
      </c>
    </row>
    <row r="922" spans="1:2" x14ac:dyDescent="0.25">
      <c r="A922" s="40">
        <v>45176</v>
      </c>
      <c r="B922">
        <v>1.5352889999999999E-5</v>
      </c>
    </row>
    <row r="923" spans="1:2" x14ac:dyDescent="0.25">
      <c r="A923" s="40">
        <v>45177</v>
      </c>
      <c r="B923">
        <v>1.525403E-5</v>
      </c>
    </row>
    <row r="924" spans="1:2" x14ac:dyDescent="0.25">
      <c r="A924" s="40">
        <v>45180</v>
      </c>
      <c r="B924">
        <v>1.5491110000000002E-5</v>
      </c>
    </row>
    <row r="925" spans="1:2" x14ac:dyDescent="0.25">
      <c r="A925" s="40">
        <v>45181</v>
      </c>
      <c r="B925">
        <v>1.493781E-5</v>
      </c>
    </row>
    <row r="926" spans="1:2" x14ac:dyDescent="0.25">
      <c r="A926" s="40">
        <v>45182</v>
      </c>
      <c r="B926">
        <v>1.5462249999999999E-5</v>
      </c>
    </row>
    <row r="927" spans="1:2" x14ac:dyDescent="0.25">
      <c r="A927" s="40">
        <v>45183</v>
      </c>
      <c r="B927">
        <v>1.4924269999999998E-5</v>
      </c>
    </row>
    <row r="928" spans="1:2" x14ac:dyDescent="0.25">
      <c r="A928" s="40">
        <v>45184</v>
      </c>
      <c r="B928">
        <v>1.401403E-5</v>
      </c>
    </row>
    <row r="929" spans="1:2" x14ac:dyDescent="0.25">
      <c r="A929" s="40">
        <v>45187</v>
      </c>
      <c r="B929">
        <v>1.452942E-5</v>
      </c>
    </row>
    <row r="930" spans="1:2" x14ac:dyDescent="0.25">
      <c r="A930" s="40">
        <v>45188</v>
      </c>
      <c r="B930">
        <v>1.4533240000000001E-5</v>
      </c>
    </row>
    <row r="931" spans="1:2" x14ac:dyDescent="0.25">
      <c r="A931" s="40">
        <v>45189</v>
      </c>
      <c r="B931">
        <v>1.4869839999999999E-5</v>
      </c>
    </row>
    <row r="932" spans="1:2" x14ac:dyDescent="0.25">
      <c r="A932" s="40">
        <v>45190</v>
      </c>
      <c r="B932">
        <v>1.4541150000000001E-5</v>
      </c>
    </row>
    <row r="933" spans="1:2" x14ac:dyDescent="0.25">
      <c r="A933" s="40">
        <v>45191</v>
      </c>
      <c r="B933">
        <v>1.427575E-5</v>
      </c>
    </row>
    <row r="934" spans="1:2" x14ac:dyDescent="0.25">
      <c r="A934" s="40">
        <v>45194</v>
      </c>
      <c r="B934">
        <v>1.43731E-5</v>
      </c>
    </row>
    <row r="935" spans="1:2" x14ac:dyDescent="0.25">
      <c r="A935" s="40">
        <v>45195</v>
      </c>
      <c r="B935">
        <v>1.438301E-5</v>
      </c>
    </row>
    <row r="936" spans="1:2" x14ac:dyDescent="0.25">
      <c r="A936" s="40">
        <v>45196</v>
      </c>
      <c r="B936">
        <v>1.442805E-5</v>
      </c>
    </row>
    <row r="937" spans="1:2" x14ac:dyDescent="0.25">
      <c r="A937" s="40">
        <v>45197</v>
      </c>
      <c r="B937">
        <v>1.453366E-5</v>
      </c>
    </row>
    <row r="938" spans="1:2" x14ac:dyDescent="0.25">
      <c r="A938" s="40">
        <v>45198</v>
      </c>
      <c r="B938">
        <v>1.557569E-5</v>
      </c>
    </row>
    <row r="939" spans="1:2" x14ac:dyDescent="0.25">
      <c r="A939" s="40">
        <v>45201</v>
      </c>
      <c r="B939">
        <v>1.365739E-5</v>
      </c>
    </row>
    <row r="940" spans="1:2" x14ac:dyDescent="0.25">
      <c r="A940" s="40">
        <v>45202</v>
      </c>
      <c r="B940">
        <v>1.348465E-5</v>
      </c>
    </row>
    <row r="941" spans="1:2" x14ac:dyDescent="0.25">
      <c r="A941" s="40">
        <v>45203</v>
      </c>
      <c r="B941">
        <v>1.342031E-5</v>
      </c>
    </row>
    <row r="942" spans="1:2" x14ac:dyDescent="0.25">
      <c r="A942" s="40">
        <v>45204</v>
      </c>
      <c r="B942">
        <v>1.265132E-5</v>
      </c>
    </row>
    <row r="943" spans="1:2" x14ac:dyDescent="0.25">
      <c r="A943" s="40">
        <v>45205</v>
      </c>
      <c r="B943">
        <v>1.283461E-5</v>
      </c>
    </row>
    <row r="944" spans="1:2" x14ac:dyDescent="0.25">
      <c r="A944" s="40">
        <v>45209</v>
      </c>
      <c r="B944">
        <v>1.2224400000000001E-5</v>
      </c>
    </row>
    <row r="945" spans="1:2" x14ac:dyDescent="0.25">
      <c r="A945" s="40">
        <v>45210</v>
      </c>
      <c r="B945">
        <v>1.2393820000000001E-5</v>
      </c>
    </row>
    <row r="946" spans="1:2" x14ac:dyDescent="0.25">
      <c r="A946" s="40">
        <v>45211</v>
      </c>
      <c r="B946">
        <v>1.1573189999999999E-5</v>
      </c>
    </row>
    <row r="947" spans="1:2" x14ac:dyDescent="0.25">
      <c r="A947" s="40">
        <v>45212</v>
      </c>
      <c r="B947">
        <v>1.151818E-5</v>
      </c>
    </row>
    <row r="948" spans="1:2" x14ac:dyDescent="0.25">
      <c r="A948" s="40">
        <v>45215</v>
      </c>
      <c r="B948">
        <v>1.1088189999999999E-5</v>
      </c>
    </row>
    <row r="949" spans="1:2" x14ac:dyDescent="0.25">
      <c r="A949" s="40">
        <v>45216</v>
      </c>
      <c r="B949">
        <v>1.082502E-5</v>
      </c>
    </row>
    <row r="950" spans="1:2" x14ac:dyDescent="0.25">
      <c r="A950" s="40">
        <v>45217</v>
      </c>
      <c r="B950">
        <v>1.1507809999999999E-5</v>
      </c>
    </row>
    <row r="951" spans="1:2" x14ac:dyDescent="0.25">
      <c r="A951" s="40">
        <v>45218</v>
      </c>
      <c r="B951">
        <v>1.1141790000000002E-5</v>
      </c>
    </row>
    <row r="952" spans="1:2" x14ac:dyDescent="0.25">
      <c r="A952" s="40">
        <v>45219</v>
      </c>
      <c r="B952">
        <v>1.1387560000000001E-5</v>
      </c>
    </row>
    <row r="953" spans="1:2" x14ac:dyDescent="0.25">
      <c r="A953" s="40">
        <v>45222</v>
      </c>
      <c r="B953">
        <v>1.1579760000000001E-5</v>
      </c>
    </row>
    <row r="954" spans="1:2" x14ac:dyDescent="0.25">
      <c r="A954" s="40">
        <v>45223</v>
      </c>
      <c r="B954">
        <v>1.0978750000000001E-5</v>
      </c>
    </row>
    <row r="955" spans="1:2" x14ac:dyDescent="0.25">
      <c r="A955" s="40">
        <v>45224</v>
      </c>
      <c r="B955">
        <v>1.1006169999999999E-5</v>
      </c>
    </row>
    <row r="956" spans="1:2" x14ac:dyDescent="0.25">
      <c r="A956" s="40">
        <v>45225</v>
      </c>
      <c r="B956">
        <v>1.0898499999999999E-5</v>
      </c>
    </row>
    <row r="957" spans="1:2" x14ac:dyDescent="0.25">
      <c r="A957" s="40">
        <v>45226</v>
      </c>
      <c r="B957">
        <v>1.0918579999999999E-5</v>
      </c>
    </row>
    <row r="958" spans="1:2" x14ac:dyDescent="0.25">
      <c r="A958" s="40">
        <v>45229</v>
      </c>
      <c r="B958">
        <v>1.138035E-5</v>
      </c>
    </row>
    <row r="959" spans="1:2" x14ac:dyDescent="0.25">
      <c r="A959" s="40">
        <v>45230</v>
      </c>
      <c r="B959">
        <v>1.1376969999999999E-5</v>
      </c>
    </row>
    <row r="960" spans="1:2" x14ac:dyDescent="0.25">
      <c r="A960" s="40">
        <v>45231</v>
      </c>
      <c r="B960">
        <v>1.079462E-5</v>
      </c>
    </row>
    <row r="961" spans="1:2" x14ac:dyDescent="0.25">
      <c r="A961" s="40">
        <v>45232</v>
      </c>
      <c r="B961">
        <v>1.0549860000000001E-5</v>
      </c>
    </row>
    <row r="962" spans="1:2" x14ac:dyDescent="0.25">
      <c r="A962" s="40">
        <v>45233</v>
      </c>
      <c r="B962">
        <v>1.071139E-5</v>
      </c>
    </row>
    <row r="963" spans="1:2" x14ac:dyDescent="0.25">
      <c r="A963" s="40">
        <v>45236</v>
      </c>
      <c r="B963">
        <v>1.0628779999999999E-5</v>
      </c>
    </row>
    <row r="964" spans="1:2" x14ac:dyDescent="0.25">
      <c r="A964" s="40">
        <v>45237</v>
      </c>
      <c r="B964">
        <v>1.008685E-5</v>
      </c>
    </row>
    <row r="965" spans="1:2" x14ac:dyDescent="0.25">
      <c r="A965" s="40">
        <v>45238</v>
      </c>
      <c r="B965">
        <v>1.0244510000000001E-5</v>
      </c>
    </row>
    <row r="966" spans="1:2" x14ac:dyDescent="0.25">
      <c r="A966" s="40">
        <v>45239</v>
      </c>
      <c r="B966">
        <v>9.9331399999999992E-6</v>
      </c>
    </row>
    <row r="967" spans="1:2" x14ac:dyDescent="0.25">
      <c r="A967" s="40">
        <v>45240</v>
      </c>
      <c r="B967">
        <v>1.03272E-5</v>
      </c>
    </row>
    <row r="968" spans="1:2" x14ac:dyDescent="0.25">
      <c r="A968" s="40">
        <v>45243</v>
      </c>
      <c r="B968">
        <v>1.0202720000000001E-5</v>
      </c>
    </row>
    <row r="969" spans="1:2" x14ac:dyDescent="0.25">
      <c r="A969" s="40">
        <v>45244</v>
      </c>
      <c r="B969">
        <v>9.8829800000000004E-6</v>
      </c>
    </row>
    <row r="970" spans="1:2" x14ac:dyDescent="0.25">
      <c r="A970" s="40">
        <v>45245</v>
      </c>
      <c r="B970">
        <v>9.4424100000000003E-6</v>
      </c>
    </row>
    <row r="971" spans="1:2" x14ac:dyDescent="0.25">
      <c r="A971" s="40">
        <v>45246</v>
      </c>
      <c r="B971">
        <v>9.1200999999999993E-6</v>
      </c>
    </row>
    <row r="972" spans="1:2" x14ac:dyDescent="0.25">
      <c r="A972" s="40">
        <v>45247</v>
      </c>
      <c r="B972">
        <v>9.3580299999999996E-6</v>
      </c>
    </row>
    <row r="973" spans="1:2" x14ac:dyDescent="0.25">
      <c r="A973" s="40">
        <v>45250</v>
      </c>
      <c r="B973">
        <v>9.5308799999999991E-6</v>
      </c>
    </row>
    <row r="974" spans="1:2" x14ac:dyDescent="0.25">
      <c r="A974" s="40">
        <v>45251</v>
      </c>
      <c r="B974">
        <v>9.311549999999999E-6</v>
      </c>
    </row>
    <row r="975" spans="1:2" x14ac:dyDescent="0.25">
      <c r="A975" s="40">
        <v>45252</v>
      </c>
      <c r="B975">
        <v>9.3160399999999997E-6</v>
      </c>
    </row>
    <row r="976" spans="1:2" x14ac:dyDescent="0.25">
      <c r="A976" s="40">
        <v>45254</v>
      </c>
      <c r="B976">
        <v>8.6590700000000011E-6</v>
      </c>
    </row>
    <row r="977" spans="1:2" x14ac:dyDescent="0.25">
      <c r="A977" s="40">
        <v>45257</v>
      </c>
      <c r="B977">
        <v>8.6721999999999997E-6</v>
      </c>
    </row>
    <row r="978" spans="1:2" x14ac:dyDescent="0.25">
      <c r="A978" s="40">
        <v>45258</v>
      </c>
      <c r="B978">
        <v>8.7334400000000012E-6</v>
      </c>
    </row>
    <row r="979" spans="1:2" x14ac:dyDescent="0.25">
      <c r="A979" s="40">
        <v>45259</v>
      </c>
      <c r="B979">
        <v>9.141870000000001E-6</v>
      </c>
    </row>
    <row r="980" spans="1:2" x14ac:dyDescent="0.25">
      <c r="A980" s="40">
        <v>45260</v>
      </c>
      <c r="B980">
        <v>8.8782200000000005E-6</v>
      </c>
    </row>
    <row r="981" spans="1:2" x14ac:dyDescent="0.25">
      <c r="A981" s="40">
        <v>45261</v>
      </c>
      <c r="B981">
        <v>7.6854299999999997E-6</v>
      </c>
    </row>
    <row r="982" spans="1:2" x14ac:dyDescent="0.25">
      <c r="A982" s="40">
        <v>45264</v>
      </c>
      <c r="B982">
        <v>8.1584699999999995E-6</v>
      </c>
    </row>
    <row r="983" spans="1:2" x14ac:dyDescent="0.25">
      <c r="A983" s="40">
        <v>45265</v>
      </c>
      <c r="B983">
        <v>8.3442799999999993E-6</v>
      </c>
    </row>
    <row r="984" spans="1:2" x14ac:dyDescent="0.25">
      <c r="A984" s="40">
        <v>45266</v>
      </c>
      <c r="B984">
        <v>8.4649799999999997E-6</v>
      </c>
    </row>
    <row r="985" spans="1:2" x14ac:dyDescent="0.25">
      <c r="A985" s="40">
        <v>45267</v>
      </c>
      <c r="B985">
        <v>8.2573400000000008E-6</v>
      </c>
    </row>
    <row r="986" spans="1:2" x14ac:dyDescent="0.25">
      <c r="A986" s="40">
        <v>45268</v>
      </c>
      <c r="B986">
        <v>8.2140800000000001E-6</v>
      </c>
    </row>
    <row r="987" spans="1:2" x14ac:dyDescent="0.25">
      <c r="A987" s="40">
        <v>45271</v>
      </c>
      <c r="B987">
        <v>8.38507E-6</v>
      </c>
    </row>
    <row r="988" spans="1:2" x14ac:dyDescent="0.25">
      <c r="A988" s="40">
        <v>45272</v>
      </c>
      <c r="B988">
        <v>8.3780300000000005E-6</v>
      </c>
    </row>
    <row r="989" spans="1:2" x14ac:dyDescent="0.25">
      <c r="A989" s="40">
        <v>45273</v>
      </c>
      <c r="B989">
        <v>8.2332899999999989E-6</v>
      </c>
    </row>
    <row r="990" spans="1:2" x14ac:dyDescent="0.25">
      <c r="A990" s="40">
        <v>45274</v>
      </c>
      <c r="B990">
        <v>7.6934600000000007E-6</v>
      </c>
    </row>
    <row r="991" spans="1:2" x14ac:dyDescent="0.25">
      <c r="A991" s="40">
        <v>45275</v>
      </c>
      <c r="B991">
        <v>6.8325400000000005E-6</v>
      </c>
    </row>
    <row r="992" spans="1:2" x14ac:dyDescent="0.25">
      <c r="A992" s="40">
        <v>45278</v>
      </c>
      <c r="B992">
        <v>7.2470399999999997E-6</v>
      </c>
    </row>
    <row r="993" spans="1:2" x14ac:dyDescent="0.25">
      <c r="A993" s="40">
        <v>45279</v>
      </c>
      <c r="B993">
        <v>7.7308200000000003E-6</v>
      </c>
    </row>
    <row r="994" spans="1:2" x14ac:dyDescent="0.25">
      <c r="A994" s="40">
        <v>45280</v>
      </c>
      <c r="B994">
        <v>7.79143E-6</v>
      </c>
    </row>
    <row r="995" spans="1:2" x14ac:dyDescent="0.25">
      <c r="A995" s="40">
        <v>45281</v>
      </c>
      <c r="B995">
        <v>7.7840200000000001E-6</v>
      </c>
    </row>
    <row r="996" spans="1:2" x14ac:dyDescent="0.25">
      <c r="A996" s="40">
        <v>45282</v>
      </c>
      <c r="B996">
        <v>7.7225799999999998E-6</v>
      </c>
    </row>
    <row r="997" spans="1:2" x14ac:dyDescent="0.25">
      <c r="A997" s="40">
        <v>45286</v>
      </c>
      <c r="B997">
        <v>7.9393700000000002E-6</v>
      </c>
    </row>
    <row r="998" spans="1:2" x14ac:dyDescent="0.25">
      <c r="A998" s="40">
        <v>45287</v>
      </c>
      <c r="B998">
        <v>8.188690000000001E-6</v>
      </c>
    </row>
    <row r="999" spans="1:2" x14ac:dyDescent="0.25">
      <c r="A999" s="40">
        <v>45288</v>
      </c>
      <c r="B999">
        <v>8.2957299999999996E-6</v>
      </c>
    </row>
    <row r="1000" spans="1:2" x14ac:dyDescent="0.25">
      <c r="A1000" s="40">
        <v>45289</v>
      </c>
      <c r="B1000">
        <v>1.018483E-5</v>
      </c>
    </row>
    <row r="1001" spans="1:2" x14ac:dyDescent="0.25">
      <c r="A1001" s="40">
        <v>45293</v>
      </c>
      <c r="B1001">
        <v>7.04864E-6</v>
      </c>
    </row>
    <row r="1002" spans="1:2" x14ac:dyDescent="0.25">
      <c r="A1002" s="40">
        <v>45294</v>
      </c>
      <c r="B1002">
        <v>7.1989700000000005E-6</v>
      </c>
    </row>
    <row r="1003" spans="1:2" x14ac:dyDescent="0.25">
      <c r="A1003" s="40">
        <v>45295</v>
      </c>
      <c r="B1003">
        <v>6.6489900000000004E-6</v>
      </c>
    </row>
    <row r="1004" spans="1:2" x14ac:dyDescent="0.25">
      <c r="A1004" s="40">
        <v>45296</v>
      </c>
      <c r="B1004">
        <v>6.9447799999999994E-6</v>
      </c>
    </row>
    <row r="1005" spans="1:2" x14ac:dyDescent="0.25">
      <c r="A1005" s="40">
        <v>45299</v>
      </c>
      <c r="B1005">
        <v>6.9148500000000004E-6</v>
      </c>
    </row>
    <row r="1006" spans="1:2" x14ac:dyDescent="0.25">
      <c r="A1006" s="40">
        <v>45300</v>
      </c>
      <c r="B1006">
        <v>6.7604999999999999E-6</v>
      </c>
    </row>
    <row r="1007" spans="1:2" x14ac:dyDescent="0.25">
      <c r="A1007" s="40">
        <v>45301</v>
      </c>
      <c r="B1007">
        <v>6.7996099999999999E-6</v>
      </c>
    </row>
    <row r="1008" spans="1:2" x14ac:dyDescent="0.25">
      <c r="A1008" s="40">
        <v>45302</v>
      </c>
      <c r="B1008">
        <v>6.2636999999999998E-6</v>
      </c>
    </row>
    <row r="1009" spans="1:2" x14ac:dyDescent="0.25">
      <c r="A1009" s="40">
        <v>45303</v>
      </c>
      <c r="B1009">
        <v>6.0311599999999997E-6</v>
      </c>
    </row>
    <row r="1010" spans="1:2" x14ac:dyDescent="0.25">
      <c r="A1010" s="40">
        <v>45307</v>
      </c>
      <c r="B1010">
        <v>5.8310299999999993E-6</v>
      </c>
    </row>
    <row r="1011" spans="1:2" x14ac:dyDescent="0.25">
      <c r="A1011" s="40">
        <v>45308</v>
      </c>
      <c r="B1011">
        <v>5.90191E-6</v>
      </c>
    </row>
    <row r="1012" spans="1:2" x14ac:dyDescent="0.25">
      <c r="A1012" s="40">
        <v>45309</v>
      </c>
      <c r="B1012">
        <v>6.1823400000000003E-6</v>
      </c>
    </row>
    <row r="1013" spans="1:2" x14ac:dyDescent="0.25">
      <c r="A1013" s="40">
        <v>45310</v>
      </c>
      <c r="B1013">
        <v>6.2518200000000006E-6</v>
      </c>
    </row>
    <row r="1014" spans="1:2" x14ac:dyDescent="0.25">
      <c r="A1014" s="40">
        <v>45313</v>
      </c>
      <c r="B1014">
        <v>6.4710299999999991E-6</v>
      </c>
    </row>
    <row r="1015" spans="1:2" x14ac:dyDescent="0.25">
      <c r="A1015" s="40">
        <v>45314</v>
      </c>
      <c r="B1015">
        <v>6.2119500000000007E-6</v>
      </c>
    </row>
    <row r="1016" spans="1:2" x14ac:dyDescent="0.25">
      <c r="A1016" s="40">
        <v>45315</v>
      </c>
      <c r="B1016">
        <v>6.3955999999999994E-6</v>
      </c>
    </row>
    <row r="1017" spans="1:2" x14ac:dyDescent="0.25">
      <c r="A1017" s="40">
        <v>45316</v>
      </c>
      <c r="B1017">
        <v>5.5768700000000004E-6</v>
      </c>
    </row>
    <row r="1018" spans="1:2" x14ac:dyDescent="0.25">
      <c r="A1018" s="40">
        <v>45317</v>
      </c>
      <c r="B1018">
        <v>5.7082799999999995E-6</v>
      </c>
    </row>
    <row r="1019" spans="1:2" x14ac:dyDescent="0.25">
      <c r="A1019" s="40">
        <v>45320</v>
      </c>
      <c r="B1019">
        <v>5.8140999999999999E-6</v>
      </c>
    </row>
    <row r="1020" spans="1:2" x14ac:dyDescent="0.25">
      <c r="A1020" s="40">
        <v>45321</v>
      </c>
      <c r="B1020">
        <v>5.7775500000000003E-6</v>
      </c>
    </row>
    <row r="1021" spans="1:2" x14ac:dyDescent="0.25">
      <c r="A1021" s="40">
        <v>45322</v>
      </c>
      <c r="B1021">
        <v>6.1537900000000004E-6</v>
      </c>
    </row>
    <row r="1022" spans="1:2" x14ac:dyDescent="0.25">
      <c r="A1022" s="40">
        <v>45323</v>
      </c>
      <c r="B1022">
        <v>5.0354799999999998E-6</v>
      </c>
    </row>
    <row r="1023" spans="1:2" x14ac:dyDescent="0.25">
      <c r="A1023" s="40">
        <v>45324</v>
      </c>
      <c r="B1023">
        <v>5.1342200000000005E-6</v>
      </c>
    </row>
    <row r="1024" spans="1:2" x14ac:dyDescent="0.25">
      <c r="A1024" s="40">
        <v>45327</v>
      </c>
      <c r="B1024">
        <v>5.5228900000000002E-6</v>
      </c>
    </row>
    <row r="1025" spans="1:2" x14ac:dyDescent="0.25">
      <c r="A1025" s="40">
        <v>45328</v>
      </c>
      <c r="B1025">
        <v>5.3243899999999995E-6</v>
      </c>
    </row>
    <row r="1026" spans="1:2" x14ac:dyDescent="0.25">
      <c r="A1026" s="40">
        <v>45329</v>
      </c>
      <c r="B1026">
        <v>5.5305499999999991E-6</v>
      </c>
    </row>
    <row r="1027" spans="1:2" x14ac:dyDescent="0.25">
      <c r="A1027" s="40">
        <v>45330</v>
      </c>
      <c r="B1027">
        <v>5.3570500000000007E-6</v>
      </c>
    </row>
    <row r="1028" spans="1:2" x14ac:dyDescent="0.25">
      <c r="A1028" s="40">
        <v>45331</v>
      </c>
      <c r="B1028">
        <v>5.6917499999999993E-6</v>
      </c>
    </row>
    <row r="1029" spans="1:2" x14ac:dyDescent="0.25">
      <c r="A1029" s="40">
        <v>45334</v>
      </c>
      <c r="B1029">
        <v>5.8156799999999995E-6</v>
      </c>
    </row>
    <row r="1030" spans="1:2" x14ac:dyDescent="0.25">
      <c r="A1030" s="40">
        <v>45335</v>
      </c>
      <c r="B1030">
        <v>5.5368399999999995E-6</v>
      </c>
    </row>
    <row r="1031" spans="1:2" x14ac:dyDescent="0.25">
      <c r="A1031" s="40">
        <v>45336</v>
      </c>
      <c r="B1031">
        <v>5.7533200000000002E-6</v>
      </c>
    </row>
    <row r="1032" spans="1:2" x14ac:dyDescent="0.25">
      <c r="A1032" s="40">
        <v>45337</v>
      </c>
      <c r="B1032">
        <v>4.93065E-6</v>
      </c>
    </row>
    <row r="1033" spans="1:2" x14ac:dyDescent="0.25">
      <c r="A1033" s="40">
        <v>45338</v>
      </c>
      <c r="B1033">
        <v>5.3212500000000001E-6</v>
      </c>
    </row>
    <row r="1034" spans="1:2" x14ac:dyDescent="0.25">
      <c r="A1034" s="40">
        <v>45342</v>
      </c>
      <c r="B1034">
        <v>5.30879E-6</v>
      </c>
    </row>
    <row r="1035" spans="1:2" x14ac:dyDescent="0.25">
      <c r="A1035" s="40">
        <v>45343</v>
      </c>
      <c r="B1035">
        <v>5.7488199999999996E-6</v>
      </c>
    </row>
    <row r="1036" spans="1:2" x14ac:dyDescent="0.25">
      <c r="A1036" s="40">
        <v>45344</v>
      </c>
      <c r="B1036">
        <v>5.5324499999999999E-6</v>
      </c>
    </row>
    <row r="1037" spans="1:2" x14ac:dyDescent="0.25">
      <c r="A1037" s="40">
        <v>45345</v>
      </c>
      <c r="B1037">
        <v>5.2010699999999997E-6</v>
      </c>
    </row>
    <row r="1038" spans="1:2" x14ac:dyDescent="0.25">
      <c r="A1038" s="40">
        <v>45348</v>
      </c>
      <c r="B1038">
        <v>5.2495899999999998E-6</v>
      </c>
    </row>
    <row r="1039" spans="1:2" x14ac:dyDescent="0.25">
      <c r="A1039" s="40">
        <v>45349</v>
      </c>
      <c r="B1039">
        <v>5.1972500000000001E-6</v>
      </c>
    </row>
    <row r="1040" spans="1:2" x14ac:dyDescent="0.25">
      <c r="A1040" s="40">
        <v>45350</v>
      </c>
      <c r="B1040">
        <v>5.6985499999999998E-6</v>
      </c>
    </row>
    <row r="1041" spans="1:2" x14ac:dyDescent="0.25">
      <c r="A1041" s="40">
        <v>45351</v>
      </c>
      <c r="B1041">
        <v>5.0207400000000003E-6</v>
      </c>
    </row>
    <row r="1042" spans="1:2" x14ac:dyDescent="0.25">
      <c r="A1042" s="40">
        <v>45352</v>
      </c>
      <c r="B1042">
        <v>4.41265E-6</v>
      </c>
    </row>
    <row r="1043" spans="1:2" x14ac:dyDescent="0.25">
      <c r="A1043" s="40">
        <v>45355</v>
      </c>
      <c r="B1043">
        <v>4.3979300000000003E-6</v>
      </c>
    </row>
    <row r="1044" spans="1:2" x14ac:dyDescent="0.25">
      <c r="A1044" s="40">
        <v>45356</v>
      </c>
      <c r="B1044">
        <v>4.4447400000000002E-6</v>
      </c>
    </row>
    <row r="1045" spans="1:2" x14ac:dyDescent="0.25">
      <c r="A1045" s="40">
        <v>45357</v>
      </c>
      <c r="B1045">
        <v>4.56847E-6</v>
      </c>
    </row>
    <row r="1046" spans="1:2" x14ac:dyDescent="0.25">
      <c r="A1046" s="40">
        <v>45358</v>
      </c>
      <c r="B1046">
        <v>4.3675400000000004E-6</v>
      </c>
    </row>
    <row r="1047" spans="1:2" x14ac:dyDescent="0.25">
      <c r="A1047" s="40">
        <v>45359</v>
      </c>
      <c r="B1047">
        <v>4.44803E-6</v>
      </c>
    </row>
    <row r="1048" spans="1:2" x14ac:dyDescent="0.25">
      <c r="A1048" s="40">
        <v>45362</v>
      </c>
      <c r="B1048">
        <v>4.7872800000000002E-6</v>
      </c>
    </row>
    <row r="1049" spans="1:2" x14ac:dyDescent="0.25">
      <c r="A1049" s="40">
        <v>45363</v>
      </c>
      <c r="B1049">
        <v>4.7686200000000001E-6</v>
      </c>
    </row>
    <row r="1050" spans="1:2" x14ac:dyDescent="0.25">
      <c r="A1050" s="40">
        <v>45364</v>
      </c>
      <c r="B1050">
        <v>5.2173800000000005E-6</v>
      </c>
    </row>
    <row r="1051" spans="1:2" x14ac:dyDescent="0.25">
      <c r="A1051" s="40">
        <v>45365</v>
      </c>
      <c r="B1051">
        <v>4.8357299999999997E-6</v>
      </c>
    </row>
    <row r="1052" spans="1:2" x14ac:dyDescent="0.25">
      <c r="A1052" s="40">
        <v>45366</v>
      </c>
      <c r="B1052">
        <v>4.1387699999999997E-6</v>
      </c>
    </row>
    <row r="1053" spans="1:2" x14ac:dyDescent="0.25">
      <c r="A1053" s="40">
        <v>45369</v>
      </c>
      <c r="B1053">
        <v>4.4059600000000004E-6</v>
      </c>
    </row>
    <row r="1054" spans="1:2" x14ac:dyDescent="0.25">
      <c r="A1054" s="40">
        <v>45370</v>
      </c>
      <c r="B1054">
        <v>4.4697800000000003E-6</v>
      </c>
    </row>
    <row r="1055" spans="1:2" x14ac:dyDescent="0.25">
      <c r="A1055" s="40">
        <v>45371</v>
      </c>
      <c r="B1055">
        <v>4.9624500000000002E-6</v>
      </c>
    </row>
    <row r="1056" spans="1:2" x14ac:dyDescent="0.25">
      <c r="A1056" s="40">
        <v>45372</v>
      </c>
      <c r="B1056">
        <v>4.6063100000000001E-6</v>
      </c>
    </row>
    <row r="1057" spans="1:2" x14ac:dyDescent="0.25">
      <c r="A1057" s="40">
        <v>45373</v>
      </c>
      <c r="B1057">
        <v>4.7853100000000004E-6</v>
      </c>
    </row>
    <row r="1058" spans="1:2" x14ac:dyDescent="0.25">
      <c r="A1058" s="40">
        <v>45376</v>
      </c>
      <c r="B1058">
        <v>4.7378699999999996E-6</v>
      </c>
    </row>
    <row r="1059" spans="1:2" x14ac:dyDescent="0.25">
      <c r="A1059" s="40">
        <v>45377</v>
      </c>
      <c r="B1059">
        <v>4.9606200000000001E-6</v>
      </c>
    </row>
    <row r="1060" spans="1:2" x14ac:dyDescent="0.25">
      <c r="A1060" s="40">
        <v>45378</v>
      </c>
      <c r="B1060">
        <v>5.1835699999999994E-6</v>
      </c>
    </row>
    <row r="1061" spans="1:2" x14ac:dyDescent="0.25">
      <c r="A1061" s="40">
        <v>45379</v>
      </c>
      <c r="B1061">
        <v>5.9442800000000003E-6</v>
      </c>
    </row>
    <row r="1062" spans="1:2" x14ac:dyDescent="0.25">
      <c r="A1062" s="40">
        <v>45383</v>
      </c>
      <c r="B1062">
        <v>4.4190299999999999E-6</v>
      </c>
    </row>
    <row r="1063" spans="1:2" x14ac:dyDescent="0.25">
      <c r="A1063" s="40">
        <v>45384</v>
      </c>
      <c r="B1063">
        <v>4.4842399999999996E-6</v>
      </c>
    </row>
    <row r="1064" spans="1:2" x14ac:dyDescent="0.25">
      <c r="A1064" s="40">
        <v>45385</v>
      </c>
      <c r="B1064">
        <v>4.3663099999999999E-6</v>
      </c>
    </row>
    <row r="1065" spans="1:2" x14ac:dyDescent="0.25">
      <c r="A1065" s="40">
        <v>45386</v>
      </c>
      <c r="B1065">
        <v>4.3876400000000004E-6</v>
      </c>
    </row>
    <row r="1066" spans="1:2" x14ac:dyDescent="0.25">
      <c r="A1066" s="40">
        <v>45387</v>
      </c>
      <c r="B1066">
        <v>4.38319E-6</v>
      </c>
    </row>
    <row r="1067" spans="1:2" x14ac:dyDescent="0.25">
      <c r="A1067" s="40">
        <v>45390</v>
      </c>
      <c r="B1067">
        <v>4.4859699999999995E-6</v>
      </c>
    </row>
    <row r="1068" spans="1:2" x14ac:dyDescent="0.25">
      <c r="A1068" s="40">
        <v>45391</v>
      </c>
      <c r="B1068">
        <v>4.4179199999999994E-6</v>
      </c>
    </row>
    <row r="1069" spans="1:2" x14ac:dyDescent="0.25">
      <c r="A1069" s="40">
        <v>45392</v>
      </c>
      <c r="B1069">
        <v>4.4581599999999997E-6</v>
      </c>
    </row>
    <row r="1070" spans="1:2" x14ac:dyDescent="0.25">
      <c r="A1070" s="40">
        <v>45393</v>
      </c>
      <c r="B1070">
        <v>4.5536099999999998E-6</v>
      </c>
    </row>
    <row r="1071" spans="1:2" x14ac:dyDescent="0.25">
      <c r="A1071" s="40">
        <v>45394</v>
      </c>
      <c r="B1071">
        <v>4.0732199999999999E-6</v>
      </c>
    </row>
    <row r="1072" spans="1:2" x14ac:dyDescent="0.25">
      <c r="A1072" s="40">
        <v>45397</v>
      </c>
      <c r="B1072">
        <v>3.2706599999999996E-6</v>
      </c>
    </row>
    <row r="1073" spans="1:2" x14ac:dyDescent="0.25">
      <c r="A1073" s="40">
        <v>45398</v>
      </c>
      <c r="B1073">
        <v>3.7155399999999997E-6</v>
      </c>
    </row>
    <row r="1074" spans="1:2" x14ac:dyDescent="0.25">
      <c r="A1074" s="40">
        <v>45399</v>
      </c>
      <c r="B1074">
        <v>4.4050799999999998E-6</v>
      </c>
    </row>
    <row r="1075" spans="1:2" x14ac:dyDescent="0.25">
      <c r="A1075" s="40">
        <v>45400</v>
      </c>
      <c r="B1075">
        <v>4.33006E-6</v>
      </c>
    </row>
    <row r="1076" spans="1:2" x14ac:dyDescent="0.25">
      <c r="A1076" s="40">
        <v>45401</v>
      </c>
      <c r="B1076">
        <v>3.9723399999999995E-6</v>
      </c>
    </row>
    <row r="1077" spans="1:2" x14ac:dyDescent="0.25">
      <c r="A1077" s="40">
        <v>45404</v>
      </c>
      <c r="B1077">
        <v>4.0981599999999997E-6</v>
      </c>
    </row>
    <row r="1078" spans="1:2" x14ac:dyDescent="0.25">
      <c r="A1078" s="40">
        <v>45405</v>
      </c>
      <c r="B1078">
        <v>4.3587999999999997E-6</v>
      </c>
    </row>
    <row r="1079" spans="1:2" x14ac:dyDescent="0.25">
      <c r="A1079" s="40">
        <v>45406</v>
      </c>
      <c r="B1079">
        <v>4.4121499999999998E-6</v>
      </c>
    </row>
    <row r="1080" spans="1:2" x14ac:dyDescent="0.25">
      <c r="A1080" s="40">
        <v>45407</v>
      </c>
      <c r="B1080">
        <v>4.4392800000000003E-6</v>
      </c>
    </row>
    <row r="1081" spans="1:2" x14ac:dyDescent="0.25">
      <c r="A1081" s="40">
        <v>45408</v>
      </c>
      <c r="B1081">
        <v>4.6491199999999998E-6</v>
      </c>
    </row>
    <row r="1082" spans="1:2" x14ac:dyDescent="0.25">
      <c r="A1082" s="40">
        <v>45411</v>
      </c>
      <c r="B1082">
        <v>5.0552999999999997E-6</v>
      </c>
    </row>
    <row r="1083" spans="1:2" x14ac:dyDescent="0.25">
      <c r="A1083" s="40">
        <v>45412</v>
      </c>
      <c r="B1083">
        <v>5.3423400000000008E-6</v>
      </c>
    </row>
    <row r="1084" spans="1:2" x14ac:dyDescent="0.25">
      <c r="A1084" s="40">
        <v>45413</v>
      </c>
      <c r="B1084">
        <v>4.3814800000000006E-6</v>
      </c>
    </row>
    <row r="1085" spans="1:2" x14ac:dyDescent="0.25">
      <c r="A1085" s="40">
        <v>45414</v>
      </c>
      <c r="B1085">
        <v>4.2868000000000002E-6</v>
      </c>
    </row>
    <row r="1086" spans="1:2" x14ac:dyDescent="0.25">
      <c r="A1086" s="40">
        <v>45415</v>
      </c>
      <c r="B1086">
        <v>4.5016500000000003E-6</v>
      </c>
    </row>
    <row r="1087" spans="1:2" x14ac:dyDescent="0.25">
      <c r="A1087" s="40">
        <v>45418</v>
      </c>
      <c r="B1087">
        <v>4.6897000000000002E-6</v>
      </c>
    </row>
    <row r="1088" spans="1:2" x14ac:dyDescent="0.25">
      <c r="A1088" s="40">
        <v>45419</v>
      </c>
      <c r="B1088">
        <v>4.7532499999999998E-6</v>
      </c>
    </row>
    <row r="1089" spans="1:2" x14ac:dyDescent="0.25">
      <c r="A1089" s="40">
        <v>45420</v>
      </c>
      <c r="B1089">
        <v>4.9342699999999999E-6</v>
      </c>
    </row>
    <row r="1090" spans="1:2" x14ac:dyDescent="0.25">
      <c r="A1090" s="40">
        <v>45421</v>
      </c>
      <c r="B1090">
        <v>4.5855000000000004E-6</v>
      </c>
    </row>
    <row r="1091" spans="1:2" x14ac:dyDescent="0.25">
      <c r="A1091" s="40">
        <v>45422</v>
      </c>
      <c r="B1091">
        <v>4.8643400000000004E-6</v>
      </c>
    </row>
    <row r="1092" spans="1:2" x14ac:dyDescent="0.25">
      <c r="A1092" s="40">
        <v>45425</v>
      </c>
      <c r="B1092">
        <v>4.9206799999999996E-6</v>
      </c>
    </row>
    <row r="1093" spans="1:2" x14ac:dyDescent="0.25">
      <c r="A1093" s="40">
        <v>45426</v>
      </c>
      <c r="B1093">
        <v>4.6834400000000002E-6</v>
      </c>
    </row>
    <row r="1094" spans="1:2" x14ac:dyDescent="0.25">
      <c r="A1094" s="40">
        <v>45427</v>
      </c>
      <c r="B1094">
        <v>4.4377900000000002E-6</v>
      </c>
    </row>
    <row r="1095" spans="1:2" x14ac:dyDescent="0.25">
      <c r="A1095" s="40">
        <v>45428</v>
      </c>
      <c r="B1095">
        <v>4.1012099999999997E-6</v>
      </c>
    </row>
    <row r="1096" spans="1:2" x14ac:dyDescent="0.25">
      <c r="A1096" s="40">
        <v>45429</v>
      </c>
      <c r="B1096">
        <v>4.4937300000000003E-6</v>
      </c>
    </row>
    <row r="1097" spans="1:2" x14ac:dyDescent="0.25">
      <c r="A1097" s="40">
        <v>45432</v>
      </c>
      <c r="B1097">
        <v>4.89728E-6</v>
      </c>
    </row>
    <row r="1098" spans="1:2" x14ac:dyDescent="0.25">
      <c r="A1098" s="40">
        <v>45433</v>
      </c>
      <c r="B1098">
        <v>4.9172000000000001E-6</v>
      </c>
    </row>
    <row r="1099" spans="1:2" x14ac:dyDescent="0.25">
      <c r="A1099" s="40">
        <v>45434</v>
      </c>
      <c r="B1099">
        <v>4.9638200000000004E-6</v>
      </c>
    </row>
    <row r="1100" spans="1:2" x14ac:dyDescent="0.25">
      <c r="A1100" s="40">
        <v>45435</v>
      </c>
      <c r="B1100">
        <v>4.6739799999999999E-6</v>
      </c>
    </row>
    <row r="1101" spans="1:2" x14ac:dyDescent="0.25">
      <c r="A1101" s="40">
        <v>45436</v>
      </c>
      <c r="B1101">
        <v>4.3123899999999997E-6</v>
      </c>
    </row>
    <row r="1102" spans="1:2" x14ac:dyDescent="0.25">
      <c r="A1102" s="40">
        <v>45440</v>
      </c>
      <c r="B1102">
        <v>4.1783600000000003E-6</v>
      </c>
    </row>
    <row r="1103" spans="1:2" x14ac:dyDescent="0.25">
      <c r="A1103" s="40">
        <v>45441</v>
      </c>
      <c r="B1103">
        <v>4.5931400000000004E-6</v>
      </c>
    </row>
    <row r="1104" spans="1:2" x14ac:dyDescent="0.25">
      <c r="A1104" s="40">
        <v>45442</v>
      </c>
      <c r="B1104">
        <v>4.52034E-6</v>
      </c>
    </row>
    <row r="1105" spans="1:2" x14ac:dyDescent="0.25">
      <c r="A1105" s="40">
        <v>45443</v>
      </c>
      <c r="B1105">
        <v>4.39806E-6</v>
      </c>
    </row>
    <row r="1106" spans="1:2" x14ac:dyDescent="0.25">
      <c r="A1106" s="40">
        <v>45446</v>
      </c>
      <c r="B1106">
        <v>3.8706900000000002E-6</v>
      </c>
    </row>
    <row r="1107" spans="1:2" x14ac:dyDescent="0.25">
      <c r="A1107" s="40">
        <v>45447</v>
      </c>
      <c r="B1107">
        <v>3.7782499999999998E-6</v>
      </c>
    </row>
    <row r="1108" spans="1:2" x14ac:dyDescent="0.25">
      <c r="A1108" s="40">
        <v>45448</v>
      </c>
      <c r="B1108">
        <v>3.7184100000000001E-6</v>
      </c>
    </row>
    <row r="1109" spans="1:2" x14ac:dyDescent="0.25">
      <c r="A1109" s="40">
        <v>45449</v>
      </c>
      <c r="B1109">
        <v>3.78125E-6</v>
      </c>
    </row>
    <row r="1110" spans="1:2" x14ac:dyDescent="0.25">
      <c r="A1110" s="40">
        <v>45450</v>
      </c>
      <c r="B1110">
        <v>3.9546199999999999E-6</v>
      </c>
    </row>
    <row r="1111" spans="1:2" x14ac:dyDescent="0.25">
      <c r="A1111" s="40">
        <v>45453</v>
      </c>
      <c r="B1111">
        <v>4.1648100000000002E-6</v>
      </c>
    </row>
    <row r="1112" spans="1:2" x14ac:dyDescent="0.25">
      <c r="A1112" s="40">
        <v>45454</v>
      </c>
      <c r="B1112">
        <v>4.1044900000000004E-6</v>
      </c>
    </row>
    <row r="1113" spans="1:2" x14ac:dyDescent="0.25">
      <c r="A1113" s="40">
        <v>45455</v>
      </c>
      <c r="B1113">
        <v>4.4757400000000005E-6</v>
      </c>
    </row>
    <row r="1114" spans="1:2" x14ac:dyDescent="0.25">
      <c r="A1114" s="40">
        <v>45456</v>
      </c>
      <c r="B1114">
        <v>4.2986400000000001E-6</v>
      </c>
    </row>
    <row r="1115" spans="1:2" x14ac:dyDescent="0.25">
      <c r="A1115" s="40">
        <v>45457</v>
      </c>
      <c r="B1115">
        <v>3.8688500000000002E-6</v>
      </c>
    </row>
    <row r="1116" spans="1:2" x14ac:dyDescent="0.25">
      <c r="A1116" s="40">
        <v>45460</v>
      </c>
      <c r="B1116">
        <v>3.3342899999999997E-6</v>
      </c>
    </row>
    <row r="1117" spans="1:2" x14ac:dyDescent="0.25">
      <c r="A1117" s="40">
        <v>45461</v>
      </c>
      <c r="B1117">
        <v>3.7554199999999998E-6</v>
      </c>
    </row>
    <row r="1118" spans="1:2" x14ac:dyDescent="0.25">
      <c r="A1118" s="40">
        <v>45463</v>
      </c>
      <c r="B1118">
        <v>3.8884099999999998E-6</v>
      </c>
    </row>
    <row r="1119" spans="1:2" x14ac:dyDescent="0.25">
      <c r="A1119" s="40">
        <v>45464</v>
      </c>
      <c r="B1119">
        <v>4.2104000000000004E-6</v>
      </c>
    </row>
    <row r="1120" spans="1:2" x14ac:dyDescent="0.25">
      <c r="A1120" s="40">
        <v>45467</v>
      </c>
      <c r="B1120">
        <v>4.3591600000000003E-6</v>
      </c>
    </row>
    <row r="1121" spans="1:2" x14ac:dyDescent="0.25">
      <c r="A1121" s="40">
        <v>45468</v>
      </c>
      <c r="B1121">
        <v>4.6631000000000003E-6</v>
      </c>
    </row>
    <row r="1122" spans="1:2" x14ac:dyDescent="0.25">
      <c r="A1122" s="40">
        <v>45469</v>
      </c>
      <c r="B1122">
        <v>4.9015600000000004E-6</v>
      </c>
    </row>
    <row r="1123" spans="1:2" x14ac:dyDescent="0.25">
      <c r="A1123" s="40">
        <v>45470</v>
      </c>
      <c r="B1123">
        <v>5.3169200000000004E-6</v>
      </c>
    </row>
    <row r="1124" spans="1:2" x14ac:dyDescent="0.25">
      <c r="A1124" s="40">
        <v>45471</v>
      </c>
      <c r="B1124">
        <v>6.6457000000000006E-6</v>
      </c>
    </row>
    <row r="1125" spans="1:2" x14ac:dyDescent="0.25">
      <c r="A1125" s="40">
        <v>45474</v>
      </c>
      <c r="B1125">
        <v>4.5178299999999997E-6</v>
      </c>
    </row>
    <row r="1126" spans="1:2" x14ac:dyDescent="0.25">
      <c r="A1126" s="40">
        <v>45475</v>
      </c>
      <c r="B1126">
        <v>4.4336900000000006E-6</v>
      </c>
    </row>
    <row r="1127" spans="1:2" x14ac:dyDescent="0.25">
      <c r="A1127" s="40">
        <v>45476</v>
      </c>
      <c r="B1127">
        <v>4.2589800000000005E-6</v>
      </c>
    </row>
    <row r="1128" spans="1:2" x14ac:dyDescent="0.25">
      <c r="A1128" s="40">
        <v>45478</v>
      </c>
      <c r="B1128">
        <v>3.9063199999999999E-6</v>
      </c>
    </row>
    <row r="1129" spans="1:2" x14ac:dyDescent="0.25">
      <c r="A1129" s="40">
        <v>45481</v>
      </c>
      <c r="B1129">
        <v>4.1525700000000003E-6</v>
      </c>
    </row>
    <row r="1130" spans="1:2" x14ac:dyDescent="0.25">
      <c r="A1130" s="40">
        <v>45482</v>
      </c>
      <c r="B1130">
        <v>4.2315199999999998E-6</v>
      </c>
    </row>
    <row r="1131" spans="1:2" x14ac:dyDescent="0.25">
      <c r="A1131" s="40">
        <v>45483</v>
      </c>
      <c r="B1131">
        <v>4.2214699999999998E-6</v>
      </c>
    </row>
    <row r="1132" spans="1:2" x14ac:dyDescent="0.25">
      <c r="A1132" s="40">
        <v>45484</v>
      </c>
      <c r="B1132">
        <v>4.0370800000000001E-6</v>
      </c>
    </row>
    <row r="1133" spans="1:2" x14ac:dyDescent="0.25">
      <c r="A1133" s="40">
        <v>45485</v>
      </c>
      <c r="B1133">
        <v>4.0658999999999995E-6</v>
      </c>
    </row>
    <row r="1134" spans="1:2" x14ac:dyDescent="0.25">
      <c r="A1134" s="40">
        <v>45488</v>
      </c>
      <c r="B1134">
        <v>4.1327999999999996E-6</v>
      </c>
    </row>
    <row r="1135" spans="1:2" x14ac:dyDescent="0.25">
      <c r="A1135" s="40">
        <v>45489</v>
      </c>
      <c r="B1135">
        <v>4.0959400000000003E-6</v>
      </c>
    </row>
    <row r="1136" spans="1:2" x14ac:dyDescent="0.25">
      <c r="A1136" s="40">
        <v>45490</v>
      </c>
      <c r="B1136">
        <v>3.9940100000000001E-6</v>
      </c>
    </row>
    <row r="1137" spans="1:2" x14ac:dyDescent="0.25">
      <c r="A1137" s="40">
        <v>45491</v>
      </c>
      <c r="B1137">
        <v>3.9165200000000002E-6</v>
      </c>
    </row>
    <row r="1138" spans="1:2" x14ac:dyDescent="0.25">
      <c r="A1138" s="40">
        <v>45492</v>
      </c>
      <c r="B1138">
        <v>3.7980099999999997E-6</v>
      </c>
    </row>
    <row r="1139" spans="1:2" x14ac:dyDescent="0.25">
      <c r="A1139" s="40">
        <v>45495</v>
      </c>
      <c r="B1139">
        <v>3.9590100000000004E-6</v>
      </c>
    </row>
    <row r="1140" spans="1:2" x14ac:dyDescent="0.25">
      <c r="A1140" s="40">
        <v>45496</v>
      </c>
      <c r="B1140">
        <v>3.8983700000000003E-6</v>
      </c>
    </row>
    <row r="1141" spans="1:2" x14ac:dyDescent="0.25">
      <c r="A1141" s="40">
        <v>45497</v>
      </c>
      <c r="B1141">
        <v>3.9912099999999999E-6</v>
      </c>
    </row>
    <row r="1142" spans="1:2" x14ac:dyDescent="0.25">
      <c r="A1142" s="40">
        <v>45498</v>
      </c>
      <c r="B1142">
        <v>3.77433E-6</v>
      </c>
    </row>
    <row r="1143" spans="1:2" x14ac:dyDescent="0.25">
      <c r="A1143" s="40">
        <v>45499</v>
      </c>
      <c r="B1143">
        <v>3.8125700000000002E-6</v>
      </c>
    </row>
    <row r="1144" spans="1:2" x14ac:dyDescent="0.25">
      <c r="A1144" s="40">
        <v>45502</v>
      </c>
      <c r="B1144">
        <v>3.8528100000000005E-6</v>
      </c>
    </row>
    <row r="1145" spans="1:2" x14ac:dyDescent="0.25">
      <c r="A1145" s="40">
        <v>45503</v>
      </c>
      <c r="B1145">
        <v>3.6705399999999997E-6</v>
      </c>
    </row>
    <row r="1146" spans="1:2" x14ac:dyDescent="0.25">
      <c r="A1146" s="40">
        <v>45504</v>
      </c>
      <c r="B1146">
        <v>4.1319999999999996E-6</v>
      </c>
    </row>
    <row r="1147" spans="1:2" x14ac:dyDescent="0.25">
      <c r="A1147" s="40">
        <v>45505</v>
      </c>
      <c r="B1147">
        <v>3.4888500000000001E-6</v>
      </c>
    </row>
    <row r="1148" spans="1:2" x14ac:dyDescent="0.25">
      <c r="A1148" s="40">
        <v>45506</v>
      </c>
      <c r="B1148">
        <v>3.3847299999999999E-6</v>
      </c>
    </row>
    <row r="1149" spans="1:2" x14ac:dyDescent="0.25">
      <c r="A1149" s="40">
        <v>45509</v>
      </c>
      <c r="B1149">
        <v>3.16246E-6</v>
      </c>
    </row>
    <row r="1150" spans="1:2" x14ac:dyDescent="0.25">
      <c r="A1150" s="40">
        <v>45510</v>
      </c>
      <c r="B1150">
        <v>2.9195800000000003E-6</v>
      </c>
    </row>
    <row r="1151" spans="1:2" x14ac:dyDescent="0.25">
      <c r="A1151" s="40">
        <v>45511</v>
      </c>
      <c r="B1151">
        <v>2.8666000000000002E-6</v>
      </c>
    </row>
    <row r="1152" spans="1:2" x14ac:dyDescent="0.25">
      <c r="A1152" s="40">
        <v>45512</v>
      </c>
      <c r="B1152">
        <v>3.0315900000000001E-6</v>
      </c>
    </row>
    <row r="1153" spans="1:2" x14ac:dyDescent="0.25">
      <c r="A1153" s="40">
        <v>45513</v>
      </c>
      <c r="B1153">
        <v>3.1219799999999998E-6</v>
      </c>
    </row>
    <row r="1154" spans="1:2" x14ac:dyDescent="0.25">
      <c r="A1154" s="40">
        <v>45516</v>
      </c>
      <c r="B1154">
        <v>3.2864100000000003E-6</v>
      </c>
    </row>
    <row r="1155" spans="1:2" x14ac:dyDescent="0.25">
      <c r="A1155" s="40">
        <v>45517</v>
      </c>
      <c r="B1155">
        <v>3.2449400000000003E-6</v>
      </c>
    </row>
    <row r="1156" spans="1:2" x14ac:dyDescent="0.25">
      <c r="A1156" s="40">
        <v>45518</v>
      </c>
      <c r="B1156">
        <v>3.2847199999999998E-6</v>
      </c>
    </row>
    <row r="1157" spans="1:2" x14ac:dyDescent="0.25">
      <c r="A1157" s="40">
        <v>45519</v>
      </c>
      <c r="B1157">
        <v>3.0714100000000002E-6</v>
      </c>
    </row>
    <row r="1158" spans="1:2" x14ac:dyDescent="0.25">
      <c r="A1158" s="40">
        <v>45520</v>
      </c>
      <c r="B1158">
        <v>3.30317E-6</v>
      </c>
    </row>
    <row r="1159" spans="1:2" x14ac:dyDescent="0.25">
      <c r="A1159" s="40">
        <v>45523</v>
      </c>
      <c r="B1159">
        <v>3.3358300000000003E-6</v>
      </c>
    </row>
    <row r="1160" spans="1:2" x14ac:dyDescent="0.25">
      <c r="A1160" s="40">
        <v>45524</v>
      </c>
      <c r="B1160">
        <v>3.1081900000000003E-6</v>
      </c>
    </row>
    <row r="1161" spans="1:2" x14ac:dyDescent="0.25">
      <c r="A1161" s="40">
        <v>45525</v>
      </c>
      <c r="B1161">
        <v>3.2132899999999999E-6</v>
      </c>
    </row>
    <row r="1162" spans="1:2" x14ac:dyDescent="0.25">
      <c r="A1162" s="40">
        <v>45526</v>
      </c>
      <c r="B1162">
        <v>3.16777E-6</v>
      </c>
    </row>
    <row r="1163" spans="1:2" x14ac:dyDescent="0.25">
      <c r="A1163" s="40">
        <v>45527</v>
      </c>
      <c r="B1163">
        <v>3.1289600000000002E-6</v>
      </c>
    </row>
    <row r="1164" spans="1:2" x14ac:dyDescent="0.25">
      <c r="A1164" s="40">
        <v>45530</v>
      </c>
      <c r="B1164">
        <v>3.5355700000000001E-6</v>
      </c>
    </row>
    <row r="1165" spans="1:2" x14ac:dyDescent="0.25">
      <c r="A1165" s="40">
        <v>45531</v>
      </c>
      <c r="B1165">
        <v>3.4404500000000002E-6</v>
      </c>
    </row>
    <row r="1166" spans="1:2" x14ac:dyDescent="0.25">
      <c r="A1166" s="40">
        <v>45532</v>
      </c>
      <c r="B1166">
        <v>3.8889000000000002E-6</v>
      </c>
    </row>
    <row r="1167" spans="1:2" x14ac:dyDescent="0.25">
      <c r="A1167" s="40">
        <v>45533</v>
      </c>
      <c r="B1167">
        <v>3.8343400000000001E-6</v>
      </c>
    </row>
    <row r="1168" spans="1:2" x14ac:dyDescent="0.25">
      <c r="A1168" s="40">
        <v>45534</v>
      </c>
      <c r="B1168">
        <v>4.3313000000000004E-6</v>
      </c>
    </row>
    <row r="1169" spans="1:2" x14ac:dyDescent="0.25">
      <c r="A1169" s="40">
        <v>45538</v>
      </c>
      <c r="B1169">
        <v>3.4980799999999999E-6</v>
      </c>
    </row>
    <row r="1170" spans="1:2" x14ac:dyDescent="0.25">
      <c r="A1170" s="40">
        <v>45539</v>
      </c>
      <c r="B1170">
        <v>3.3731200000000001E-6</v>
      </c>
    </row>
    <row r="1171" spans="1:2" x14ac:dyDescent="0.25">
      <c r="A1171" s="40">
        <v>45540</v>
      </c>
      <c r="B1171">
        <v>2.9109100000000002E-6</v>
      </c>
    </row>
    <row r="1172" spans="1:2" x14ac:dyDescent="0.25">
      <c r="A1172" s="40">
        <v>45541</v>
      </c>
      <c r="B1172">
        <v>2.99271E-6</v>
      </c>
    </row>
    <row r="1173" spans="1:2" x14ac:dyDescent="0.25">
      <c r="A1173" s="40">
        <v>45544</v>
      </c>
      <c r="B1173">
        <v>2.92158E-6</v>
      </c>
    </row>
    <row r="1174" spans="1:2" x14ac:dyDescent="0.25">
      <c r="A1174" s="40">
        <v>45545</v>
      </c>
      <c r="B1174">
        <v>2.81392E-6</v>
      </c>
    </row>
    <row r="1175" spans="1:2" x14ac:dyDescent="0.25">
      <c r="A1175" s="40">
        <v>45546</v>
      </c>
      <c r="B1175">
        <v>2.7921499999999996E-6</v>
      </c>
    </row>
    <row r="1176" spans="1:2" x14ac:dyDescent="0.25">
      <c r="A1176" s="40">
        <v>45547</v>
      </c>
      <c r="B1176">
        <v>2.94464E-6</v>
      </c>
    </row>
    <row r="1177" spans="1:2" x14ac:dyDescent="0.25">
      <c r="A1177" s="40">
        <v>45548</v>
      </c>
      <c r="B1177">
        <v>2.8495100000000003E-6</v>
      </c>
    </row>
    <row r="1178" spans="1:2" x14ac:dyDescent="0.25">
      <c r="A1178" s="40">
        <v>45551</v>
      </c>
      <c r="B1178">
        <v>2.3938599999999998E-6</v>
      </c>
    </row>
    <row r="1179" spans="1:2" x14ac:dyDescent="0.25">
      <c r="A1179" s="40">
        <v>45552</v>
      </c>
      <c r="B1179">
        <v>2.5633699999999999E-6</v>
      </c>
    </row>
    <row r="1180" spans="1:2" x14ac:dyDescent="0.25">
      <c r="A1180" s="40">
        <v>45553</v>
      </c>
      <c r="B1180">
        <v>3.0583100000000003E-6</v>
      </c>
    </row>
    <row r="1181" spans="1:2" x14ac:dyDescent="0.25">
      <c r="A1181" s="40">
        <v>45554</v>
      </c>
      <c r="B1181">
        <v>3.1177700000000001E-6</v>
      </c>
    </row>
    <row r="1182" spans="1:2" x14ac:dyDescent="0.25">
      <c r="A1182" s="40">
        <v>45555</v>
      </c>
      <c r="B1182">
        <v>3.3931599999999997E-6</v>
      </c>
    </row>
    <row r="1183" spans="1:2" x14ac:dyDescent="0.25">
      <c r="A1183" s="40">
        <v>45558</v>
      </c>
      <c r="B1183">
        <v>3.8037200000000002E-6</v>
      </c>
    </row>
    <row r="1184" spans="1:2" x14ac:dyDescent="0.25">
      <c r="A1184" s="40">
        <v>45559</v>
      </c>
      <c r="B1184">
        <v>3.88977E-6</v>
      </c>
    </row>
    <row r="1185" spans="1:2" x14ac:dyDescent="0.25">
      <c r="A1185" s="40">
        <v>45560</v>
      </c>
      <c r="B1185">
        <v>4.1619299999999995E-6</v>
      </c>
    </row>
    <row r="1186" spans="1:2" x14ac:dyDescent="0.25">
      <c r="A1186" s="40">
        <v>45561</v>
      </c>
      <c r="B1186">
        <v>4.2491599999999996E-6</v>
      </c>
    </row>
    <row r="1187" spans="1:2" x14ac:dyDescent="0.25">
      <c r="A1187" s="40">
        <v>45562</v>
      </c>
      <c r="B1187">
        <v>4.3651799999999996E-6</v>
      </c>
    </row>
    <row r="1188" spans="1:2" x14ac:dyDescent="0.25">
      <c r="A1188" s="40">
        <v>45565</v>
      </c>
      <c r="B1188">
        <v>4.6563799999999995E-6</v>
      </c>
    </row>
    <row r="1189" spans="1:2" x14ac:dyDescent="0.25">
      <c r="A1189" s="40">
        <v>45566</v>
      </c>
      <c r="B1189">
        <v>3.7522100000000001E-6</v>
      </c>
    </row>
    <row r="1190" spans="1:2" x14ac:dyDescent="0.25">
      <c r="A1190" s="40">
        <v>45567</v>
      </c>
      <c r="B1190">
        <v>3.8339800000000003E-6</v>
      </c>
    </row>
    <row r="1191" spans="1:2" x14ac:dyDescent="0.25">
      <c r="A1191" s="40">
        <v>45568</v>
      </c>
      <c r="B1191">
        <v>3.4124799999999998E-6</v>
      </c>
    </row>
    <row r="1192" spans="1:2" x14ac:dyDescent="0.25">
      <c r="A1192" s="40">
        <v>45569</v>
      </c>
      <c r="B1192">
        <v>3.3001200000000001E-6</v>
      </c>
    </row>
    <row r="1193" spans="1:2" x14ac:dyDescent="0.25">
      <c r="A1193" s="40">
        <v>45572</v>
      </c>
      <c r="B1193">
        <v>3.2294799999999996E-6</v>
      </c>
    </row>
    <row r="1194" spans="1:2" x14ac:dyDescent="0.25">
      <c r="A1194" s="40">
        <v>45573</v>
      </c>
      <c r="B1194">
        <v>3.2535500000000004E-6</v>
      </c>
    </row>
    <row r="1195" spans="1:2" x14ac:dyDescent="0.25">
      <c r="A1195" s="40">
        <v>45574</v>
      </c>
      <c r="B1195">
        <v>3.4344799999999998E-6</v>
      </c>
    </row>
    <row r="1196" spans="1:2" x14ac:dyDescent="0.25">
      <c r="A1196" s="40">
        <v>45575</v>
      </c>
      <c r="B1196">
        <v>3.2258699999999999E-6</v>
      </c>
    </row>
    <row r="1197" spans="1:2" x14ac:dyDescent="0.25">
      <c r="A1197" s="40">
        <v>45576</v>
      </c>
      <c r="B1197">
        <v>3.3173500000000001E-6</v>
      </c>
    </row>
    <row r="1198" spans="1:2" x14ac:dyDescent="0.25">
      <c r="A1198" s="40">
        <v>45580</v>
      </c>
      <c r="B1198">
        <v>2.8639800000000003E-6</v>
      </c>
    </row>
    <row r="1199" spans="1:2" x14ac:dyDescent="0.25">
      <c r="A1199" s="40">
        <v>45581</v>
      </c>
      <c r="B1199">
        <v>2.7202800000000003E-6</v>
      </c>
    </row>
    <row r="1200" spans="1:2" x14ac:dyDescent="0.25">
      <c r="A1200" s="40">
        <v>45582</v>
      </c>
      <c r="B1200">
        <v>2.6220999999999998E-6</v>
      </c>
    </row>
    <row r="1201" spans="1:2" x14ac:dyDescent="0.25">
      <c r="A1201" s="40">
        <v>45583</v>
      </c>
      <c r="B1201">
        <v>2.5989199999999999E-6</v>
      </c>
    </row>
    <row r="1202" spans="1:2" x14ac:dyDescent="0.25">
      <c r="A1202" s="40">
        <v>45586</v>
      </c>
      <c r="B1202">
        <v>2.6104399999999999E-6</v>
      </c>
    </row>
    <row r="1203" spans="1:2" x14ac:dyDescent="0.25">
      <c r="A1203" s="40">
        <v>45587</v>
      </c>
      <c r="B1203">
        <v>2.3775999999999999E-6</v>
      </c>
    </row>
    <row r="1204" spans="1:2" x14ac:dyDescent="0.25">
      <c r="A1204" s="40">
        <v>45588</v>
      </c>
      <c r="B1204">
        <v>2.7083899999999999E-6</v>
      </c>
    </row>
    <row r="1205" spans="1:2" x14ac:dyDescent="0.25">
      <c r="A1205" s="40">
        <v>45589</v>
      </c>
      <c r="B1205">
        <v>2.0279800000000002E-6</v>
      </c>
    </row>
    <row r="1206" spans="1:2" x14ac:dyDescent="0.25">
      <c r="A1206" s="40">
        <v>45590</v>
      </c>
      <c r="B1206">
        <v>2.2699999999999999E-6</v>
      </c>
    </row>
    <row r="1207" spans="1:2" x14ac:dyDescent="0.25">
      <c r="A1207" s="40">
        <v>45593</v>
      </c>
      <c r="B1207">
        <v>2.51032E-6</v>
      </c>
    </row>
    <row r="1208" spans="1:2" x14ac:dyDescent="0.25">
      <c r="A1208" s="40">
        <v>45594</v>
      </c>
      <c r="B1208">
        <v>2.44841E-6</v>
      </c>
    </row>
    <row r="1209" spans="1:2" x14ac:dyDescent="0.25">
      <c r="A1209" s="40">
        <v>45595</v>
      </c>
      <c r="B1209">
        <v>2.28946E-6</v>
      </c>
    </row>
    <row r="1210" spans="1:2" x14ac:dyDescent="0.25">
      <c r="A1210" s="40">
        <v>45596</v>
      </c>
      <c r="B1210">
        <v>2.0127799999999999E-6</v>
      </c>
    </row>
    <row r="1211" spans="1:2" x14ac:dyDescent="0.25">
      <c r="A1211" s="40">
        <v>45597</v>
      </c>
      <c r="B1211">
        <v>1.5547600000000001E-6</v>
      </c>
    </row>
    <row r="1212" spans="1:2" x14ac:dyDescent="0.25">
      <c r="A1212" s="40">
        <v>45600</v>
      </c>
      <c r="B1212">
        <v>1.7188499999999999E-6</v>
      </c>
    </row>
    <row r="1213" spans="1:2" x14ac:dyDescent="0.25">
      <c r="A1213" s="40">
        <v>45601</v>
      </c>
      <c r="B1213">
        <v>1.4424299999999999E-6</v>
      </c>
    </row>
    <row r="1214" spans="1:2" x14ac:dyDescent="0.25">
      <c r="A1214" s="40">
        <v>45602</v>
      </c>
      <c r="B1214">
        <v>1.7787100000000001E-6</v>
      </c>
    </row>
    <row r="1215" spans="1:2" x14ac:dyDescent="0.25">
      <c r="A1215" s="40">
        <v>45603</v>
      </c>
      <c r="B1215">
        <v>1.5900200000000002E-6</v>
      </c>
    </row>
    <row r="1216" spans="1:2" x14ac:dyDescent="0.25">
      <c r="A1216" s="40">
        <v>45604</v>
      </c>
      <c r="B1216">
        <v>1.6362100000000002E-6</v>
      </c>
    </row>
    <row r="1217" spans="1:2" x14ac:dyDescent="0.25">
      <c r="A1217" s="40">
        <v>45608</v>
      </c>
      <c r="B1217">
        <v>1.7881399999999999E-6</v>
      </c>
    </row>
    <row r="1218" spans="1:2" x14ac:dyDescent="0.25">
      <c r="A1218" s="40">
        <v>45609</v>
      </c>
      <c r="B1218">
        <v>2.3810600000000001E-6</v>
      </c>
    </row>
    <row r="1219" spans="1:2" x14ac:dyDescent="0.25">
      <c r="A1219" s="40">
        <v>45610</v>
      </c>
      <c r="B1219">
        <v>2.1450899999999997E-6</v>
      </c>
    </row>
    <row r="1220" spans="1:2" x14ac:dyDescent="0.25">
      <c r="A1220" s="40">
        <v>45611</v>
      </c>
      <c r="B1220">
        <v>1.7240000000000001E-6</v>
      </c>
    </row>
    <row r="1221" spans="1:2" x14ac:dyDescent="0.25">
      <c r="A1221" s="40">
        <v>45614</v>
      </c>
      <c r="B1221">
        <v>2.0003000000000001E-6</v>
      </c>
    </row>
    <row r="1222" spans="1:2" x14ac:dyDescent="0.25">
      <c r="A1222" s="40">
        <v>45615</v>
      </c>
      <c r="B1222">
        <v>2.0066399999999998E-6</v>
      </c>
    </row>
    <row r="1223" spans="1:2" x14ac:dyDescent="0.25">
      <c r="A1223" s="40">
        <v>45616</v>
      </c>
      <c r="B1223">
        <v>2.1779299999999999E-6</v>
      </c>
    </row>
    <row r="1224" spans="1:2" x14ac:dyDescent="0.25">
      <c r="A1224" s="40">
        <v>45617</v>
      </c>
      <c r="B1224">
        <v>1.88567E-6</v>
      </c>
    </row>
    <row r="1225" spans="1:2" x14ac:dyDescent="0.25">
      <c r="A1225" s="40">
        <v>45618</v>
      </c>
      <c r="B1225">
        <v>2.0425399999999998E-6</v>
      </c>
    </row>
    <row r="1226" spans="1:2" x14ac:dyDescent="0.25">
      <c r="A1226" s="40">
        <v>45621</v>
      </c>
      <c r="B1226">
        <v>1.8674900000000001E-6</v>
      </c>
    </row>
    <row r="1227" spans="1:2" x14ac:dyDescent="0.25">
      <c r="A1227" s="40">
        <v>45622</v>
      </c>
      <c r="B1227">
        <v>1.48823E-6</v>
      </c>
    </row>
    <row r="1228" spans="1:2" x14ac:dyDescent="0.25">
      <c r="A1228" s="40">
        <v>45623</v>
      </c>
      <c r="B1228">
        <v>1.69815E-6</v>
      </c>
    </row>
    <row r="1229" spans="1:2" x14ac:dyDescent="0.25">
      <c r="A1229" s="40">
        <v>45625</v>
      </c>
      <c r="B1229">
        <v>1.9762700000000001E-6</v>
      </c>
    </row>
    <row r="1230" spans="1:2" x14ac:dyDescent="0.25">
      <c r="A1230" s="40">
        <v>45628</v>
      </c>
      <c r="B1230">
        <v>1.3585800000000001E-6</v>
      </c>
    </row>
    <row r="1231" spans="1:2" x14ac:dyDescent="0.25">
      <c r="A1231" s="40">
        <v>45629</v>
      </c>
      <c r="B1231">
        <v>1.61572E-6</v>
      </c>
    </row>
    <row r="1232" spans="1:2" x14ac:dyDescent="0.25">
      <c r="A1232" s="40">
        <v>45630</v>
      </c>
      <c r="B1232">
        <v>1.6286600000000001E-6</v>
      </c>
    </row>
    <row r="1233" spans="1:2" x14ac:dyDescent="0.25">
      <c r="A1233" s="40">
        <v>45631</v>
      </c>
      <c r="B1233">
        <v>1.3196400000000001E-6</v>
      </c>
    </row>
    <row r="1234" spans="1:2" x14ac:dyDescent="0.25">
      <c r="A1234" s="40">
        <v>45632</v>
      </c>
      <c r="B1234">
        <v>1.3001400000000001E-6</v>
      </c>
    </row>
    <row r="1235" spans="1:2" x14ac:dyDescent="0.25">
      <c r="A1235" s="40">
        <v>45635</v>
      </c>
      <c r="B1235">
        <v>1.5302899999999999E-6</v>
      </c>
    </row>
    <row r="1236" spans="1:2" x14ac:dyDescent="0.25">
      <c r="A1236" s="40">
        <v>45636</v>
      </c>
      <c r="B1236">
        <v>1.7484200000000002E-6</v>
      </c>
    </row>
    <row r="1237" spans="1:2" x14ac:dyDescent="0.25">
      <c r="A1237" s="40">
        <v>45637</v>
      </c>
      <c r="B1237">
        <v>1.8012E-6</v>
      </c>
    </row>
    <row r="1238" spans="1:2" x14ac:dyDescent="0.25">
      <c r="A1238" s="40">
        <v>45638</v>
      </c>
      <c r="B1238">
        <v>1.65025E-6</v>
      </c>
    </row>
    <row r="1239" spans="1:2" x14ac:dyDescent="0.25">
      <c r="A1239" s="40">
        <v>45639</v>
      </c>
      <c r="B1239">
        <v>1.35777E-6</v>
      </c>
    </row>
    <row r="1240" spans="1:2" x14ac:dyDescent="0.25">
      <c r="A1240" s="40">
        <v>45642</v>
      </c>
      <c r="B1240">
        <v>1.10753E-6</v>
      </c>
    </row>
    <row r="1241" spans="1:2" x14ac:dyDescent="0.25">
      <c r="A1241" s="40">
        <v>45643</v>
      </c>
      <c r="B1241">
        <v>1.18093E-6</v>
      </c>
    </row>
    <row r="1242" spans="1:2" x14ac:dyDescent="0.25">
      <c r="A1242" s="40">
        <v>45644</v>
      </c>
      <c r="B1242">
        <v>1.3165100000000001E-6</v>
      </c>
    </row>
    <row r="1243" spans="1:2" x14ac:dyDescent="0.25">
      <c r="A1243" s="40">
        <v>45645</v>
      </c>
      <c r="B1243">
        <v>1.12417E-6</v>
      </c>
    </row>
    <row r="1244" spans="1:2" x14ac:dyDescent="0.25">
      <c r="A1244" s="40">
        <v>45646</v>
      </c>
      <c r="B1244">
        <v>9.8355999999999995E-7</v>
      </c>
    </row>
    <row r="1245" spans="1:2" x14ac:dyDescent="0.25">
      <c r="A1245" s="40">
        <v>45649</v>
      </c>
      <c r="B1245">
        <v>1.16004E-6</v>
      </c>
    </row>
    <row r="1246" spans="1:2" x14ac:dyDescent="0.25">
      <c r="A1246" s="40">
        <v>45650</v>
      </c>
      <c r="B1246">
        <v>1.80989E-6</v>
      </c>
    </row>
    <row r="1247" spans="1:2" x14ac:dyDescent="0.25">
      <c r="A1247" s="40">
        <v>45652</v>
      </c>
      <c r="B1247">
        <v>1.9681799999999999E-6</v>
      </c>
    </row>
    <row r="1248" spans="1:2" x14ac:dyDescent="0.25">
      <c r="A1248" s="40">
        <v>45653</v>
      </c>
      <c r="B1248">
        <v>2.6873899999999996E-6</v>
      </c>
    </row>
    <row r="1249" spans="1:2" x14ac:dyDescent="0.25">
      <c r="A1249" s="40">
        <v>45656</v>
      </c>
      <c r="B1249">
        <v>2.6074299999999998E-6</v>
      </c>
    </row>
    <row r="1250" spans="1:2" x14ac:dyDescent="0.25">
      <c r="A1250" s="40">
        <v>45657</v>
      </c>
      <c r="B1250">
        <v>4.7345999999999995E-6</v>
      </c>
    </row>
    <row r="1251" spans="1:2" x14ac:dyDescent="0.25">
      <c r="A1251" s="40">
        <v>45659</v>
      </c>
      <c r="B1251">
        <v>2.3985800000000001E-6</v>
      </c>
    </row>
    <row r="1252" spans="1:2" x14ac:dyDescent="0.25">
      <c r="A1252" s="40">
        <v>45660</v>
      </c>
      <c r="B1252">
        <v>2.3737700000000001E-6</v>
      </c>
    </row>
    <row r="1253" spans="1:2" x14ac:dyDescent="0.25">
      <c r="A1253" s="40">
        <v>45663</v>
      </c>
      <c r="B1253">
        <v>2.3192599999999997E-6</v>
      </c>
    </row>
    <row r="1254" spans="1:2" x14ac:dyDescent="0.25">
      <c r="A1254" s="40">
        <v>45664</v>
      </c>
      <c r="B1254">
        <v>2.08296E-6</v>
      </c>
    </row>
    <row r="1255" spans="1:2" x14ac:dyDescent="0.25">
      <c r="A1255" s="40">
        <v>45665</v>
      </c>
      <c r="B1255">
        <v>1.85144E-6</v>
      </c>
    </row>
    <row r="1256" spans="1:2" x14ac:dyDescent="0.25">
      <c r="A1256" s="40">
        <v>45666</v>
      </c>
      <c r="B1256">
        <v>1.6822499999999999E-6</v>
      </c>
    </row>
    <row r="1257" spans="1:2" x14ac:dyDescent="0.25">
      <c r="A1257" s="40">
        <v>45667</v>
      </c>
      <c r="B1257">
        <v>1.7880000000000001E-6</v>
      </c>
    </row>
    <row r="1258" spans="1:2" x14ac:dyDescent="0.25">
      <c r="A1258" s="40">
        <v>45670</v>
      </c>
      <c r="B1258">
        <v>1.8366900000000001E-6</v>
      </c>
    </row>
    <row r="1259" spans="1:2" x14ac:dyDescent="0.25">
      <c r="A1259" s="40">
        <v>45671</v>
      </c>
      <c r="B1259">
        <v>1.60219E-6</v>
      </c>
    </row>
    <row r="1260" spans="1:2" x14ac:dyDescent="0.25">
      <c r="A1260" s="40">
        <v>45672</v>
      </c>
      <c r="B1260">
        <v>1.1997699999999999E-6</v>
      </c>
    </row>
    <row r="1261" spans="1:2" x14ac:dyDescent="0.25">
      <c r="A1261" s="40">
        <v>45673</v>
      </c>
      <c r="B1261">
        <v>9.4489000000000009E-7</v>
      </c>
    </row>
    <row r="1262" spans="1:2" x14ac:dyDescent="0.25">
      <c r="A1262" s="40">
        <v>45674</v>
      </c>
      <c r="B1262">
        <v>1.18327E-6</v>
      </c>
    </row>
    <row r="1263" spans="1:2" x14ac:dyDescent="0.25">
      <c r="A1263" s="40">
        <v>45678</v>
      </c>
      <c r="B1263">
        <v>9.6015000000000003E-7</v>
      </c>
    </row>
    <row r="1264" spans="1:2" x14ac:dyDescent="0.25">
      <c r="A1264" s="40">
        <v>45679</v>
      </c>
      <c r="B1264">
        <v>1.23981E-6</v>
      </c>
    </row>
    <row r="1265" spans="1:2" x14ac:dyDescent="0.25">
      <c r="A1265" s="40">
        <v>45680</v>
      </c>
      <c r="B1265">
        <v>1.3203100000000002E-6</v>
      </c>
    </row>
    <row r="1266" spans="1:2" x14ac:dyDescent="0.25">
      <c r="A1266" s="40">
        <v>45681</v>
      </c>
      <c r="B1266">
        <v>1.04972E-6</v>
      </c>
    </row>
    <row r="1267" spans="1:2" x14ac:dyDescent="0.25">
      <c r="A1267" s="40">
        <v>45684</v>
      </c>
      <c r="B1267">
        <v>9.2862999999999997E-7</v>
      </c>
    </row>
    <row r="1268" spans="1:2" x14ac:dyDescent="0.25">
      <c r="A1268" s="40">
        <v>45685</v>
      </c>
      <c r="B1268">
        <v>1.1276E-6</v>
      </c>
    </row>
    <row r="1269" spans="1:2" x14ac:dyDescent="0.25">
      <c r="A1269" s="40">
        <v>45686</v>
      </c>
      <c r="B1269">
        <v>1.21842E-6</v>
      </c>
    </row>
    <row r="1270" spans="1:2" x14ac:dyDescent="0.25">
      <c r="A1270" s="40">
        <v>45687</v>
      </c>
      <c r="B1270">
        <v>1.2596500000000001E-6</v>
      </c>
    </row>
    <row r="1271" spans="1:2" x14ac:dyDescent="0.25">
      <c r="A1271" s="40">
        <v>45688</v>
      </c>
      <c r="B1271">
        <v>1.8791300000000001E-6</v>
      </c>
    </row>
    <row r="1272" spans="1:2" x14ac:dyDescent="0.25">
      <c r="A1272" s="40">
        <v>45691</v>
      </c>
      <c r="B1272">
        <v>9.7781000000000005E-7</v>
      </c>
    </row>
    <row r="1273" spans="1:2" x14ac:dyDescent="0.25">
      <c r="A1273" s="40">
        <v>45692</v>
      </c>
      <c r="B1273">
        <v>8.5653999999999991E-7</v>
      </c>
    </row>
    <row r="1274" spans="1:2" x14ac:dyDescent="0.25">
      <c r="A1274" s="40">
        <v>45693</v>
      </c>
      <c r="B1274">
        <v>7.8787999999999998E-7</v>
      </c>
    </row>
    <row r="1275" spans="1:2" x14ac:dyDescent="0.25">
      <c r="A1275" s="40">
        <v>45694</v>
      </c>
      <c r="B1275">
        <v>7.9983000000000004E-7</v>
      </c>
    </row>
    <row r="1276" spans="1:2" x14ac:dyDescent="0.25">
      <c r="A1276" s="40">
        <v>45695</v>
      </c>
      <c r="B1276">
        <v>9.5248000000000007E-7</v>
      </c>
    </row>
    <row r="1277" spans="1:2" x14ac:dyDescent="0.25">
      <c r="A1277" s="40">
        <v>45698</v>
      </c>
      <c r="B1277">
        <v>9.965300000000001E-7</v>
      </c>
    </row>
    <row r="1278" spans="1:2" x14ac:dyDescent="0.25">
      <c r="A1278" s="40">
        <v>45699</v>
      </c>
      <c r="B1278">
        <v>7.6446E-7</v>
      </c>
    </row>
    <row r="1279" spans="1:2" x14ac:dyDescent="0.25">
      <c r="A1279" s="40">
        <v>45700</v>
      </c>
      <c r="B1279">
        <v>6.7670000000000002E-7</v>
      </c>
    </row>
    <row r="1280" spans="1:2" x14ac:dyDescent="0.25">
      <c r="A1280" s="40">
        <v>45701</v>
      </c>
      <c r="B1280">
        <v>6.7819999999999992E-7</v>
      </c>
    </row>
    <row r="1281" spans="1:2" x14ac:dyDescent="0.25">
      <c r="A1281" s="40">
        <v>45702</v>
      </c>
      <c r="B1281">
        <v>5.877E-7</v>
      </c>
    </row>
    <row r="1282" spans="1:2" x14ac:dyDescent="0.25">
      <c r="A1282" s="40">
        <v>45706</v>
      </c>
      <c r="B1282">
        <v>7.7816999999999993E-7</v>
      </c>
    </row>
    <row r="1283" spans="1:2" x14ac:dyDescent="0.25">
      <c r="A1283" s="40">
        <v>45707</v>
      </c>
      <c r="B1283">
        <v>7.3196E-7</v>
      </c>
    </row>
    <row r="1284" spans="1:2" x14ac:dyDescent="0.25">
      <c r="A1284" s="40">
        <v>45708</v>
      </c>
      <c r="B1284">
        <v>6.3206999999999997E-7</v>
      </c>
    </row>
    <row r="1285" spans="1:2" x14ac:dyDescent="0.25">
      <c r="A1285" s="40">
        <v>45709</v>
      </c>
      <c r="B1285">
        <v>6.8983000000000003E-7</v>
      </c>
    </row>
    <row r="1286" spans="1:2" x14ac:dyDescent="0.25">
      <c r="A1286" s="40">
        <v>45712</v>
      </c>
      <c r="B1286">
        <v>7.6817999999999999E-7</v>
      </c>
    </row>
    <row r="1287" spans="1:2" x14ac:dyDescent="0.25">
      <c r="A1287" s="40">
        <v>45713</v>
      </c>
      <c r="B1287">
        <v>9.5999999999999991E-7</v>
      </c>
    </row>
    <row r="1288" spans="1:2" x14ac:dyDescent="0.25">
      <c r="A1288" s="40">
        <v>45714</v>
      </c>
      <c r="B1288">
        <v>1.2605800000000001E-6</v>
      </c>
    </row>
    <row r="1289" spans="1:2" x14ac:dyDescent="0.25">
      <c r="A1289" s="40">
        <v>45715</v>
      </c>
      <c r="B1289">
        <v>1.8214799999999999E-6</v>
      </c>
    </row>
    <row r="1290" spans="1:2" x14ac:dyDescent="0.25">
      <c r="A1290" s="40">
        <v>45716</v>
      </c>
      <c r="B1290">
        <v>2.3442200000000001E-6</v>
      </c>
    </row>
    <row r="1291" spans="1:2" x14ac:dyDescent="0.25">
      <c r="A1291" s="40">
        <v>45719</v>
      </c>
      <c r="B1291">
        <v>1.19987E-6</v>
      </c>
    </row>
    <row r="1292" spans="1:2" x14ac:dyDescent="0.25">
      <c r="A1292" s="40">
        <v>45720</v>
      </c>
      <c r="B1292">
        <v>1.35257E-6</v>
      </c>
    </row>
    <row r="1293" spans="1:2" x14ac:dyDescent="0.25">
      <c r="A1293" s="40">
        <v>45721</v>
      </c>
      <c r="B1293">
        <v>1.39493E-6</v>
      </c>
    </row>
    <row r="1294" spans="1:2" x14ac:dyDescent="0.25">
      <c r="A1294" s="40">
        <v>45722</v>
      </c>
      <c r="B1294">
        <v>1.2926900000000001E-6</v>
      </c>
    </row>
    <row r="1295" spans="1:2" x14ac:dyDescent="0.25">
      <c r="A1295" s="40">
        <v>45723</v>
      </c>
      <c r="B1295">
        <v>1.36305E-6</v>
      </c>
    </row>
    <row r="1296" spans="1:2" x14ac:dyDescent="0.25">
      <c r="A1296" s="40">
        <v>45726</v>
      </c>
      <c r="B1296">
        <v>1.29054E-6</v>
      </c>
    </row>
    <row r="1297" spans="1:2" x14ac:dyDescent="0.25">
      <c r="A1297" s="40">
        <v>45727</v>
      </c>
      <c r="B1297">
        <v>1.3731E-6</v>
      </c>
    </row>
    <row r="1298" spans="1:2" x14ac:dyDescent="0.25">
      <c r="A1298" s="40">
        <v>45728</v>
      </c>
      <c r="B1298">
        <v>1.3105500000000001E-6</v>
      </c>
    </row>
    <row r="1299" spans="1:2" x14ac:dyDescent="0.25">
      <c r="A1299" s="40">
        <v>45729</v>
      </c>
      <c r="B1299">
        <v>1.13435E-6</v>
      </c>
    </row>
    <row r="1300" spans="1:2" x14ac:dyDescent="0.25">
      <c r="A1300" s="40">
        <v>45730</v>
      </c>
      <c r="B1300">
        <v>1.26234E-6</v>
      </c>
    </row>
    <row r="1301" spans="1:2" x14ac:dyDescent="0.25">
      <c r="A1301" s="40">
        <v>45733</v>
      </c>
      <c r="B1301">
        <v>8.9495999999999996E-7</v>
      </c>
    </row>
    <row r="1302" spans="1:2" x14ac:dyDescent="0.25">
      <c r="A1302" s="40">
        <v>45734</v>
      </c>
      <c r="B1302">
        <v>1.4950299999999999E-6</v>
      </c>
    </row>
    <row r="1303" spans="1:2" x14ac:dyDescent="0.25">
      <c r="A1303" s="40">
        <v>45735</v>
      </c>
      <c r="B1303">
        <v>1.9337799999999999E-6</v>
      </c>
    </row>
    <row r="1304" spans="1:2" x14ac:dyDescent="0.25">
      <c r="A1304" s="40">
        <v>45736</v>
      </c>
      <c r="B1304">
        <v>1.9263999999999999E-6</v>
      </c>
    </row>
    <row r="1305" spans="1:2" x14ac:dyDescent="0.25">
      <c r="A1305" s="40">
        <v>45737</v>
      </c>
      <c r="B1305">
        <v>2.0084999999999999E-6</v>
      </c>
    </row>
    <row r="1306" spans="1:2" x14ac:dyDescent="0.25">
      <c r="A1306" s="40">
        <v>45740</v>
      </c>
      <c r="B1306">
        <v>1.96565E-6</v>
      </c>
    </row>
    <row r="1307" spans="1:2" x14ac:dyDescent="0.25">
      <c r="A1307" s="40">
        <v>45741</v>
      </c>
      <c r="B1307">
        <v>2.14786E-6</v>
      </c>
    </row>
    <row r="1308" spans="1:2" x14ac:dyDescent="0.25">
      <c r="A1308" s="40">
        <v>45742</v>
      </c>
      <c r="B1308">
        <v>2.4137100000000001E-6</v>
      </c>
    </row>
    <row r="1309" spans="1:2" x14ac:dyDescent="0.25">
      <c r="A1309" s="40">
        <v>45743</v>
      </c>
      <c r="B1309">
        <v>2.9178500000000004E-6</v>
      </c>
    </row>
    <row r="1310" spans="1:2" x14ac:dyDescent="0.25">
      <c r="A1310" s="40">
        <v>45744</v>
      </c>
      <c r="B1310">
        <v>2.86575E-6</v>
      </c>
    </row>
    <row r="1311" spans="1:2" x14ac:dyDescent="0.25">
      <c r="A1311" s="40">
        <v>45747</v>
      </c>
      <c r="B1311">
        <v>3.9916699999999998E-6</v>
      </c>
    </row>
    <row r="1312" spans="1:2" x14ac:dyDescent="0.25">
      <c r="A1312" s="40">
        <v>45748</v>
      </c>
      <c r="B1312">
        <v>2.30063E-6</v>
      </c>
    </row>
    <row r="1313" spans="1:2" x14ac:dyDescent="0.25">
      <c r="A1313" s="40">
        <v>45749</v>
      </c>
      <c r="B1313">
        <v>2.3348800000000002E-6</v>
      </c>
    </row>
    <row r="1314" spans="1:2" x14ac:dyDescent="0.25">
      <c r="A1314" s="40">
        <v>45750</v>
      </c>
      <c r="B1314">
        <v>1.9626499999999998E-6</v>
      </c>
    </row>
    <row r="1315" spans="1:2" x14ac:dyDescent="0.25">
      <c r="A1315" s="40">
        <v>45751</v>
      </c>
      <c r="B1315">
        <v>1.8449899999999998E-6</v>
      </c>
    </row>
    <row r="1316" spans="1:2" x14ac:dyDescent="0.25">
      <c r="A1316" s="40">
        <v>45754</v>
      </c>
      <c r="B1316">
        <v>1.4814599999999999E-6</v>
      </c>
    </row>
    <row r="1317" spans="1:2" x14ac:dyDescent="0.25">
      <c r="A1317" s="40">
        <v>45755</v>
      </c>
      <c r="B1317">
        <v>1.56911E-6</v>
      </c>
    </row>
    <row r="1318" spans="1:2" x14ac:dyDescent="0.25">
      <c r="A1318" s="40">
        <v>45756</v>
      </c>
      <c r="B1318">
        <v>1.68115E-6</v>
      </c>
    </row>
    <row r="1319" spans="1:2" x14ac:dyDescent="0.25">
      <c r="A1319" s="40">
        <v>45757</v>
      </c>
      <c r="B1319">
        <v>1.2994999999999998E-6</v>
      </c>
    </row>
    <row r="1320" spans="1:2" x14ac:dyDescent="0.25">
      <c r="A1320" s="40">
        <v>45758</v>
      </c>
      <c r="B1320">
        <v>9.8530999999999997E-7</v>
      </c>
    </row>
    <row r="1321" spans="1:2" x14ac:dyDescent="0.25">
      <c r="A1321" s="40">
        <v>45761</v>
      </c>
      <c r="B1321">
        <v>1.0283799999999998E-6</v>
      </c>
    </row>
    <row r="1322" spans="1:2" x14ac:dyDescent="0.25">
      <c r="A1322" s="40">
        <v>45762</v>
      </c>
      <c r="B1322">
        <v>8.8878000000000005E-7</v>
      </c>
    </row>
    <row r="1323" spans="1:2" x14ac:dyDescent="0.25">
      <c r="A1323" s="40">
        <v>45763</v>
      </c>
      <c r="B1323">
        <v>5.4771999999999998E-7</v>
      </c>
    </row>
    <row r="1324" spans="1:2" x14ac:dyDescent="0.25">
      <c r="A1324" s="40">
        <v>45764</v>
      </c>
      <c r="B1324">
        <v>5.8599999999999998E-7</v>
      </c>
    </row>
    <row r="1325" spans="1:2" x14ac:dyDescent="0.25">
      <c r="A1325" s="40">
        <v>45768</v>
      </c>
      <c r="B1325">
        <v>1.14114E-6</v>
      </c>
    </row>
    <row r="1326" spans="1:2" x14ac:dyDescent="0.25">
      <c r="A1326" s="40">
        <v>45769</v>
      </c>
      <c r="B1326">
        <v>1.3795099999999999E-6</v>
      </c>
    </row>
    <row r="1327" spans="1:2" x14ac:dyDescent="0.25">
      <c r="A1327" s="40">
        <v>45770</v>
      </c>
      <c r="B1327">
        <v>1.7178000000000001E-6</v>
      </c>
    </row>
    <row r="1328" spans="1:2" x14ac:dyDescent="0.25">
      <c r="A1328" s="40">
        <v>45771</v>
      </c>
      <c r="B1328">
        <v>1.3000399999999999E-6</v>
      </c>
    </row>
    <row r="1329" spans="1:2" x14ac:dyDescent="0.25">
      <c r="A1329" s="40">
        <v>45772</v>
      </c>
      <c r="B1329">
        <v>9.4020999999999997E-7</v>
      </c>
    </row>
    <row r="1330" spans="1:2" x14ac:dyDescent="0.25">
      <c r="A1330" s="40">
        <v>45775</v>
      </c>
      <c r="B1330">
        <v>1.48649E-6</v>
      </c>
    </row>
    <row r="1331" spans="1:2" x14ac:dyDescent="0.25">
      <c r="A1331" s="40">
        <v>45776</v>
      </c>
      <c r="B1331">
        <v>1.57537E-6</v>
      </c>
    </row>
    <row r="1332" spans="1:2" x14ac:dyDescent="0.25">
      <c r="A1332" s="40">
        <v>45777</v>
      </c>
      <c r="B1332">
        <v>2.5060100000000001E-6</v>
      </c>
    </row>
    <row r="1333" spans="1:2" x14ac:dyDescent="0.25">
      <c r="A1333" s="40">
        <v>45778</v>
      </c>
      <c r="B1333">
        <v>1.57353E-6</v>
      </c>
    </row>
    <row r="1334" spans="1:2" x14ac:dyDescent="0.25">
      <c r="A1334" s="40">
        <v>45779</v>
      </c>
      <c r="B1334">
        <v>1.4788200000000001E-6</v>
      </c>
    </row>
    <row r="1335" spans="1:2" x14ac:dyDescent="0.25">
      <c r="A1335" s="40">
        <v>45782</v>
      </c>
      <c r="B1335">
        <v>1.2469000000000001E-6</v>
      </c>
    </row>
    <row r="1336" spans="1:2" x14ac:dyDescent="0.25">
      <c r="A1336" s="40">
        <v>45783</v>
      </c>
      <c r="B1336">
        <v>1.29858E-6</v>
      </c>
    </row>
    <row r="1337" spans="1:2" x14ac:dyDescent="0.25">
      <c r="A1337" s="40">
        <v>45784</v>
      </c>
      <c r="B1337">
        <v>1.54859E-6</v>
      </c>
    </row>
    <row r="1338" spans="1:2" x14ac:dyDescent="0.25">
      <c r="A1338" s="40">
        <v>45785</v>
      </c>
      <c r="B1338">
        <v>1.3976800000000001E-6</v>
      </c>
    </row>
    <row r="1339" spans="1:2" x14ac:dyDescent="0.25">
      <c r="A1339" s="40">
        <v>45786</v>
      </c>
      <c r="B1339">
        <v>1.4227199999999999E-6</v>
      </c>
    </row>
    <row r="1340" spans="1:2" x14ac:dyDescent="0.25">
      <c r="A1340" s="40">
        <v>45789</v>
      </c>
      <c r="B1340">
        <v>1.47505E-6</v>
      </c>
    </row>
    <row r="1341" spans="1:2" x14ac:dyDescent="0.25">
      <c r="A1341" s="40">
        <v>45790</v>
      </c>
      <c r="B1341">
        <v>1.44214E-6</v>
      </c>
    </row>
    <row r="1342" spans="1:2" x14ac:dyDescent="0.25">
      <c r="A1342" s="40">
        <v>45791</v>
      </c>
      <c r="B1342">
        <v>1.6502399999999999E-6</v>
      </c>
    </row>
    <row r="1343" spans="1:2" x14ac:dyDescent="0.25">
      <c r="A1343" s="40">
        <v>45792</v>
      </c>
      <c r="B1343">
        <v>1.09436E-6</v>
      </c>
    </row>
    <row r="1344" spans="1:2" x14ac:dyDescent="0.25">
      <c r="A1344" s="40">
        <v>45793</v>
      </c>
      <c r="B1344">
        <v>1.36799E-6</v>
      </c>
    </row>
    <row r="1345" spans="1:2" x14ac:dyDescent="0.25">
      <c r="A1345" s="40">
        <v>45796</v>
      </c>
      <c r="B1345">
        <v>1.80417E-6</v>
      </c>
    </row>
    <row r="1346" spans="1:2" x14ac:dyDescent="0.25">
      <c r="A1346" s="40">
        <v>45797</v>
      </c>
      <c r="B1346">
        <v>1.3603299999999999E-6</v>
      </c>
    </row>
    <row r="1347" spans="1:2" x14ac:dyDescent="0.25">
      <c r="A1347" s="40">
        <v>45798</v>
      </c>
      <c r="B1347">
        <v>1.6280199999999998E-6</v>
      </c>
    </row>
    <row r="1348" spans="1:2" x14ac:dyDescent="0.25">
      <c r="A1348" s="40">
        <v>45799</v>
      </c>
      <c r="B1348">
        <v>1.7301800000000001E-6</v>
      </c>
    </row>
    <row r="1349" spans="1:2" x14ac:dyDescent="0.25">
      <c r="A1349" s="40">
        <v>45800</v>
      </c>
      <c r="B1349">
        <v>1.5484100000000001E-6</v>
      </c>
    </row>
    <row r="1350" spans="1:2" x14ac:dyDescent="0.25">
      <c r="A1350" s="40">
        <v>45804</v>
      </c>
      <c r="B1350">
        <v>1.3806599999999999E-6</v>
      </c>
    </row>
    <row r="1351" spans="1:2" x14ac:dyDescent="0.25">
      <c r="A1351" s="40">
        <v>45805</v>
      </c>
      <c r="B1351">
        <v>1.7364099999999999E-6</v>
      </c>
    </row>
    <row r="1352" spans="1:2" x14ac:dyDescent="0.25">
      <c r="A1352" s="40">
        <v>45806</v>
      </c>
      <c r="B1352">
        <v>1.6565999999999999E-6</v>
      </c>
    </row>
    <row r="1353" spans="1:2" x14ac:dyDescent="0.25">
      <c r="A1353" s="40">
        <v>45807</v>
      </c>
      <c r="B1353">
        <v>3.15657E-6</v>
      </c>
    </row>
    <row r="1354" spans="1:2" x14ac:dyDescent="0.25">
      <c r="A1354" s="40">
        <v>45810</v>
      </c>
      <c r="B1354">
        <v>1.3584100000000001E-6</v>
      </c>
    </row>
    <row r="1355" spans="1:2" x14ac:dyDescent="0.25">
      <c r="A1355" s="40">
        <v>45811</v>
      </c>
      <c r="B1355">
        <v>1.5317699999999999E-6</v>
      </c>
    </row>
    <row r="1356" spans="1:2" x14ac:dyDescent="0.25">
      <c r="A1356" s="40">
        <v>45812</v>
      </c>
      <c r="B1356">
        <v>1.68882E-6</v>
      </c>
    </row>
    <row r="1357" spans="1:2" x14ac:dyDescent="0.25">
      <c r="A1357" s="40">
        <v>45813</v>
      </c>
      <c r="B1357">
        <v>1.52727E-6</v>
      </c>
    </row>
    <row r="1358" spans="1:2" x14ac:dyDescent="0.25">
      <c r="A1358" s="40">
        <v>45814</v>
      </c>
      <c r="B1358">
        <v>1.49284E-6</v>
      </c>
    </row>
    <row r="1359" spans="1:2" x14ac:dyDescent="0.25">
      <c r="A1359" s="40">
        <v>45817</v>
      </c>
      <c r="B1359">
        <v>1.7931499999999999E-6</v>
      </c>
    </row>
    <row r="1360" spans="1:2" x14ac:dyDescent="0.25">
      <c r="A1360" s="40">
        <v>45818</v>
      </c>
      <c r="B1360">
        <v>1.82725E-6</v>
      </c>
    </row>
    <row r="1361" spans="1:2" x14ac:dyDescent="0.25">
      <c r="A1361" s="40">
        <v>45819</v>
      </c>
      <c r="B1361">
        <v>2.0462500000000001E-6</v>
      </c>
    </row>
    <row r="1362" spans="1:2" x14ac:dyDescent="0.25">
      <c r="A1362" s="40">
        <v>45820</v>
      </c>
      <c r="B1362">
        <v>1.8141699999999999E-6</v>
      </c>
    </row>
    <row r="1363" spans="1:2" x14ac:dyDescent="0.25">
      <c r="A1363" s="40">
        <v>45821</v>
      </c>
      <c r="B1363">
        <v>1.6864500000000002E-6</v>
      </c>
    </row>
    <row r="1364" spans="1:2" x14ac:dyDescent="0.25">
      <c r="A1364" s="40">
        <v>45824</v>
      </c>
      <c r="B1364">
        <v>1.4075899999999998E-6</v>
      </c>
    </row>
    <row r="1365" spans="1:2" x14ac:dyDescent="0.25">
      <c r="A1365" s="40">
        <v>45825</v>
      </c>
      <c r="B1365">
        <v>1.68939E-6</v>
      </c>
    </row>
    <row r="1366" spans="1:2" x14ac:dyDescent="0.25">
      <c r="A1366" s="40">
        <v>45826</v>
      </c>
      <c r="B1366">
        <v>2.0505000000000001E-6</v>
      </c>
    </row>
    <row r="1367" spans="1:2" x14ac:dyDescent="0.25">
      <c r="A1367" s="40">
        <v>45828</v>
      </c>
      <c r="B1367">
        <v>1.3828299999999999E-6</v>
      </c>
    </row>
    <row r="1368" spans="1:2" x14ac:dyDescent="0.25">
      <c r="A1368" s="40">
        <v>45831</v>
      </c>
      <c r="B1368">
        <v>1.6531899999999998E-6</v>
      </c>
    </row>
    <row r="1369" spans="1:2" x14ac:dyDescent="0.25">
      <c r="A1369" s="40">
        <v>45832</v>
      </c>
      <c r="B1369">
        <v>1.87367E-6</v>
      </c>
    </row>
    <row r="1370" spans="1:2" x14ac:dyDescent="0.25">
      <c r="A1370" s="40">
        <v>45833</v>
      </c>
      <c r="B1370">
        <v>2.1087899999999998E-6</v>
      </c>
    </row>
    <row r="1371" spans="1:2" x14ac:dyDescent="0.25">
      <c r="A1371" s="40">
        <v>45834</v>
      </c>
      <c r="B1371">
        <v>2.5243199999999998E-6</v>
      </c>
    </row>
    <row r="1372" spans="1:2" x14ac:dyDescent="0.25">
      <c r="A1372" s="40">
        <v>45835</v>
      </c>
      <c r="B1372">
        <v>2.8574200000000001E-6</v>
      </c>
    </row>
    <row r="1373" spans="1:2" x14ac:dyDescent="0.25">
      <c r="A1373" s="40">
        <v>45838</v>
      </c>
      <c r="B1373">
        <v>4.6073099999999998E-6</v>
      </c>
    </row>
    <row r="1374" spans="1:2" x14ac:dyDescent="0.25">
      <c r="A1374" s="40">
        <v>45839</v>
      </c>
      <c r="B1374">
        <v>2.4553E-6</v>
      </c>
    </row>
    <row r="1375" spans="1:2" x14ac:dyDescent="0.25">
      <c r="A1375" s="40">
        <v>45840</v>
      </c>
      <c r="B1375">
        <v>2.3730699999999998E-6</v>
      </c>
    </row>
    <row r="1376" spans="1:2" x14ac:dyDescent="0.25">
      <c r="A1376" s="40">
        <v>45841</v>
      </c>
      <c r="B1376">
        <v>2.14665E-6</v>
      </c>
    </row>
    <row r="1377" spans="1:2" x14ac:dyDescent="0.25">
      <c r="A1377" s="40">
        <v>45845</v>
      </c>
      <c r="B1377">
        <v>2.1803000000000001E-6</v>
      </c>
    </row>
    <row r="1378" spans="1:2" x14ac:dyDescent="0.25">
      <c r="A1378" s="40">
        <v>45846</v>
      </c>
      <c r="B1378">
        <v>2.19415E-6</v>
      </c>
    </row>
    <row r="1379" spans="1:2" x14ac:dyDescent="0.25">
      <c r="A1379" s="40">
        <v>45847</v>
      </c>
      <c r="B1379">
        <v>2.2727299999999998E-6</v>
      </c>
    </row>
    <row r="1380" spans="1:2" x14ac:dyDescent="0.25">
      <c r="A1380" s="40">
        <v>45848</v>
      </c>
      <c r="B1380">
        <v>1.83339E-6</v>
      </c>
    </row>
    <row r="1381" spans="1:2" x14ac:dyDescent="0.25">
      <c r="A1381" s="40">
        <v>45849</v>
      </c>
      <c r="B1381">
        <v>1.8163699999999999E-6</v>
      </c>
    </row>
    <row r="1382" spans="1:2" x14ac:dyDescent="0.25">
      <c r="A1382" s="40">
        <v>45852</v>
      </c>
      <c r="B1382">
        <v>2.17841E-6</v>
      </c>
    </row>
    <row r="1383" spans="1:2" x14ac:dyDescent="0.25">
      <c r="A1383" s="40">
        <v>45853</v>
      </c>
      <c r="B1383">
        <v>1.9827699999999999E-6</v>
      </c>
    </row>
    <row r="1384" spans="1:2" x14ac:dyDescent="0.25">
      <c r="A1384" s="40">
        <v>45854</v>
      </c>
      <c r="B1384">
        <v>1.9708600000000002E-6</v>
      </c>
    </row>
    <row r="1385" spans="1:2" x14ac:dyDescent="0.25">
      <c r="A1385" s="40">
        <v>45855</v>
      </c>
      <c r="B1385">
        <v>1.9365999999999998E-6</v>
      </c>
    </row>
    <row r="1386" spans="1:2" x14ac:dyDescent="0.25">
      <c r="A1386" s="40">
        <v>45856</v>
      </c>
      <c r="B1386">
        <v>1.9929800000000001E-6</v>
      </c>
    </row>
    <row r="1387" spans="1:2" x14ac:dyDescent="0.25">
      <c r="A1387" s="40">
        <v>45859</v>
      </c>
      <c r="B1387">
        <v>2.13666E-6</v>
      </c>
    </row>
    <row r="1388" spans="1:2" x14ac:dyDescent="0.25">
      <c r="A1388" s="40">
        <v>45860</v>
      </c>
      <c r="B1388">
        <v>1.9637399999999998E-6</v>
      </c>
    </row>
    <row r="1389" spans="1:2" x14ac:dyDescent="0.25">
      <c r="A1389" s="40">
        <v>45861</v>
      </c>
      <c r="B1389">
        <v>1.8963200000000001E-6</v>
      </c>
    </row>
    <row r="1390" spans="1:2" x14ac:dyDescent="0.25">
      <c r="A1390" s="40">
        <v>45862</v>
      </c>
      <c r="B1390">
        <v>1.3218600000000002E-6</v>
      </c>
    </row>
    <row r="1391" spans="1:2" x14ac:dyDescent="0.25">
      <c r="A1391" s="40">
        <v>45863</v>
      </c>
      <c r="B1391">
        <v>1.5050899999999999E-6</v>
      </c>
    </row>
    <row r="1392" spans="1:2" x14ac:dyDescent="0.25">
      <c r="A1392" s="40">
        <v>45866</v>
      </c>
      <c r="B1392">
        <v>1.7046299999999999E-6</v>
      </c>
    </row>
    <row r="1393" spans="1:2" x14ac:dyDescent="0.25">
      <c r="A1393" s="40">
        <v>45867</v>
      </c>
      <c r="B1393">
        <v>1.71018E-6</v>
      </c>
    </row>
    <row r="1394" spans="1:2" x14ac:dyDescent="0.25">
      <c r="A1394" s="40">
        <v>45868</v>
      </c>
      <c r="B1394">
        <v>1.55481E-6</v>
      </c>
    </row>
    <row r="1395" spans="1:2" x14ac:dyDescent="0.25">
      <c r="A1395" s="40">
        <v>45869</v>
      </c>
      <c r="B1395">
        <v>2.1444499999999999E-6</v>
      </c>
    </row>
    <row r="1396" spans="1:2" x14ac:dyDescent="0.25">
      <c r="A1396" s="40">
        <v>45870</v>
      </c>
      <c r="B1396">
        <v>9.742600000000001E-7</v>
      </c>
    </row>
    <row r="1397" spans="1:2" x14ac:dyDescent="0.25">
      <c r="A1397" s="40">
        <v>45873</v>
      </c>
      <c r="B1397">
        <v>1.2573E-6</v>
      </c>
    </row>
    <row r="1398" spans="1:2" x14ac:dyDescent="0.25">
      <c r="A1398" s="40">
        <v>45874</v>
      </c>
      <c r="B1398">
        <v>8.4355999999999991E-7</v>
      </c>
    </row>
    <row r="1399" spans="1:2" x14ac:dyDescent="0.25">
      <c r="A1399" s="40">
        <v>45875</v>
      </c>
      <c r="B1399">
        <v>9.1965999999999991E-7</v>
      </c>
    </row>
    <row r="1400" spans="1:2" x14ac:dyDescent="0.25">
      <c r="A1400" s="40">
        <v>45876</v>
      </c>
      <c r="B1400">
        <v>7.7960999999999998E-7</v>
      </c>
    </row>
    <row r="1401" spans="1:2" x14ac:dyDescent="0.25">
      <c r="A1401" s="40">
        <v>45877</v>
      </c>
      <c r="B1401">
        <v>8.0302999999999996E-7</v>
      </c>
    </row>
    <row r="1402" spans="1:2" x14ac:dyDescent="0.25">
      <c r="A1402" s="40">
        <v>45880</v>
      </c>
      <c r="B1402">
        <v>8.2213999999999998E-7</v>
      </c>
    </row>
    <row r="1403" spans="1:2" x14ac:dyDescent="0.25">
      <c r="A1403" s="40">
        <v>45881</v>
      </c>
      <c r="B1403">
        <v>5.7492000000000002E-7</v>
      </c>
    </row>
    <row r="1404" spans="1:2" x14ac:dyDescent="0.25">
      <c r="A1404" s="40">
        <v>45882</v>
      </c>
      <c r="B1404">
        <v>5.7202000000000001E-7</v>
      </c>
    </row>
    <row r="1405" spans="1:2" x14ac:dyDescent="0.25">
      <c r="A1405" s="40">
        <v>45883</v>
      </c>
      <c r="B1405">
        <v>2.8818000000000003E-7</v>
      </c>
    </row>
    <row r="1406" spans="1:2" x14ac:dyDescent="0.25">
      <c r="A1406" s="40">
        <v>45884</v>
      </c>
      <c r="B1406">
        <v>3.3756999999999997E-7</v>
      </c>
    </row>
    <row r="1407" spans="1:2" x14ac:dyDescent="0.25">
      <c r="A1407" s="40">
        <v>45887</v>
      </c>
      <c r="B1407">
        <v>3.8240000000000004E-7</v>
      </c>
    </row>
    <row r="1408" spans="1:2" x14ac:dyDescent="0.25">
      <c r="A1408" s="40">
        <v>45888</v>
      </c>
      <c r="B1408">
        <v>2.2344000000000002E-7</v>
      </c>
    </row>
    <row r="1409" spans="1:2" x14ac:dyDescent="0.25">
      <c r="A1409" s="40">
        <v>45889</v>
      </c>
      <c r="B1409">
        <v>3.4999000000000003E-7</v>
      </c>
    </row>
    <row r="1410" spans="1:2" x14ac:dyDescent="0.25">
      <c r="A1410" s="40">
        <v>45890</v>
      </c>
      <c r="B1410">
        <v>2.5358000000000002E-7</v>
      </c>
    </row>
    <row r="1411" spans="1:2" x14ac:dyDescent="0.25">
      <c r="A1411" s="40">
        <v>45891</v>
      </c>
      <c r="B1411">
        <v>3.6274999999999999E-7</v>
      </c>
    </row>
    <row r="1412" spans="1:2" x14ac:dyDescent="0.25">
      <c r="A1412" s="40">
        <v>45894</v>
      </c>
      <c r="B1412">
        <v>4.7567000000000002E-7</v>
      </c>
    </row>
    <row r="1413" spans="1:2" x14ac:dyDescent="0.25">
      <c r="A1413" s="40">
        <v>45895</v>
      </c>
      <c r="B1413">
        <v>2.8574000000000002E-7</v>
      </c>
    </row>
    <row r="1414" spans="1:2" x14ac:dyDescent="0.25">
      <c r="A1414" s="40">
        <v>45896</v>
      </c>
      <c r="B1414">
        <v>3.4743999999999999E-7</v>
      </c>
    </row>
    <row r="1415" spans="1:2" x14ac:dyDescent="0.25">
      <c r="A1415" s="40">
        <v>45897</v>
      </c>
      <c r="B1415">
        <v>3.1965999999999999E-7</v>
      </c>
    </row>
    <row r="1416" spans="1:2" x14ac:dyDescent="0.25">
      <c r="A1416" s="40">
        <v>45898</v>
      </c>
      <c r="B1416">
        <v>7.7897999999999995E-7</v>
      </c>
    </row>
    <row r="1417" spans="1:2" x14ac:dyDescent="0.25">
      <c r="A1417" s="40">
        <v>45902</v>
      </c>
      <c r="B1417">
        <v>2.1065999999999998E-7</v>
      </c>
    </row>
    <row r="1418" spans="1:2" x14ac:dyDescent="0.25">
      <c r="A1418" s="40">
        <v>45903</v>
      </c>
      <c r="B1418">
        <v>1.7922999999999997E-7</v>
      </c>
    </row>
    <row r="1419" spans="1:2" x14ac:dyDescent="0.25">
      <c r="A1419" s="40">
        <v>45904</v>
      </c>
      <c r="B1419">
        <v>2.0128000000000001E-7</v>
      </c>
    </row>
    <row r="1420" spans="1:2" x14ac:dyDescent="0.25">
      <c r="A1420" s="40">
        <v>45905</v>
      </c>
      <c r="B1420">
        <v>2.0996999999999999E-7</v>
      </c>
    </row>
    <row r="1421" spans="1:2" x14ac:dyDescent="0.25">
      <c r="A1421" s="40">
        <v>45908</v>
      </c>
      <c r="B1421">
        <v>1.9416000000000001E-7</v>
      </c>
    </row>
    <row r="1422" spans="1:2" x14ac:dyDescent="0.25">
      <c r="A1422" s="40">
        <v>45909</v>
      </c>
      <c r="B1422">
        <v>2.2914999999999998E-7</v>
      </c>
    </row>
    <row r="1423" spans="1:2" x14ac:dyDescent="0.25">
      <c r="A1423" s="40">
        <v>45910</v>
      </c>
      <c r="B1423">
        <v>2.9400000000000001E-7</v>
      </c>
    </row>
    <row r="1424" spans="1:2" x14ac:dyDescent="0.25">
      <c r="A1424" s="40">
        <v>45911</v>
      </c>
      <c r="B1424">
        <v>2.6897000000000001E-7</v>
      </c>
    </row>
    <row r="1425" spans="1:2" x14ac:dyDescent="0.25">
      <c r="A1425" s="40">
        <v>45912</v>
      </c>
      <c r="B1425">
        <v>1.7331000000000001E-7</v>
      </c>
    </row>
    <row r="1426" spans="1:2" x14ac:dyDescent="0.25">
      <c r="A1426" s="40">
        <v>45915</v>
      </c>
      <c r="B1426">
        <v>1.6953999999999999E-7</v>
      </c>
    </row>
    <row r="1427" spans="1:2" x14ac:dyDescent="0.25">
      <c r="A1427" s="40">
        <v>45916</v>
      </c>
      <c r="B1427">
        <v>1.8817E-7</v>
      </c>
    </row>
    <row r="1428" spans="1:2" x14ac:dyDescent="0.25">
      <c r="A1428" s="40">
        <v>45917</v>
      </c>
      <c r="B1428">
        <v>1.3962999999999999E-7</v>
      </c>
    </row>
    <row r="1429" spans="1:2" x14ac:dyDescent="0.25">
      <c r="A1429" s="40">
        <v>45918</v>
      </c>
      <c r="B1429">
        <v>1.3707E-7</v>
      </c>
    </row>
    <row r="1430" spans="1:2" x14ac:dyDescent="0.25">
      <c r="A1430" s="40">
        <v>45919</v>
      </c>
      <c r="B1430">
        <v>1.1362999999999999E-7</v>
      </c>
    </row>
    <row r="1431" spans="1:2" x14ac:dyDescent="0.25">
      <c r="A1431" s="40">
        <v>45922</v>
      </c>
      <c r="B1431">
        <v>1.4173000000000001E-7</v>
      </c>
    </row>
    <row r="1432" spans="1:2" x14ac:dyDescent="0.25">
      <c r="A1432" s="40">
        <v>45923</v>
      </c>
      <c r="B1432">
        <v>1.4401999999999999E-7</v>
      </c>
    </row>
    <row r="1433" spans="1:2" x14ac:dyDescent="0.25">
      <c r="A1433" s="40">
        <v>45924</v>
      </c>
      <c r="B1433">
        <v>2.9172000000000002E-7</v>
      </c>
    </row>
    <row r="1434" spans="1:2" x14ac:dyDescent="0.25">
      <c r="A1434" s="40">
        <v>45925</v>
      </c>
      <c r="B1434">
        <v>2.5368999999999999E-7</v>
      </c>
    </row>
    <row r="1435" spans="1:2" x14ac:dyDescent="0.25">
      <c r="A1435" s="40">
        <v>45926</v>
      </c>
      <c r="B1435">
        <v>4.8072999999999999E-7</v>
      </c>
    </row>
    <row r="1436" spans="1:2" x14ac:dyDescent="0.25">
      <c r="A1436" s="40">
        <v>45929</v>
      </c>
      <c r="B1436">
        <v>5.6219999999999999E-7</v>
      </c>
    </row>
    <row r="1437" spans="1:2" x14ac:dyDescent="0.25">
      <c r="A1437" s="40">
        <v>45930</v>
      </c>
      <c r="B1437">
        <v>4.9070999999999998E-7</v>
      </c>
    </row>
    <row r="1438" spans="1:2" x14ac:dyDescent="0.25">
      <c r="A1438" s="40">
        <v>45931</v>
      </c>
      <c r="B1438">
        <v>1.0179E-7</v>
      </c>
    </row>
    <row r="1439" spans="1:2" x14ac:dyDescent="0.25">
      <c r="A1439" s="40">
        <v>45932</v>
      </c>
      <c r="B1439">
        <v>8.4359999999999996E-8</v>
      </c>
    </row>
    <row r="1440" spans="1:2" x14ac:dyDescent="0.25">
      <c r="A1440" s="40">
        <v>45933</v>
      </c>
      <c r="B1440">
        <v>2.5391999999999999E-7</v>
      </c>
    </row>
    <row r="1441" spans="1:2" x14ac:dyDescent="0.25">
      <c r="A1441" s="40">
        <v>45936</v>
      </c>
      <c r="B1441">
        <v>2.1775999999999999E-7</v>
      </c>
    </row>
    <row r="1442" spans="1:2" x14ac:dyDescent="0.25">
      <c r="A1442" s="40">
        <v>45937</v>
      </c>
      <c r="B1442">
        <v>4.622E-8</v>
      </c>
    </row>
    <row r="1443" spans="1:2" x14ac:dyDescent="0.25">
      <c r="A1443" s="40">
        <v>45938</v>
      </c>
      <c r="B1443">
        <v>5.2309999999999997E-8</v>
      </c>
    </row>
    <row r="1444" spans="1:2" x14ac:dyDescent="0.25">
      <c r="A1444" s="40">
        <v>45939</v>
      </c>
      <c r="B1444">
        <v>4.4960000000000007E-8</v>
      </c>
    </row>
    <row r="1445" spans="1:2" x14ac:dyDescent="0.25">
      <c r="A1445" s="40">
        <v>45940</v>
      </c>
      <c r="B1445">
        <v>4.1239999999999997E-8</v>
      </c>
    </row>
    <row r="1446" spans="1:2" x14ac:dyDescent="0.25">
      <c r="A1446" s="40">
        <v>45944</v>
      </c>
      <c r="B1446">
        <v>3.5159999999999999E-8</v>
      </c>
    </row>
    <row r="1447" spans="1:2" x14ac:dyDescent="0.25">
      <c r="A1447" s="40">
        <v>45945</v>
      </c>
      <c r="B1447">
        <v>5.484E-8</v>
      </c>
    </row>
    <row r="1448" spans="1:2" x14ac:dyDescent="0.25">
      <c r="A1448" s="40">
        <v>45946</v>
      </c>
      <c r="B1448">
        <v>6.9600000000000001E-8</v>
      </c>
    </row>
    <row r="1449" spans="1:2" x14ac:dyDescent="0.25">
      <c r="A1449" s="40">
        <v>45947</v>
      </c>
      <c r="B1449">
        <v>4.1020000000000006E-8</v>
      </c>
    </row>
    <row r="1450" spans="1:2" x14ac:dyDescent="0.25">
      <c r="A1450" s="40">
        <v>45950</v>
      </c>
      <c r="B1450">
        <v>5.931E-8</v>
      </c>
    </row>
    <row r="1451" spans="1:2" x14ac:dyDescent="0.25">
      <c r="A1451" s="40">
        <v>45951</v>
      </c>
      <c r="B1451">
        <v>4.6989999999999999E-8</v>
      </c>
    </row>
    <row r="1452" spans="1:2" x14ac:dyDescent="0.25">
      <c r="A1452" s="40">
        <v>45952</v>
      </c>
      <c r="B1452">
        <v>4.0049999999999998E-8</v>
      </c>
    </row>
    <row r="1453" spans="1:2" x14ac:dyDescent="0.25">
      <c r="A1453" s="40">
        <v>45953</v>
      </c>
      <c r="B1453">
        <v>6.9409999999999998E-8</v>
      </c>
    </row>
    <row r="1454" spans="1:2" x14ac:dyDescent="0.25">
      <c r="A1454" s="40">
        <v>45954</v>
      </c>
      <c r="B1454">
        <v>2.435E-8</v>
      </c>
    </row>
    <row r="1455" spans="1:2" x14ac:dyDescent="0.25">
      <c r="A1455" s="40">
        <v>45957</v>
      </c>
      <c r="B1455">
        <v>1.0642E-7</v>
      </c>
    </row>
    <row r="1456" spans="1:2" x14ac:dyDescent="0.25">
      <c r="A1456" s="40">
        <v>45958</v>
      </c>
      <c r="B1456">
        <v>1.4096000000000001E-7</v>
      </c>
    </row>
    <row r="1457" spans="1:2" x14ac:dyDescent="0.25">
      <c r="A1457" s="40">
        <v>45959</v>
      </c>
      <c r="B1457">
        <v>1.9504E-7</v>
      </c>
    </row>
    <row r="1458" spans="1:2" x14ac:dyDescent="0.25">
      <c r="A1458" s="40">
        <v>45960</v>
      </c>
      <c r="B1458">
        <v>1.9166000000000001E-7</v>
      </c>
    </row>
    <row r="1459" spans="1:2" x14ac:dyDescent="0.25">
      <c r="A1459" s="40">
        <v>45961</v>
      </c>
      <c r="B1459">
        <v>5.1801999999999998E-7</v>
      </c>
    </row>
    <row r="1460" spans="1:2" x14ac:dyDescent="0.25">
      <c r="A1460" s="40">
        <v>45964</v>
      </c>
      <c r="B1460">
        <v>2.3792000000000003E-7</v>
      </c>
    </row>
    <row r="1461" spans="1:2" x14ac:dyDescent="0.25">
      <c r="A1461" s="40">
        <v>45965</v>
      </c>
      <c r="B1461">
        <v>1.6983000000000001E-7</v>
      </c>
    </row>
    <row r="1462" spans="1:2" x14ac:dyDescent="0.25">
      <c r="A1462" s="40">
        <v>45966</v>
      </c>
      <c r="B1462">
        <v>1.2814000000000001E-7</v>
      </c>
    </row>
    <row r="1463" spans="1:2" x14ac:dyDescent="0.25">
      <c r="A1463" s="40">
        <v>45967</v>
      </c>
      <c r="B1463">
        <v>1.0754E-7</v>
      </c>
    </row>
    <row r="1464" spans="1:2" x14ac:dyDescent="0.25">
      <c r="A1464" s="40">
        <v>45968</v>
      </c>
      <c r="B1464">
        <v>4.9029999999999996E-8</v>
      </c>
    </row>
    <row r="1465" spans="1:2" x14ac:dyDescent="0.25">
      <c r="A1465" s="40">
        <v>45971</v>
      </c>
      <c r="B1465">
        <v>7.1520000000000008E-8</v>
      </c>
    </row>
    <row r="1466" spans="1:2" x14ac:dyDescent="0.25">
      <c r="A1466" s="40">
        <v>45973</v>
      </c>
      <c r="B1466">
        <v>5.8859999999999999E-8</v>
      </c>
    </row>
    <row r="1467" spans="1:2" x14ac:dyDescent="0.25">
      <c r="A1467" s="40">
        <v>45974</v>
      </c>
      <c r="B1467">
        <v>3.7610000000000004E-8</v>
      </c>
    </row>
    <row r="1468" spans="1:2" x14ac:dyDescent="0.25">
      <c r="A1468" s="40">
        <v>45975</v>
      </c>
      <c r="B1468">
        <v>1.5589999999999999E-8</v>
      </c>
    </row>
    <row r="1469" spans="1:2" x14ac:dyDescent="0.25">
      <c r="A1469" s="40">
        <v>45978</v>
      </c>
      <c r="B1469">
        <v>3.1720000000000002E-8</v>
      </c>
    </row>
    <row r="1470" spans="1:2" x14ac:dyDescent="0.25">
      <c r="A1470" s="40">
        <v>45979</v>
      </c>
      <c r="B1470">
        <v>9.05E-9</v>
      </c>
    </row>
    <row r="1471" spans="1:2" x14ac:dyDescent="0.25">
      <c r="A1471" s="40">
        <v>45980</v>
      </c>
      <c r="B1471">
        <v>1.1290000000000001E-8</v>
      </c>
    </row>
    <row r="1472" spans="1:2" x14ac:dyDescent="0.25">
      <c r="A1472" s="40">
        <v>45981</v>
      </c>
      <c r="B1472">
        <v>6.5200000000000001E-8</v>
      </c>
    </row>
    <row r="1473" spans="1:2" x14ac:dyDescent="0.25">
      <c r="A1473" s="40">
        <v>45982</v>
      </c>
      <c r="B1473">
        <v>2.503E-8</v>
      </c>
    </row>
    <row r="1474" spans="1:2" x14ac:dyDescent="0.25">
      <c r="A1474" s="40">
        <v>45985</v>
      </c>
      <c r="B1474">
        <v>1.077E-8</v>
      </c>
    </row>
    <row r="1475" spans="1:2" x14ac:dyDescent="0.25">
      <c r="A1475" s="40">
        <v>45986</v>
      </c>
      <c r="B1475">
        <v>2.3140000000000001E-8</v>
      </c>
    </row>
    <row r="1476" spans="1:2" x14ac:dyDescent="0.25">
      <c r="A1476" s="40">
        <v>45987</v>
      </c>
      <c r="B1476">
        <v>2.2169999999999999E-8</v>
      </c>
    </row>
    <row r="1477" spans="1:2" x14ac:dyDescent="0.25">
      <c r="A1477" s="40">
        <v>45989</v>
      </c>
      <c r="B1477">
        <v>7.561E-8</v>
      </c>
    </row>
    <row r="1478" spans="1:2" x14ac:dyDescent="0.25">
      <c r="A1478" s="40">
        <v>45992</v>
      </c>
      <c r="B1478">
        <v>3.2399999999999999E-8</v>
      </c>
    </row>
    <row r="1479" spans="1:2" x14ac:dyDescent="0.25">
      <c r="A1479" s="40">
        <v>45993</v>
      </c>
      <c r="B1479">
        <v>5.62E-8</v>
      </c>
    </row>
    <row r="1480" spans="1:2" x14ac:dyDescent="0.25">
      <c r="A1480" s="40">
        <v>45994</v>
      </c>
      <c r="B1480">
        <v>2.5139999999999999E-8</v>
      </c>
    </row>
    <row r="1481" spans="1:2" x14ac:dyDescent="0.25">
      <c r="A1481" s="40">
        <v>45995</v>
      </c>
      <c r="B1481">
        <v>2.2330000000000002E-8</v>
      </c>
    </row>
    <row r="1482" spans="1:2" x14ac:dyDescent="0.25">
      <c r="A1482" s="40">
        <v>45996</v>
      </c>
      <c r="B1482">
        <v>1.4850000000000001E-8</v>
      </c>
    </row>
    <row r="1483" spans="1:2" x14ac:dyDescent="0.25">
      <c r="A1483" s="40">
        <v>45999</v>
      </c>
      <c r="B1483">
        <v>1.7030000000000001E-8</v>
      </c>
    </row>
    <row r="1484" spans="1:2" x14ac:dyDescent="0.25">
      <c r="A1484" s="40">
        <v>46000</v>
      </c>
      <c r="B1484">
        <v>3.2110000000000001E-8</v>
      </c>
    </row>
    <row r="1485" spans="1:2" x14ac:dyDescent="0.25">
      <c r="A1485" s="40">
        <v>46001</v>
      </c>
      <c r="B1485">
        <v>5.0449999999999998E-8</v>
      </c>
    </row>
    <row r="1486" spans="1:2" x14ac:dyDescent="0.25">
      <c r="A1486" s="40">
        <v>46002</v>
      </c>
      <c r="B1486">
        <v>2.8740000000000001E-8</v>
      </c>
    </row>
    <row r="1487" spans="1:2" x14ac:dyDescent="0.25">
      <c r="A1487" s="40">
        <v>46003</v>
      </c>
      <c r="B1487">
        <v>8.3799999999999996E-9</v>
      </c>
    </row>
    <row r="1488" spans="1:2" x14ac:dyDescent="0.25">
      <c r="A1488" s="40">
        <v>46006</v>
      </c>
      <c r="B1488">
        <v>2.6009999999999999E-8</v>
      </c>
    </row>
    <row r="1489" spans="1:2" x14ac:dyDescent="0.25">
      <c r="A1489" s="40">
        <v>46007</v>
      </c>
      <c r="B1489">
        <v>1.5539999999999999E-8</v>
      </c>
    </row>
    <row r="1490" spans="1:2" x14ac:dyDescent="0.25">
      <c r="A1490" s="40">
        <v>46008</v>
      </c>
      <c r="B1490">
        <v>1.0361000000000001E-7</v>
      </c>
    </row>
    <row r="1491" spans="1:2" x14ac:dyDescent="0.25">
      <c r="A1491" s="40">
        <v>46009</v>
      </c>
      <c r="B1491">
        <v>1.1708E-7</v>
      </c>
    </row>
    <row r="1492" spans="1:2" x14ac:dyDescent="0.25">
      <c r="A1492" s="40">
        <v>46010</v>
      </c>
      <c r="B1492">
        <v>3.0470000000000001E-8</v>
      </c>
    </row>
    <row r="1493" spans="1:2" x14ac:dyDescent="0.25">
      <c r="A1493" s="40">
        <v>46013</v>
      </c>
      <c r="B1493">
        <v>1.5229999999999998E-8</v>
      </c>
    </row>
    <row r="1494" spans="1:2" x14ac:dyDescent="0.25">
      <c r="A1494" s="40">
        <v>46014</v>
      </c>
      <c r="B1494">
        <v>5.8929999999999999E-8</v>
      </c>
    </row>
    <row r="1495" spans="1:2" x14ac:dyDescent="0.25">
      <c r="A1495" s="40">
        <v>46015</v>
      </c>
      <c r="B1495">
        <v>4.8030000000000001E-8</v>
      </c>
    </row>
    <row r="1496" spans="1:2" x14ac:dyDescent="0.25">
      <c r="A1496" s="40">
        <v>46017</v>
      </c>
      <c r="B1496">
        <v>2.0339E-7</v>
      </c>
    </row>
    <row r="1497" spans="1:2" x14ac:dyDescent="0.25">
      <c r="A1497" s="40">
        <v>46020</v>
      </c>
      <c r="B1497">
        <v>1.0551E-7</v>
      </c>
    </row>
    <row r="1498" spans="1:2" x14ac:dyDescent="0.25">
      <c r="A1498" s="40">
        <v>46021</v>
      </c>
      <c r="B1498">
        <v>1.2604999999999999E-7</v>
      </c>
    </row>
    <row r="1499" spans="1:2" x14ac:dyDescent="0.25">
      <c r="A1499" s="40">
        <v>46022</v>
      </c>
      <c r="B1499">
        <v>1.05993E-6</v>
      </c>
    </row>
    <row r="1500" spans="1:2" x14ac:dyDescent="0.25">
      <c r="A1500" s="40">
        <v>46024</v>
      </c>
      <c r="B1500">
        <v>5.6669999999999997E-8</v>
      </c>
    </row>
    <row r="1501" spans="1:2" x14ac:dyDescent="0.25">
      <c r="A1501" s="40">
        <v>46027</v>
      </c>
      <c r="B1501">
        <v>6.4850000000000002E-8</v>
      </c>
    </row>
    <row r="1502" spans="1:2" x14ac:dyDescent="0.25">
      <c r="A1502" s="40">
        <v>46028</v>
      </c>
      <c r="B1502">
        <v>2.5819999999999999E-8</v>
      </c>
    </row>
    <row r="1503" spans="1:2" x14ac:dyDescent="0.25">
      <c r="A1503" s="40">
        <v>46029</v>
      </c>
      <c r="B1503">
        <v>4.5819999999999996E-8</v>
      </c>
    </row>
    <row r="1504" spans="1:2" x14ac:dyDescent="0.25">
      <c r="A1504" s="40">
        <v>46030</v>
      </c>
      <c r="B1504">
        <v>3.0829999999999999E-8</v>
      </c>
    </row>
    <row r="1505" spans="1:2" x14ac:dyDescent="0.25">
      <c r="A1505" s="40">
        <v>46031</v>
      </c>
      <c r="B1505">
        <v>3.2799999999999996E-8</v>
      </c>
    </row>
    <row r="1506" spans="1:2" x14ac:dyDescent="0.25">
      <c r="A1506" s="40">
        <v>46034</v>
      </c>
      <c r="B1506">
        <v>3.4020000000000003E-8</v>
      </c>
    </row>
    <row r="1507" spans="1:2" x14ac:dyDescent="0.25">
      <c r="A1507" s="40">
        <v>46035</v>
      </c>
      <c r="B1507">
        <v>3.2770000000000002E-8</v>
      </c>
    </row>
    <row r="1508" spans="1:2" x14ac:dyDescent="0.25">
      <c r="A1508" s="40">
        <v>46036</v>
      </c>
      <c r="B1508">
        <v>3.2229999999999998E-8</v>
      </c>
    </row>
    <row r="1509" spans="1:2" x14ac:dyDescent="0.25">
      <c r="A1509" s="40">
        <v>46037</v>
      </c>
      <c r="B1509">
        <v>2.0030000000000001E-8</v>
      </c>
    </row>
    <row r="1510" spans="1:2" x14ac:dyDescent="0.25">
      <c r="A1510" s="40">
        <v>46038</v>
      </c>
      <c r="B1510">
        <v>1.222E-8</v>
      </c>
    </row>
    <row r="1511" spans="1:2" x14ac:dyDescent="0.25">
      <c r="A1511" s="40">
        <v>46042</v>
      </c>
      <c r="B1511">
        <v>3.5059999999999998E-8</v>
      </c>
    </row>
    <row r="1512" spans="1:2" x14ac:dyDescent="0.25">
      <c r="A1512" s="40">
        <v>46043</v>
      </c>
      <c r="B1512">
        <v>3.344E-8</v>
      </c>
    </row>
    <row r="1513" spans="1:2" x14ac:dyDescent="0.25">
      <c r="A1513" s="40">
        <v>46044</v>
      </c>
      <c r="B1513">
        <v>2.058E-8</v>
      </c>
    </row>
    <row r="1514" spans="1:2" x14ac:dyDescent="0.25">
      <c r="A1514" s="40">
        <v>46045</v>
      </c>
      <c r="B1514">
        <v>9.2700000000000013E-9</v>
      </c>
    </row>
    <row r="1515" spans="1:2" x14ac:dyDescent="0.25">
      <c r="A1515" s="40">
        <v>46048</v>
      </c>
      <c r="B1515">
        <v>1.4890000000000001E-8</v>
      </c>
    </row>
    <row r="1516" spans="1:2" x14ac:dyDescent="0.25">
      <c r="A1516" s="40">
        <v>46049</v>
      </c>
      <c r="B1516">
        <v>1.2529999999999999E-8</v>
      </c>
    </row>
    <row r="1517" spans="1:2" x14ac:dyDescent="0.25">
      <c r="A1517" s="40">
        <v>46050</v>
      </c>
      <c r="B1517">
        <v>1.103E-8</v>
      </c>
    </row>
    <row r="1518" spans="1:2" x14ac:dyDescent="0.25">
      <c r="A1518" s="40">
        <v>46051</v>
      </c>
      <c r="B1518">
        <v>2.852E-8</v>
      </c>
    </row>
    <row r="1519" spans="1:2" x14ac:dyDescent="0.25">
      <c r="A1519" s="40">
        <v>46052</v>
      </c>
      <c r="B1519">
        <v>9.6289999999999997E-8</v>
      </c>
    </row>
    <row r="1520" spans="1:2" x14ac:dyDescent="0.25">
      <c r="A1520" s="40">
        <v>46055</v>
      </c>
      <c r="B1520">
        <v>1.0414999999999999E-7</v>
      </c>
    </row>
    <row r="1521" spans="1:2" x14ac:dyDescent="0.25">
      <c r="A1521" s="40">
        <v>46056</v>
      </c>
      <c r="B1521">
        <v>1.7849999999999998E-8</v>
      </c>
    </row>
    <row r="1522" spans="1:2" x14ac:dyDescent="0.25">
      <c r="A1522" s="40">
        <v>46057</v>
      </c>
      <c r="B1522">
        <v>2.4140000000000003E-8</v>
      </c>
    </row>
    <row r="1523" spans="1:2" x14ac:dyDescent="0.25">
      <c r="A1523" s="40">
        <v>46058</v>
      </c>
      <c r="B1523">
        <v>1.7479999999999998E-8</v>
      </c>
    </row>
    <row r="1524" spans="1:2" x14ac:dyDescent="0.25">
      <c r="A1524" s="40">
        <v>46059</v>
      </c>
      <c r="B1524">
        <v>3.1110000000000005E-8</v>
      </c>
    </row>
    <row r="1525" spans="1:2" x14ac:dyDescent="0.25">
      <c r="A1525" s="40">
        <v>46062</v>
      </c>
      <c r="B1525">
        <v>1.3060000000000001E-8</v>
      </c>
    </row>
  </sheetData>
  <phoneticPr fontId="9"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B035DA-4EA8-4B7C-BAEC-16ED33F911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0_Dashboard</vt:lpstr>
      <vt:lpstr>1_Macro_Liquidity</vt:lpstr>
      <vt:lpstr>2_RealRate_Valuation</vt:lpstr>
      <vt:lpstr>3_TGA_RRP</vt:lpstr>
      <vt:lpstr>4_Micro_Fundamentals</vt:lpstr>
      <vt:lpstr>5_Price_Action</vt:lpstr>
      <vt:lpstr>6_Data_API_PowerQuery</vt:lpstr>
      <vt:lpstr>pq_tips_dfii10</vt:lpstr>
      <vt:lpstr>pq_tga_wtregen</vt:lpstr>
      <vt:lpstr>pq_rrp_rrpontsyd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Xuan Fu</cp:lastModifiedBy>
  <dcterms:created xsi:type="dcterms:W3CDTF">2026-02-10T06:34:40Z</dcterms:created>
  <dcterms:modified xsi:type="dcterms:W3CDTF">2026-02-10T08:10:08Z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EA0BD795-0290-4554-A2D2-95A04C461787</vt:lpwstr>
  </property>
</Properties>
</file>