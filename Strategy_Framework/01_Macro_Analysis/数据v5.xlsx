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288" windowHeight="9060" tabRatio="787"/>
  </bookViews>
  <sheets>
    <sheet name="总表" sheetId="13" r:id="rId1"/>
    <sheet name="美国宏观和金融条件" sheetId="9" r:id="rId2"/>
    <sheet name="股票估值和盈利" sheetId="1" r:id="rId3"/>
  </sheets>
  <definedNames>
    <definedName name="_xlnm._FilterDatabase" localSheetId="0" hidden="1">总表!$A$1:$F$31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<sst xmlns="http://schemas.openxmlformats.org/spreadsheetml/2006/main" count="405" uniqueCount="282">
  <si>
    <t>美股</t>
  </si>
  <si>
    <t>指标名称</t>
  </si>
  <si>
    <t>最新数据</t>
  </si>
  <si>
    <t>AI分析</t>
  </si>
  <si>
    <t>主观建议</t>
  </si>
  <si>
    <t>打分评价</t>
  </si>
  <si>
    <t>估值和盈利</t>
  </si>
  <si>
    <t>纳斯达克100毛利率变化（过去连续两季度+未来一季度预期）</t>
  </si>
  <si>
    <t>毛利率是科技股最重要指标，尤其在生命周期早期。</t>
  </si>
  <si>
    <t>高</t>
  </si>
  <si>
    <t>标普500的盈利上修动能</t>
  </si>
  <si>
    <t>尽管盈利上修动能强劲，但前目前标普 500 的 12 个月前瞻市盈率约为 21.5 - 22.2，远高于 10 年平均水平（18.8）。股市波动会加大。</t>
  </si>
  <si>
    <t>盈余惊喜</t>
  </si>
  <si>
    <t>投资工业、半导体硬件行业。逻辑是找有盈利确定性的行业</t>
  </si>
  <si>
    <t>标普500的roic-wacc趋势（过去连续两季度+未来一季度预期）</t>
  </si>
  <si>
    <t>总量利差上升。结构分散，从纳斯达克分散道琼斯和标普</t>
  </si>
  <si>
    <t>纳斯达克营收同比增长（过去连续两季度+未来一季度预期）</t>
  </si>
  <si>
    <t>营收环比小下降，盈利上升。拔估值困难，将是盈利驱动</t>
  </si>
  <si>
    <t>中</t>
  </si>
  <si>
    <t>标普500的ERP（1/pe-10年国债收益率)及历史分位数（10年）</t>
  </si>
  <si>
    <t>估值贵，波动大</t>
  </si>
  <si>
    <t>低</t>
  </si>
  <si>
    <t>标普500的Citi Earnings Revision Index(花旗盈利修正指数)</t>
  </si>
  <si>
    <t>仍在上修，但上修人数环比下降</t>
  </si>
  <si>
    <t>标普500的Citi Economic Surprise Index（CESI，花旗经济意外指数）</t>
  </si>
  <si>
    <t>高位回落代表此前宏观超预期已被price in，即使财报继续超过预期，股市也不会大幅上涨</t>
  </si>
  <si>
    <t>主权基金流向</t>
  </si>
  <si>
    <t>关注美股非科技，以及日本、东南亚</t>
  </si>
  <si>
    <t>美股的现金流peg</t>
  </si>
  <si>
    <t>已经超过1-1.5的合理区间，整体偏贵，但未达到2.0极值</t>
  </si>
  <si>
    <t>标普500的真实股东收益率（Total Shareholder Yield）与国债的利差</t>
  </si>
  <si>
    <t>-</t>
  </si>
  <si>
    <t>AAII个人投资者净看多比例</t>
  </si>
  <si>
    <t>Market Vane 股市看涨情绪</t>
  </si>
  <si>
    <t>流动性和杠杆</t>
  </si>
  <si>
    <t>保证金债务/市值</t>
  </si>
  <si>
    <t>TGA账户</t>
  </si>
  <si>
    <t>SOFR-OIS 基差</t>
  </si>
  <si>
    <t>CARRY TO RISK RITIO</t>
  </si>
  <si>
    <t>宏观和金融条件</t>
  </si>
  <si>
    <t>美国宏观和金融条件</t>
  </si>
  <si>
    <t>彭博美国金融条件指数</t>
  </si>
  <si>
    <t>芝加哥联储全国金融条件指数 (NFCI)</t>
  </si>
  <si>
    <t>优</t>
  </si>
  <si>
    <t>GDP Now 预测</t>
  </si>
  <si>
    <t>不做空美股，但增加标普和道琼斯的占比</t>
  </si>
  <si>
    <t>St. Louis Fed Economic News Index (STLENI)</t>
  </si>
  <si>
    <t>增加标普和道琼斯的占比</t>
  </si>
  <si>
    <t>就业</t>
  </si>
  <si>
    <t>ADS 商业景气指数(华尔街交易员股市应用稀缺的实时高频指引)</t>
  </si>
  <si>
    <t>宏观风险加剧</t>
  </si>
  <si>
    <t>Lightcast 数据</t>
  </si>
  <si>
    <t xml:space="preserve">1. 核心数值监测：2026 Q1 的“低雇、低解”僵局
根据 Lightcast 2026 年 2 月至 3 月初的最新职位发布（Job Postings）数据：
HWOL 指数 (帮助寻找在线指数)：1 月份微升至 100.4（环比增长 0.4%），但同比仍下降了 15.4%。
招聘周期延长：Lightcast 指出，目前美国企业的招聘速度正在放缓，企业变得更加挑剔（Selective Hiring），形成了“低雇佣、低解雇（Low-hire, Low-fire）”的僵局。
</t>
  </si>
  <si>
    <t>信号含义：这意味着劳动力市场并没有崩盘（支撑了 GDPNow 的 3.0%），但也没有增量动能来推动进一步的消费扩张（印证了 GDP 分项中个人消费仅 1.4% 的弱点）。</t>
  </si>
  <si>
    <t>WARN Notice裁员数据</t>
  </si>
  <si>
    <t>ADP 新增就业人数</t>
  </si>
  <si>
    <t>消费</t>
  </si>
  <si>
    <t xml:space="preserve"> RedBook 零售指数</t>
  </si>
  <si>
    <t>地产</t>
  </si>
  <si>
    <t>Redfin 房屋销售量</t>
  </si>
  <si>
    <t>房地产待售时长（4WMA）</t>
  </si>
  <si>
    <t>美国中位数房价</t>
  </si>
  <si>
    <t>工资增速跑赢房价：2026 年是自 2008 年以来首次出现工资增速（约 4.5%）显著超过房价涨幅（约 1%）。这意味着购买力正在缓慢修复，防止了房价出现断崖式下跌。
库存锁定效应减弱：随着抵押贷款利率稳定在 6.0% - 6.3% 区间，更多卖家开始接受现实并挂牌（新挂牌量增长约 10%），这增加了市场供应，但也通过“成交量回升”稳定了价格预期。
租赁市场压力：租金预计在 2026 年上涨 2%-3%，这迫使部分租房者（特别是高薪白领）重新进入买房市场。</t>
  </si>
  <si>
    <t>属性</t>
  </si>
  <si>
    <t>名称</t>
  </si>
  <si>
    <t>解析</t>
  </si>
  <si>
    <t>判断方法</t>
  </si>
  <si>
    <t>ai建议</t>
  </si>
  <si>
    <t>自我思考</t>
  </si>
  <si>
    <t>经济动能</t>
  </si>
  <si>
    <t>高盛美国金融条件指数</t>
  </si>
  <si>
    <r>
      <rPr>
        <sz val="11"/>
        <color rgb="FFC00000"/>
        <rFont val="宋体"/>
        <charset val="134"/>
        <scheme val="minor"/>
      </rPr>
      <t>股市投资指引。</t>
    </r>
    <r>
      <rPr>
        <sz val="11"/>
        <color theme="1"/>
        <rFont val="宋体"/>
        <charset val="134"/>
        <scheme val="minor"/>
      </rPr>
      <t>它包含短期利率、长期利率、信用利差、股市估值和美元汇率</t>
    </r>
  </si>
  <si>
    <t>当该指数处于历史极高点（环境极度紧缩）并开始调头向下时，通常是股市大底。</t>
  </si>
  <si>
    <t>1.数值：99.2；2.斜率： 98.5反弹至 99.2。</t>
  </si>
  <si>
    <t>警惕“再收紧”触发的估值下修高盛研究表明，FCI 的变动斜率比绝对值更重要。建议：由于过去一个月 FCI 指数从 98.5 反弹至 99.2（即环境在变紧），这通常预示着未来 3-6 个月 GDP 增速将放缓。</t>
  </si>
  <si>
    <t>择时、情绪监控，和捕捉极端反转</t>
  </si>
  <si>
    <t>当 BFCI 跌破 -3 或 -4（如 2008 年或 2020 年 3 月），这代表市场陷入“流动性恐慌”，通常是恐慌性抛售的顶点，适合寻找抄底信号。</t>
  </si>
  <si>
    <t>相比 2025 年底的 +0.66，目前的 +0.35 说明金融条件正在显著收紧，但尚未跌入负值（即尚未进入“流动性危机”状态）。规律：历史上，当 BFCI 从正数快速向 0 轴回归时，标普 500 的短期胜率会降至 40% 以下。
建议：目前 +0.35 的位置属于“温水煮青蛙”。如果未来两周 BFCI 跌破 0，说明市场进入了实质性的信用紧缩，建议将所有杠杆头寸（如之前提到的 保证金债务）清零，回归防御。</t>
  </si>
  <si>
    <r>
      <rPr>
        <sz val="11"/>
        <color rgb="FFC00000"/>
        <rFont val="宋体"/>
        <charset val="134"/>
        <scheme val="minor"/>
      </rPr>
      <t>金融流动性。确认钱多不多，判断估值（PE）能不能拔高。</t>
    </r>
    <r>
      <rPr>
        <sz val="11"/>
        <color theme="1"/>
        <rFont val="宋体"/>
        <charset val="134"/>
        <scheme val="minor"/>
      </rPr>
      <t>中长期宏观指引</t>
    </r>
  </si>
  <si>
    <t>它适合用来确认美国经济是否进入了“系统性风险”区域。如果 NFCI 持续走高且无法转头，说明基本面流动性出了大问题，这时候 PB-ROE 等估值模型可能会失效（因为流动性溢价消失）。</t>
  </si>
  <si>
    <t>NFCI 由三个主要维度组成，通过查看子项可以发现市场压力的具体来源：
风险子指数（Risk）：读数约 -0.64。这说明目前市场波动率较低，信贷息差处于健康水平，市场情绪整体偏乐观。
信用子指数（Credit）：读数约 -0.07。信贷的可获得性处于正常偏宽松状态。
杠杆子指数（Leverage）：读数约 -0.07。说明目前金融体系的债务压力和杠杆水平并不极端。
对于美股（科技股）
目前的 -0.56 说明宏观流动性依然充裕。在这种环境下，只要企业（如 ASML 或 TSMC）的盈利（Earnings）不出现大幅下修，估值端（Multiplier）通常能获得支撑。这是一个典型的“风险偏好温和”的环境。</t>
  </si>
  <si>
    <r>
      <rPr>
        <sz val="11"/>
        <color theme="1"/>
        <rFont val="宋体"/>
        <charset val="134"/>
        <scheme val="minor"/>
      </rPr>
      <t>是什么：它不是直接计算 GDP 子项，而是利用因子分析（Factor Model），从每月发布的主要经济新闻（如非农数据、CPI、工业产出等）中提取共性，来预估当季真实 GDP 的增长。</t>
    </r>
    <r>
      <rPr>
        <sz val="11"/>
        <color rgb="FFC00000"/>
        <rFont val="宋体"/>
        <charset val="134"/>
        <scheme val="minor"/>
      </rPr>
      <t>STLENI (圣路易斯) 关注的是新闻和宏观噪音（非农情绪、ISM 经理信心）</t>
    </r>
    <r>
      <rPr>
        <sz val="11"/>
        <color theme="1"/>
        <rFont val="宋体"/>
        <charset val="134"/>
        <scheme val="minor"/>
      </rPr>
      <t xml:space="preserve">
特点：它更像是一个“情绪与事实的混合体”，对宏观经济数据的“新闻冲击”非常敏感。</t>
    </r>
  </si>
  <si>
    <t>宏观趋势确认：它通常比 GDPNow 波动小一些。如果 STLENI 持续向上，说明近期的宏观数据流（Data Flow）整体偏正面。
配合 NFCI 使用：结合你之前问的金融条件指数（NFCI），如果 NFCI 宽松且 STLENI 向上，是完美的牛市宏观环境。</t>
  </si>
  <si>
    <t>当前 STLENI 预测值 (2026 Q1)：2.41%。</t>
  </si>
  <si>
    <t>A. 警惕“过热后的下修”
目前 STLENI (2.41%) 低于 GDPNow (3.0%)，这通常说明最近公布的一些月度数据（如昨日的 ISM 制造业指数）在“新闻面”上被市场解读为弱于之前的乐观共识。
信号意义：如果这两个指数的差距进一步拉大，通常预示着美股即将进入盈利预期的下修期。你之前关注的 ERP 极低分位 将面临巨大的调整压力。
B. 监控“政策转向”的哨兵
STLENI 对通胀相关新闻非常敏感。
建议：如果 STLENI 下滑，而你发现美联储官员的讲话依然鹰派（如圣路易斯联储主席 Musalem 最近提到的通胀仍有压力），这说明**“经济在慢下来，但利息降不下来”**。这是对纳斯达克科技股最不利的组合。
C. 确定性溢价
策略：在 STLENI 低于 GDPNow 期间，市场往往会发生“从进攻转为质量”的切换。资金会离开那些依赖宏观爆发的小盘股，涌向你持有的 高 ROIC (9.5%) 且 现金流 PEG 极低 的龙头</t>
  </si>
  <si>
    <t>FRB GDPNow (联邦储备委员会 GDP 追踪)</t>
  </si>
  <si>
    <r>
      <rPr>
        <sz val="11"/>
        <color theme="1"/>
        <rFont val="宋体"/>
        <charset val="134"/>
        <scheme val="minor"/>
      </rPr>
      <t xml:space="preserve">确认最终成绩单，通常用于验证预期差。GDPNow (亚特兰大) 关注的是已经发生的事实（进出口、库存、消费额）。
是什么：由亚特兰大联储（Atlanta Fed）维护。它模仿美国经济分析局（BEA）计算 GDP 的方法，将已公布的零售、进出口、库存等 13 个子项数据实时整合，得出一个当季 GDP 的年化增长率估算值。
特点：无主观修正。它纯粹靠数学模型驱动，非常客观，但也因此容易在数据公布初期出现剧烈波动（Over-shoot）。
是什么：不同于亚特兰大联储的“硬凑”方法，纽约联储的版本更侧重于动量（Momentum）。它会告诉你本周发布的某项特定数据（如零售销售）对 GDP 贡献了多少个基点。
</t>
    </r>
    <r>
      <rPr>
        <sz val="11"/>
        <color rgb="FFC00000"/>
        <rFont val="宋体"/>
        <charset val="134"/>
        <scheme val="minor"/>
      </rPr>
      <t>应用：归因分析：它能让你看清增长是由“消费驱动”还是“库存驱动”。对于投资而言，消费驱动的增长对股市更有利，而库存驱动的增长往往不可持续。</t>
    </r>
  </si>
  <si>
    <r>
      <rPr>
        <sz val="11"/>
        <color theme="1"/>
        <rFont val="宋体"/>
        <charset val="134"/>
        <scheme val="minor"/>
      </rPr>
      <t>1.官网找：Contributions to real GDP growth。
表格通常会将增长拆分为以下几个核心支柱：
PCE (Personal Consumption Expenditures)：个人消费支出。
CIPI (Change in Private Inventories)：私人库存变化。
Net Exports：净出口。
Govt.：政府支出。
Fixed Investment：固定资产投资（如房地产、设备）。
2.判断方法，看“亚特兰大 GDPNow”定基调：
如果数值 &gt; 3%：经济过热，警惕通胀回升和美联储鹰派（对科技股估值不利）。
如果数值在 1% - 2%：黄金入场期（Goldilocks），经济温和增长且压力不大。
如果数值 &lt; 0%：经济衰退预警。</t>
    </r>
    <r>
      <rPr>
        <sz val="11"/>
        <color rgb="FFC00000"/>
        <rFont val="宋体"/>
        <charset val="134"/>
        <scheme val="minor"/>
      </rPr>
      <t>当 [GDPNow 强劲] + [NFCI 指标为负（宽松）] + [AAII 散户情绪不过热] = 极佳的加仓点。
3.看结构
通过对比 PCE 和 CIPI 这两个分量的数值来判断增长的含金量：
（1）情况 A：健康的“消费驱动型”增长
特征：PCE 的贡献度占大头（例如：总增长 3%，PCE 贡献了 2.5%），而 CIPI 的贡献接近 0 或为负。
（2）虚胖的“库存驱动型”增长
特征：CIPI 的贡献度极高（例如：总增长 3%，其中 2% 是库存增加带来的），而 PCE 疲软。
投资含义：这是一种警示信号。说明货造出来了，但堆在仓库里没卖出去。统计上，库存增加会算入 GDP，但这种增长是“不可持续”的。</t>
    </r>
  </si>
  <si>
    <t>当前预测值 (2026 Q1)：3.0%（3 月 2 日最新更新）。
近期变动：
2 月 24 日：3.1%（处于近期高位）。
3 月 2 日：受 ISM 制造业指数 发布影响，模型下修了个人消费支出（PCE）和私人投资的贡献，数值微降至 3.0%。
分项结构：
实际私人固定资产投资：贡献约 3.5%（强劲）。
实际 PCE (个人消费)：贡献下调至 1.4%（显现出疲态）。</t>
  </si>
  <si>
    <t>不要做空大趋势：3.0% 的增长说明经济并未崩溃。在这种背景下，单纯因为“估值贵（高 PE）”而做空大盘风险很大。
关注“制造业复苏”受益股：由于投资支出（3.5%）强于消费支出（1.4%），你应该更看好 工业自动化、能源设备和 AI 基础设施，而非传统的可选消费股。
高通胀压力常态化：既然 GDP 增速依然高达 3.0%，这意味着美联储没有理由迅速降息。你关心的 $WACC$（资本成本） 将在更长时间内保持高位，这对高估值科技股的折现率非常不利。</t>
  </si>
  <si>
    <t xml:space="preserve">如果这三个指标分歧期间美股没有涨，但是最后实际gdp指标又很高，美股会补涨吗？
1.分歧中：投资者不知道该信哪一个，因此会要求更高的“风险溢价”，这会压制估值。真相大白后： 如果实际 GDP 很高，虽然消除了不确定性，但市场可能已经转向关注下一个问题（例如：高 GDP 是否会引发二次通胀？）
2.后续判断：如果分歧中美股没有涨，后续gdp数据要看实际gdp而不是gdp数据。比如，（1）如后续公布的gdp数据高于此前预期，但发现数据是因劳动力市场太火爆导致，市场会立刻预期美联储将“更久地维持高利率（Higher for Longer）”。在这种情况下，高 GDP 反而是股市的利空，尤其是对你关注的科技股。（2）GDP 是总量数据，而股市看的是每股收益（EPS），实际 GDP 公布时，你要看的是企业财报对下一季度的指引（Guidance）。如果高 GDP 转化为公司实实在在的订单增加（例如 TSMC 的产能利用率提升），那才会有真正的“补涨”。
3.情景判断表：
实际 GDP 结果                 美联储态度（或 10 年美债收益率）                    股市可能的反应
高（超预期）           收益率走低/平稳                      强力补涨（说明是良性增长，无通胀忧虑）
高（超预期）                 收益率飙升                          震荡或下跌（市场担心加息/缩表，即“利好出尽”）低（分歧消失）            收益率大跌                           防御性上涨（博弈降息预期）
</t>
  </si>
  <si>
    <r>
      <rPr>
        <sz val="11"/>
        <color rgb="FFC00000"/>
        <rFont val="宋体"/>
        <charset val="134"/>
        <scheme val="minor"/>
      </rPr>
      <t>实时景气度。</t>
    </r>
    <r>
      <rPr>
        <sz val="11"/>
        <color theme="1"/>
        <rFont val="宋体"/>
        <charset val="134"/>
        <scheme val="minor"/>
      </rPr>
      <t>ADS 指数通过复杂的数学模型（状态空间模型），整合了不同频率的 6 个核心经济指标：周频指标：初请失业金人数。
月频指标：非农就业、工业产出、个人实际收入、制造与贸易销售。
季频指标：实际 GDP。</t>
    </r>
  </si>
  <si>
    <t>均值为 0：读数为 0 代表经济处于历史平均增长水平。正值 vs 负值：正值代表经济扩张好于平均；负值代表经济活动放缓；如果数值剧烈跌破 -0.8，通常预示着经济进入衰退。
1.确认“盈利修正”的可持续性
如果 ADS 指数持续走高（&gt; 0 且上升）：说明宏观景气度在改善，此时你观察到的企业 ROE 提升和盈利上修是有宏观支撑的，胜率极高。
如果 ADS 指数处于负值区间但盈利在“上修”：要警惕这可能只是“估值陷阱”或短期财报财技，因为大环境并不支持企业持续赚钱。
2.股市顶部的“钝化”警示
当股市还在创新高，但 ADS 指数开始连续数周“下行”（即便还是正值），这代表经济扩张的速度在放缓。
对于科技股（ASML、TSMC 等）而言，这通常意味着半导体周期可能即将触顶，因为实体经济的景气度已经带不动订单的进一步爆发了。
3.极端值的“抄底”信号
在 2008 年和 2020 年，当 ADS 指数跌破历史极值后开始拐头向上时，往往领先于实际 GDP 数据的公布，是股市反弹最强的“发令枪”。</t>
  </si>
  <si>
    <t>当前 ADS 读数：+0.15 附近。但斜率向下</t>
  </si>
  <si>
    <t>1.目前读数较 2026 年 1 月的 +0.45 有所下滑，但仍保持在正值区间。这说明经济正在从“过热”向“常态化增长”平稳过渡。
2.在 ADS 指数的构建中，周初请失业金人数 (Initial Claims) 是权重最高、频率最快（周频）的“硬核”指标，它通常被视为 ADS 指数的先导斜率。目前 ADS 指数从之前的 +0.45 快速回落至 +0.15，其中约 70% 的拉低作用 均来自于初请失业金人数的这个负斜率。初请失业金人数是少数几个能跑在 GDP 之前的指标。目前的斜率意味着美国企业（尤其是你关注的科技板块以外的传统行业）可能已经开始悄然缩减招聘或启动小规模裁员。</t>
  </si>
  <si>
    <r>
      <rPr>
        <sz val="11"/>
        <color rgb="FFC00000"/>
        <rFont val="宋体"/>
        <charset val="134"/>
        <scheme val="minor"/>
      </rPr>
      <t>实时信心：</t>
    </r>
    <r>
      <rPr>
        <sz val="11"/>
        <color theme="1"/>
        <rFont val="宋体"/>
        <charset val="134"/>
        <scheme val="minor"/>
      </rPr>
      <t>如果说非农数据（NFP）是每月的“官方体检报告”，那么 Lightcast 的数据就是“实时心率监测仪”。它通过抓取全球数万个招聘网站、公司官网及社交平台的实时招聘信息（Job Postings），为投资者提供比官方数据更具前瞻性的指引。</t>
    </r>
  </si>
  <si>
    <r>
      <rPr>
        <sz val="11"/>
        <color rgb="FFC00000"/>
        <rFont val="宋体"/>
        <charset val="134"/>
        <scheme val="minor"/>
      </rPr>
      <t>1.验证行业景气度：</t>
    </r>
    <r>
      <rPr>
        <sz val="11"/>
        <color theme="1"/>
        <rFont val="宋体"/>
        <charset val="134"/>
        <scheme val="minor"/>
      </rPr>
      <t xml:space="preserve">指引逻辑：如果某个板块（如半导体或 AI 软件）在 Lightcast 上的招聘需求连续两个月激增，说明该行业的**订单量（Backlog）非常充裕。比如，当你看到 TSMC 或英伟达的招聘需求在 Lightcast 上显著多于同类公司时，这往往是其**盈利上修（Earnings Revision）的先兆。
</t>
    </r>
    <r>
      <rPr>
        <sz val="11"/>
        <color rgb="FFC00000"/>
        <rFont val="宋体"/>
        <charset val="134"/>
        <scheme val="minor"/>
      </rPr>
      <t>2.宏观流动性与加息压力的“哨兵”
指引逻辑：Lightcast 的招聘量通常领先于官方非农数据 2-4 周。</t>
    </r>
  </si>
  <si>
    <t>11. 核心数值监测：2026 Q1 的“低雇、低解”僵局
根据 Lightcast 2026 年 2 月至 3 月初的最新职位发布（Job Postings）数据：
HWOL 指数 (帮助寻找在线指数)：1 月份微升至 100.4（环比增长 0.4%），但同比仍下降了 15.4%。
招聘周期延长：Lightcast 指出，目前美国企业的招聘速度正在放缓，企业变得更加挑剔（Selective Hiring），形成了“低雇佣、低解雇（Low-hire, Low-fire）”的僵局。
. 核心数值监测：2026 Q1 的“低雇、低解”僵局</t>
  </si>
  <si>
    <r>
      <rPr>
        <sz val="11"/>
        <color rgb="FFC00000"/>
        <rFont val="宋体"/>
        <charset val="134"/>
        <scheme val="minor"/>
      </rPr>
      <t>领先预警:WARN 指数对投资至关重要。它领先于非农数据中的“失业率”上升约 1-2 个月。</t>
    </r>
    <r>
      <rPr>
        <sz val="11"/>
        <color theme="1"/>
        <rFont val="宋体"/>
        <charset val="134"/>
        <scheme val="minor"/>
      </rPr>
      <t>美国的《工人调整和再培训通知法》，该法律规定，拥有 100 名以上员工的公司，如果在单个地点裁员 50 人以上，必须提前 60 天向州政府发出书面通知。数据源：基于 ADP 公司覆盖的约 2,500 万美国员工的真实工资单数据（Payroll Data）。
时间性：通常在每月第一个周三发布，比官方非农（NFP）早两天。
范围：仅包含私营部门，不含政府雇员、农场工人和小微个体户。
更新频率：自 2025 年起，ADP 已推出 Weekly Pulse（周频脉冲） 数据。截至 2026 年 2 月，</t>
    </r>
    <r>
      <rPr>
        <sz val="11"/>
        <color rgb="FFC00000"/>
        <rFont val="宋体"/>
        <charset val="134"/>
        <scheme val="minor"/>
      </rPr>
      <t>该数据已成为观察经济“微变”的顶级工具。</t>
    </r>
  </si>
  <si>
    <t>裁员规模回升：2026 年前两个月，加州科技行业的 WARN 申报人数比 2025 年同期增长了 18%。</t>
  </si>
  <si>
    <t xml:space="preserve">
WARN 数据告诉你：美国劳动力市场的“冰层”正在变薄。WARN 的独特价值在于它的“强制性预判”：根据联邦法律，规模在 100 人以上的企业进行 50 人以上的裁员时，必须提前 60 天（纽约州等部分地区为 90 天）向州政府申报。</t>
  </si>
  <si>
    <r>
      <rPr>
        <sz val="11"/>
        <color theme="1"/>
        <rFont val="宋体"/>
        <charset val="134"/>
        <scheme val="minor"/>
      </rPr>
      <t>俗称“小非农”，是由美国自动数据处理公司（Automatic Data Processing）发布的私营部门就业数据。中</t>
    </r>
    <r>
      <rPr>
        <sz val="11"/>
        <color rgb="FFC00000"/>
        <rFont val="宋体"/>
        <charset val="134"/>
        <scheme val="minor"/>
      </rPr>
      <t>频前瞻：预测薪资通胀，辅助利率判断。</t>
    </r>
  </si>
  <si>
    <t>A. 捕捉“薪资粘性”——分母端（利率）的前哨
观察点：ADP 报告中有一个独特的子项：Pay Insights（薪资洞察）。它将工资增长拆分为“Job-stayers（在职者）”和“Job-changers（跳槽者）”。
实战逻辑：
2026 年现状：目前（2026 年 1 月数据）在职者薪资增幅稳定在 4.5% 左右。如果这个数字开始突破 5%，说明劳动力市场依然极度紧缺，美联储（Fed）降息的空间将被彻底封死。
指引：高薪资增长 = 高利息压力 = 利空高估值科技股（如 ASML、TSMC）。此时，即便公司盈利好，估值（Multiplier）也难以扩张。
B. 行业景气度拆解——分母端（盈利）的罗盘
观察点：ADP 会按行业（如制造、贸易、专业服务）拆分岗位增减。
实战逻辑：
近期趋势：2026 年 1 月，教育与医疗服务（+7.4 万）是唯一的亮点，而专业与商业服务（-5.7 万）和信息技术（-0.5 万）在萎缩。
指引：这种分化告诉我们，现在的增长是“防御性”的（医疗）。如果你在寻找“盈利上修”的股票，避开目前正在裁员的咨询和基础 IT 服务业，关注医疗科技或受教育需求拉动的板块。
C. 捕捉“预期差”——短线博弈的锚点
指引：当 ADP 数据远低于共识预期时（例如 2026 年 1 月仅增加 2.2 万，而预期为 4.8 万），市场会提前开始“抢跑”衰退或降息交易。
注意：ADP 并不总是能准确预测官方 NFP。如果 ADP 很差但随后发布的 NFP 很好，这种**“指标分歧”**往往会带来巨大的市场波动（Volatility），是短线衍生品交易（如黄金或国债期货）的黄金期。</t>
  </si>
  <si>
    <t>1 月回顾（实际值）：2.2 万人（远低于预期的 4.8 万人）。
特征：制造业持续流失岗位，专业与商业服务显著下滑。唯一的亮点是教育与医疗（+7.4 万）。2 月预测（明天发布）：市场普遍预期为 4.3 万 - 5.0 万人。
斜率观察：根据 ADP 的周频追踪（NER Pulse），2 月前四周的招聘速度有所回升（平均每周约 1.27 万人），显示出从 1 月的极度低迷中温和复苏。
薪资增速：目前稳定在 4.5% 左右。尽管招人慢，但“留人”的成本依然很高。</t>
  </si>
  <si>
    <t>美国劳动力市场正处于“低速增长但薪资稳固”的僵局。</t>
  </si>
  <si>
    <t>当前数值 (YoY)：6.7%（截至 2 月 28 日当周）。
趋势对比：
上周：7.2%（2 月 21 日当周）。
历史分位：处于 5% - 7% 的稳健增长区间，但较 2 月中的高点有所回落。
信号含义：零售增长依然“在线”，说明美国消费者虽然面临高利率，但并没有“收手”。</t>
  </si>
  <si>
    <t>A. 验证“金发姑娘”行情的韧性
指引：既然同店销售额仍有 6.7% 的增长，说明 GDPNow (3.0%) 的预测并非空穴来风。
策略：这降低了市场对“突发性衰退”的担忧。对于你持有的 高 ROIC 科技股，这意味着下游企业和消费者的购买力依然能支撑它们的软件和硬件开支。
B. 监控“通胀粘性”与降息预期
逻辑：如果零售指数长期维持在 6% 以上，而通胀目标是 2%，这通常意味着需求依然过热。
指引：这会支撑 10Y 美债收益率在 4% 附近 震荡。</t>
  </si>
  <si>
    <t>实际个人消费的 Nowcast 指数</t>
  </si>
  <si>
    <t>房屋成交量 (Home Sales)：同比下降 3.2%。尽管由于 2 月份气温转暖导致需求略有回升，但高企的抵押贷款利率（30 年期固定利率仍在 6.7% - 6.9% 波动）依然抑制了成交动力。</t>
  </si>
  <si>
    <t>Redfin 最近指出，部分地区的公寓销售（Condos）跌幅远超独栋住宅。这反映了高息环境下投资者对“租金回报率”的重新审视。</t>
  </si>
  <si>
    <t>当前 4WMA 数值：全美中位待售时长约为 47 - 66 天。
趋势变动：较 2026 年 1 月份的 78 天（季节性高点）有所回落，但较去年（2025 年）同期增加了约 7 - 10 天。</t>
  </si>
  <si>
    <t>信号含义：市场正在变慢。虽然进入了 3 月份的春季销售旺季，但买家变得比以往更加挑剔（Selective），这主要是由于 30 年期固定抵押贷款利率仍处于 6.1% - 6.8% 的相对高位，压制了购买冲动。</t>
  </si>
  <si>
    <t>现有住房中位售价 (Existing-Home Median Price)：
最新数值：约 $39.68 万 - $42.30 万美元（根据 NAR 和 Redfin 的最新月度综合）。
同比变动：增长约 1.1% - 1.4%。</t>
  </si>
  <si>
    <t>A股非科技</t>
  </si>
  <si>
    <t>破净率</t>
  </si>
  <si>
    <t>A股当前破净的股票数量在总量的占比</t>
  </si>
  <si>
    <r>
      <rPr>
        <sz val="11"/>
        <color rgb="FFC00000"/>
        <rFont val="仿宋_GB2312"/>
        <charset val="134"/>
      </rPr>
      <t>破净率只能说明“现在很便宜”，但无法告诉“什么时候会涨”。破净率是“深度计”，而不是“发令枪”。PB 反映的是你买入资产的安全性，且只能在挑选消费、制造、金融等实体产业时非常有效。</t>
    </r>
    <r>
      <rPr>
        <sz val="11"/>
        <color theme="1"/>
        <rFont val="仿宋_GB2312"/>
        <charset val="134"/>
      </rPr>
      <t xml:space="preserve">
低破净率 (&lt;1%) 市场极其亢奋 风险极大，预示顶部将近
中等破净率 (3%-8%) 市场处于常态 参考价值有限
高破净率 (&gt;10%) 市场处于“绝望区” 中长期布局的黄金机会</t>
    </r>
  </si>
  <si>
    <t>当前约 5% - 6%</t>
  </si>
  <si>
    <t>虽然破净率能告诉你“现在很便宜”，但它无法告诉你“什么时候会涨”，更像是一个“深度计”，而不是“发令枪”。“破净”可能变常态： 随着A股市场成熟化和产能过剩行业增多，一些传统行业（如钢铁、地产、银行）可能长期处于破净状态。这被称为“价值陷阱”。</t>
  </si>
  <si>
    <t>合理区间</t>
  </si>
  <si>
    <t>股票非科技</t>
  </si>
  <si>
    <t>非科技行业的pb估值分位数</t>
  </si>
  <si>
    <t>非科技类公司通常被归为“价值蓝筹”或“周期性行业”。主要涵盖金融、地产、钢铁、煤炭、建筑、公用事业</t>
  </si>
  <si>
    <r>
      <rPr>
        <sz val="11"/>
        <color theme="1"/>
        <rFont val="仿宋_GB2312"/>
        <charset val="134"/>
      </rPr>
      <t>PB 反映的是你买入资产的安全性，如果你只看 PB 决策，可能会错过最伟大的公司，或者买入最烂的公司。ROE 才是 PB 的灵魂，一个 PB 很低的公司，如果 ROE（净资产收益率）常年只有 1%-2%，那它的低 PB 是合理的，甚至可能继续阴跌。</t>
    </r>
    <r>
      <rPr>
        <sz val="11"/>
        <color rgb="FFC00000"/>
        <rFont val="仿宋_GB2312"/>
        <charset val="134"/>
      </rPr>
      <t>投资决策 = 低 PB (安全边际) + 高 ROE (赚钱能力) + 股息率 (现金回馈)
1.如果 PB &lt; 1 且 ROE &gt; 10%： 这是典型的“烟蒂股”，极具吸引力。
2.如果 PB 很高但 ROE 极高： 这是“成长股”，只要增长能持续，贵一点也能买。
3.如果 PB 很低但 ROE 极低： 远离它，这是“价值坑”。
如果你想构建一个更科学的投资决策体系，可以参考以下进阶逻辑：
1.ROE 的稳定性： 不要只看一年，要看过去 3-5 年的平均 ROE。稳定在 15% 以上 的通常是优秀公司。
2.分红率： 对于低 PB、高 ROE 的公司，如果它还愿意大量派发现金红利，那就是极佳的“现金奶牛”。
3.剔除杠杆后的 ROE： 有些公司（如地产）的高 ROE 是靠高负债堆出来的，这具有风险。建议结合资产负债率一起看。</t>
    </r>
  </si>
  <si>
    <t>A股非科技股的整体 PB 分位数大多分布在 10%-20% 之间</t>
  </si>
  <si>
    <t>行业分类        当前 PB (约值)        10年历史分位数  
银行 0.55 - 0.65 &lt; 5% 
房地产 0.75 - 0.90 &lt; 10% 
建筑装饰 (基建) 0.85 - 1.05 ~12% 
钢铁 / 煤炭 1.10 - 1.30 20% - 30% 
公用事业 (电力) 1.50 - 1.70 ~45%</t>
  </si>
  <si>
    <t>价值股</t>
  </si>
  <si>
    <t>pb-roe</t>
  </si>
  <si>
    <t>找低pb，稳roe公司</t>
  </si>
  <si>
    <t>PB近5年分位数&lt;30%，且ROE能够稳定在10%以上（近3年），且未来3年行业资产质量没有恶化趋势</t>
  </si>
  <si>
    <t>行业 3年平均ROE PB 5年分位数 资产恶化概率 核心配置逻辑：煤炭 18.5% ~22% 极低 高股息 + 资产负债表极优；优质银行 12.0% &lt; 10% 低 (利空出尽) 极低 PB + 风险溢价回归；白色家电 19.8% ~18% 低 品牌护城河 + 全球化出海；港口/高速 11.5% ~15% 极低 高现金流 + 类债防御</t>
  </si>
  <si>
    <t>价值投煤炭、白电、港口运输、银行</t>
  </si>
  <si>
    <t>科技股</t>
  </si>
  <si>
    <t>科技行业毛利率变化纳斯达克营收同比增长（过去连续两季度+未来一季度预期）</t>
  </si>
  <si>
    <t>主要包括电子、通信、计算机、半导体</t>
  </si>
  <si>
    <t>分开看周期和非周期的科技企业。过去2-3个季度，以及未来一个季度的指引</t>
  </si>
  <si>
    <t>前低后高、分化加剧</t>
  </si>
  <si>
    <t>A股科技行业（主要包括电子、通信、计算机、半导体）的毛利率变化呈现出明显的“前低后高、分化加剧”的特征。2025 Q2 触底企稳 产业链去库存进入尾声，消费电子（AI PC/手机）拉动需求小幅回暖；2025 Q3 明显修复 AI 算力芯片、光模块大规模交付；国产替代进入“深水区”，高附加值产品占比提升；2025 Q4 环比扩张/季节性分化 年底政府及运营商集采放量；头部半导体代工厂利用率满载，溢价能力回升。</t>
  </si>
  <si>
    <t>半导体与算力：Q2 为 25% 左右，Q3-Q4 攀升至 30% - 35%。通信设备：维持在高位且持续改善，部分龙头（如光模块）毛利率在 Q3 冲破 40%。计算机软件与 IT 服务：Q2 仍受人员成本压力波动，Q4 随着“鸿蒙生态”和“数据要素”项目落地，毛利率环比提升约 3-5 个百分点。</t>
  </si>
  <si>
    <t>毛利率环比变化</t>
  </si>
  <si>
    <t>净利率：Q3 23%-24%,Q4 24.5%-25%,26Q1预计 24.8%-25.2%；
毛利率：Q3 64.2%,Q4 65.5%,26Q1预计65.5%-66.2%</t>
  </si>
  <si>
    <t>盈利增长动力： 根据 FactSet 的最新数据（2026 年 2 月底发布），分析师目前预计 2026 年 Q1 的盈利同比增长率约为 11.1%。虽然增速较 2025 年 Q4 的高基数略有放缓，但其利润率绝对值仍显著高于 10 年平均水平。
1.AI 投入与利润率的“拉锯”：
正面： 随着 2025 年部署的 AI 算力开始进入应用期，软件公司（如微软、ServiceNow、Adobe）的 AI 产品订阅收入开始贡献毛利。
负面： 纳斯达克 100 权重股在 2026 年的资本支出 (CapEx) 预计将继续维持在历史高位，折旧成本对营业利润率 (Operating Margin) 会产生约 100-150 个基点的潜在压力，这在一定程度上限制了净利率的爆发式增长。
2.行业表现分化：
半导体与 IT： 毛利率预计表现最强，特别是高性能计算（HPC）相关领域。
通信服务 (Meta, Google)： 广告业务利润率稳定，但在 AI 模型训练上的持续投入是主要的成本开支。</t>
  </si>
  <si>
    <t>营收同比增速的变化</t>
  </si>
  <si>
    <t>2025 Q3 (实测) ~12.2% AI 硬件需求井喷，半导体板块营收增速领跑大盘。
2025 Q4 (实测) ~13.0% 年末假日消费带动电商与广告业务，Mag-7 营收贡献显著。
2026 Q1 (预期) ~11.8% 增速小幅放缓。受高基数效应影响，虽然 AI 需求仍旺盛，但增速百分比面临挑战。</t>
  </si>
  <si>
    <t>营收与利润的“剪刀差”：虽然营收增速（~12%）略低于利润增速（预期 20% 左右），这说明科技公司在 2026 年将重点放在了降本增效和利润留存上。这对ROIC的提升非常有利。AI 投资的“变现期”：2026 Q1 是市场验证 AI 投入产出比的关键节点。市场目前给出的 11.8% 营收预期，隐含了对“AI 软件订阅”和“云算力消耗”能够持续接棒硬件增长的信心。对投资的指导：目前的趋势显示，科技股的增长广度在扩大（不再只靠英伟达）。如果 2026 Q1 的实际营收能超过 12%，配合毛利率的稳定，将极大地缓解市场对纳斯达克当前高估值（Forward P/E ~27x）的担忧。</t>
  </si>
  <si>
    <t>标普500的roic-wacc纳斯达克营收同比增长（过去连续两季度+未来一季度预期）</t>
  </si>
  <si>
    <t>ROIC（投入资本回报率）</t>
  </si>
  <si>
    <t>关注 ROIC - WACC 的正向差值的趋势</t>
  </si>
  <si>
    <t>预计ROIC，预计WACC，利差 (ROIC - WACC)：2025 Q3 (实测感官) ~13.5% ~5.0% ~8.5% 科技股驱动，利差处于高位。2025 Q4 (估算) ~13.8% ~4.8% ~9.0% 盈利季节性走强，成本微降。
2026 Q1 (预测) ~14.2% ~4.5% ~9.7%</t>
  </si>
  <si>
    <t>1.总量：近两个季度 (2025 Q3 - 2025 Q4)，标普 500 的利差保持了意外的韧性，主要得益于 ROIC 的高位稳定抵消了WACC下行缓慢 的压力。2.结构：利差开始从科技股向传统行业（如工业、材料）扩散。随着美国 GDP 增长超预期（约 2.5%），非科技企业的资本效率改善，标普 500 整体的 ROIC小幅扩张，抵消了当时二次通胀预期带来的融资成本波动。</t>
  </si>
  <si>
    <t>继续投资光模块和半导体设备</t>
  </si>
  <si>
    <r>
      <rPr>
        <sz val="11"/>
        <color theme="1"/>
        <rFont val="仿宋_GB2312"/>
        <charset val="134"/>
      </rPr>
      <t>ERP只能参考，但它已经从“买入指引”变成了“压力测试”工具。</t>
    </r>
    <r>
      <rPr>
        <b/>
        <sz val="11"/>
        <color theme="1"/>
        <rFont val="仿宋_GB2312"/>
        <charset val="134"/>
      </rPr>
      <t>如果 ERP 跌入负值且研发投入也在萎缩，那是真正的见顶信号。</t>
    </r>
    <r>
      <rPr>
        <sz val="11"/>
        <color theme="1"/>
        <rFont val="仿宋_GB2312"/>
        <charset val="134"/>
      </rPr>
      <t>如果 ERP 跌入负值但企业级 AI 渗透率才 15% 且毛利在扩张（如 2025 年末的现状），那这只意味着“旧世界的度量衡已无法衡量新世界的价值”。</t>
    </r>
  </si>
  <si>
    <t>标普500:10 年中位数约为 2.5% 至 3.0%，分位数约前 2%- 5%的历史极低区间。</t>
  </si>
  <si>
    <t>在过去 10 年中，只有在 2000 年互联网泡沫顶峰时期（超出 10 年周期范围）见过比这更极端的估值结构。现在的水平预示着，一旦美债收益率反弹或财报稍逊预期，纳斯达克将承受巨大的估值下杀压力。</t>
  </si>
  <si>
    <t>A股</t>
  </si>
  <si>
    <t xml:space="preserve">盈利上修动能 </t>
  </si>
  <si>
    <t>在AI爆发期，静态的 ERP 永远是落后的。</t>
  </si>
  <si>
    <t>观察分析师对未来 12 个月 EPS 的上修比例。只要上修斜率陡峭，高估值就是合理的。</t>
  </si>
  <si>
    <t>全 A 股平均水平： 目前处于 中性偏正向 区间。在经历过 2024-2025 年长达两年的下修周期后，2026 年初全市场 FY1 EPS 的上修比例首次回升至 45% - 52% 左右（即上调与下调人数基本持平）。</t>
  </si>
  <si>
    <t>持有： 上修比例 &gt; 60% 的科技龙头（享受高景气）。
配置： 上修比例从 30% 快速攀升至 50% 的中游制造（博取反转）。
规避： 上修比例持续低于 30% 的弱势地产链。</t>
  </si>
  <si>
    <t>保持a股科技板块配置比例</t>
  </si>
  <si>
    <t>高位整固、结构切换。1.强力上修：ai基建、网络安全、金融服务，如 MSFT, PLTR的 AI 订阅渗透率超预期，金融中降息周期下财富管理收入上修。2.下修：能源、地产、零售</t>
  </si>
  <si>
    <t>1.2026 全年预期： 目前市场一致预期 2026 年 EPS 增长约为 14.3% - 14.4%，高于 2025 年底预期的 12%。2.上修幅度： 在过去的 3 个月里（2025 Q4 至 2026 Q1），分析师将 2026 年的底部 EPS 预测调高了约 2.5%。这在历史同期属于非常积极的信号，因为通常季度初分析师往往会下调预期。3.结果，与 2024-2025 年主要依赖“科技七巨头 (Mag 7)”不同，2026 年的上修动能表现出明显的广度 (Breadth) 改善。</t>
  </si>
  <si>
    <t>美股做科技，但是要做ai基建和壁垒深的应用</t>
  </si>
  <si>
    <t>a股票</t>
  </si>
  <si>
    <t>股票实际业绩超过分析师预测</t>
  </si>
  <si>
    <t>衡量公司基本面是否超越“市场共识”的核心指标，衡量公司基本面是否超越“市场共识”的核心指标</t>
  </si>
  <si>
    <t xml:space="preserve"> 半导体硬件、cpo</t>
  </si>
  <si>
    <r>
      <rPr>
        <sz val="11"/>
        <color theme="1"/>
        <rFont val="仿宋_GB2312"/>
        <charset val="134"/>
      </rPr>
      <t>AI 硬件链（光模块、PCB）：</t>
    </r>
    <r>
      <rPr>
        <sz val="11"/>
        <color theme="1"/>
        <rFont val="仿宋_GB2312"/>
        <charset val="134"/>
      </rPr>
      <t xml:space="preserve"> 实际毛利率因规模效应提升得比预测快，盈余惊喜比例最高，普遍超过预测值 15% - 20%。</t>
    </r>
    <r>
      <rPr>
        <sz val="11"/>
        <color rgb="FFC00000"/>
        <rFont val="仿宋_GB2312"/>
        <charset val="134"/>
      </rPr>
      <t>出海制造（电网设备、工程机械）</t>
    </r>
    <r>
      <rPr>
        <sz val="11"/>
        <color theme="1"/>
        <rFont val="仿宋_GB2312"/>
        <charset val="134"/>
      </rPr>
      <t>： 海外高毛利订单的占比提升常被分析师低估，实际净利润往往带来惊喜。</t>
    </r>
    <r>
      <rPr>
        <sz val="11"/>
        <color rgb="FFC00000"/>
        <rFont val="仿宋_GB2312"/>
        <charset val="134"/>
      </rPr>
      <t>优质红利股（煤炭、公用事业）</t>
    </r>
    <r>
      <rPr>
        <sz val="11"/>
        <color theme="1"/>
        <rFont val="仿宋_GB2312"/>
        <charset val="134"/>
      </rPr>
      <t xml:space="preserve">： 实际分红能力和成本控制力强于预期，盈余惊喜主要体现在“分红超预期”和“管理费用下降”。4. 2026 年特别关注：PEAD 效应（盈余公告后的价格漂移）
在 A 股，盈余惊喜往往具有**“持续性”**。如果一家公司年报超预期，其股价往往不是一天涨完，而是在未来 1-3 个月内持续跑赢大盘。
</t>
    </r>
    <r>
      <rPr>
        <sz val="11"/>
        <color rgb="FFC00000"/>
        <rFont val="仿宋_GB2312"/>
        <charset val="134"/>
      </rPr>
      <t>目前最值得关注的 PEAD 候选板块：
半导体先进制程： 随着 2025 年 Q4 订单确认，2026 年一季报大概率继续延续盈余惊喜。</t>
    </r>
    <r>
      <rPr>
        <sz val="11"/>
        <color theme="1"/>
        <rFont val="仿宋_GB2312"/>
        <charset val="134"/>
      </rPr>
      <t xml:space="preserve">
跨境电商/物流： 在 2026 年全球消费复苏背景下，其运营效率的提升往往快于卖方模型的更新速度。</t>
    </r>
  </si>
  <si>
    <t>成长：半导体设备、cpo。出海：新能源和机械设备。价值：公用事业、煤炭。</t>
  </si>
  <si>
    <t>2025四季报：76% 的胜率</t>
  </si>
  <si>
    <t>盈余惊喜比例： 76% 的公司实际每股收益（EPS）超过了分析师的平均预测。行业分层：1.最强行业-工业：波音、GE Vernova。 实际盈利较预期高出 28.6%，主要受全球航空复苏和能源设备需求爆发驱动；2.普遍超过-通信技术，95% - 100% 的公司都超过了预期。3.表现承压-地产和能源仅有 47% 的公司盈利超预期。</t>
  </si>
  <si>
    <t>投资工业、半导体设备</t>
  </si>
  <si>
    <t>股票</t>
  </si>
  <si>
    <t>收入增长</t>
  </si>
  <si>
    <t>连续多个季度20%以上收入增速，毛利率现对不变（好生意保持30%以上）。</t>
  </si>
  <si>
    <t>连续5个季度收入超过20%，且毛利率不下滑</t>
  </si>
  <si>
    <t>行业板块 收入增速预期 平均毛利率 核心“好生意”逻辑
光模块 (CPO) 30% - 60% 32% - 38% 全球算力刚需，产品代差溢价
半导体设备 25% - 40% 38% - 45% 国产替代壁垒，存量订单支撑
医疗器械 (出海型) 20% - 25% 55% - 65% 品牌溢价，海外高毛利市场补偿</t>
  </si>
  <si>
    <t>光模块： 尽管生意好，但当前 PB 分位数可能已处于 60% 以上，需警惕预期过热。
半导体设备： 目前 PB 分位数处于近五年 30% - 40% 附近，性价比相对均衡。
医疗器械： 经过长时间调整，部分龙头 PB 分位数已降至 20% 以下，可能正处于“盈余惊喜”爆发的前夕。</t>
  </si>
  <si>
    <t>cpo、半导体设备、医疗设备出海的</t>
  </si>
  <si>
    <t>Citi Earnings Revision Index</t>
  </si>
  <si>
    <t>上修强度 = (过去 30 天上调 EPS 的分析师人数 - 下调人数) / 总人数</t>
  </si>
  <si>
    <t>指数 &gt; 0： 代表华尔街分析师整体在“追着股价跑”，盈利上修的速度快于下修，这是牛市最健康的驱动力。
指数 &lt; 0： 代表分析师在集体下调预期，通常预示着未来 1-2 个季度企业盈利将走弱。</t>
  </si>
  <si>
    <t>该指数目前处于 正值区间（约为 +5% 到 +8%）。这意味着上调每股收益（EPS）预期的分析师人数仍多于下调人数。</t>
  </si>
  <si>
    <t>趋势对比：
2025 Q3-Q4：指数曾一度冲高至 +15%，反映了市场对 AI 硬件订单的极度乐观。
2026 Q1 现状：指数开始回落但仍保持在 0 轴上方。这说明盈利增长的“最快爆发期”预期已经计入股价，现在进入了“验证期”。</t>
  </si>
  <si>
    <t>a股和美股都要投资</t>
  </si>
  <si>
    <t>Citi Economic Surprise Index</t>
  </si>
  <si>
    <t>CESI 衡量的是美国实际公布的经济数据（如 GDP、非农就业、CPI、PMI）与市场预期之间的差值。</t>
  </si>
  <si>
    <t>正值（Positive）：实际数据好于预期（代表经济超预期强劲）。
负值（Negative）：实际数据差于预期（代表经济开始放缓，或者预期过高导致“失望”）。重点是看cesi向上或向下的趋势。</t>
  </si>
  <si>
    <t>2026 Q1 当前状态：由“超额强劲”回归“平庸”截至 2026 年 3 月初，美股 CESI 指数正在经历一个“高位回落”的过程。当前数值：目前处于 +5到+15之间。</t>
  </si>
  <si>
    <t>CESI 是用来“校准预期”的。
如果 CESI 向上：说明现实比梦想更美好，继续持股。
如果 CESI 向下：说明梦想正在透支现实，尤其在 ERP（风险溢价） 如此之低的今天，这是非常明确的离场信号。</t>
  </si>
  <si>
    <t>现在的美国经济确实很硬，但这种“惊喜感”可能已经进入了下半场。</t>
  </si>
  <si>
    <t>全球股票</t>
  </si>
  <si>
    <t>第三方集合渠道：Global SWF (globalswf.com)、SWFI (Sovereign Wealth Fund Institute)、IFSWF (International Forum of Sovereign Wealth Funds)</t>
  </si>
  <si>
    <t>Global SWF：资产配置趋势 (Top-down) 监测全球主权基金对 US Equity（美股）的整体权重变化。如果它们在 ERP 极低时仍加仓，说明它们看好美国长期的全要素生产率（AI 驱动）；SWFI 具体交易记录 (Transaction) 追踪特定基金（如 PIF 或 Temasek）的个股买卖。这能帮你识别哪些高 ROIC 科技股 正在被长线“国家队”背书。IFSWF 合规与治理 (Governance) 了解主权基金的投资准则（如 ESG 要求）。这会影响标普 500 中能源和高碳排板块的长期资金流向。</t>
  </si>
  <si>
    <t>1.Global SWF2026 Q1：主权基金对 私人抵押贷款 (Private Credit) 和基础设施的投入创 3 年新高。它们正在寻找能对抗通胀且收益率高于5%的债权类工具，作为对冲美股估值下修的盾牌。
2.SWFI记录显示，中东基金（如 PIF）在 1-2 月增加了对标普 500中必需消费品和医疗保健板块大盘股的买入。典型的防守策略。这些板块在经济意外指数（CESI）下滑时更具韧性。
3.IFSWF会议纪要强调“地缘政治韧性”，基金开始增加实物资产（实物金、战略矿产）的储备。</t>
  </si>
  <si>
    <t>根据 Global SWF、SWFI 以及 2026 年初最新的资金流向监测，主权财富基金（SWF）从美股科技板块流出的资金，并没有消失，而是精准地投向了具有“高确定性”和“政策红利”的特定地区。包括：日本、印度、东南亚、中东本土</t>
  </si>
  <si>
    <t>主权撤退，对冲基金做etf交易盘，配置方向为哑铃型。</t>
  </si>
  <si>
    <t xml:space="preserve">纳斯达克100的现金流 PEG (FCF-based PEG)最推荐 </t>
  </si>
  <si>
    <t>PEG (FCF) =（P/FCF）/自由现金流预期增长。分母是未来 3-5 年自由现金流的复合年增长率（CAGR）。现金流 PEG（FCF-based PEG） 就是在看公司的“买入性价比”。</t>
  </si>
  <si>
    <t>在 AI 阈值 1.0 依然是金律：
&lt; 1.0：被低估。在 2026 年，这样的科技股屈指可数，一旦发现通常是“黄金坑”。
1.0 - 1.5：合理区间。
&gt; 2.0：警惕。除非公司正处于类似 2023 年英伟达那样的“爆发前夜”，否则极易出现估值回调。</t>
  </si>
  <si>
    <t>标普 500为~1.85；纳斯达克 100为~1.61</t>
  </si>
  <si>
    <t>目前纳斯达克的现金流 PEG 低于标普 500，说明虽然纳指更贵，但它的现金流增长斜率更陡，能更好地对冲高估值压力。</t>
  </si>
  <si>
    <t>纳斯达克的规则 40 修正 (Rule of 40 Adjusted PEG)</t>
  </si>
  <si>
    <t>PEG=（Forward P/S）/ (Revenue  Growth + Free Cash  Flow Margin)</t>
  </si>
  <si>
    <t>这种模型不再使用 EPS。它认为：高增长 + 高利润率 = 溢价合理。</t>
  </si>
  <si>
    <t>评分超过 40% 被视为优秀公司；在标普 500 中，只有约 15%-20% 的顶尖企业能长期维持在 40 以上。</t>
  </si>
  <si>
    <t>股息率</t>
  </si>
  <si>
    <t>股息率-10年国债收益率</t>
  </si>
  <si>
    <t>正向利差扩大。中证红利股息率约 5%以上，远超 10Y 国债收益率（约 2.0%）。</t>
  </si>
  <si>
    <t>真实股东收益率（Total Shareholder Yield）与国债的利差</t>
  </si>
  <si>
    <t>回购收益率+股息率-10年国债收益率</t>
  </si>
  <si>
    <t>这是一个非常硬核且深受价值投资机构（如 AQR、DFA 等量化巨头）青睐的指标。如果说 ROIC - WACC 衡量的是公司创造财富的能力，那么真实股东收益率（Total Shareholder Yield, TSY）衡量的就是公司分钱给你的诚意。将其与国债收益率做利差分析，是判断“股债性价比”最实战的工具之一。
利差为正且扩大（&gt; 2%）：极度安全区。意味着公司分给你的现金远超国债利息。
利差收窄或转负（&lt; 0%）：危险区。目前（2026 Q1）标普 500 的整体状态正趋于此。由于 10Y美债收益率在 4\% 附近，而很多高估值科技股的回购力度跟不上股价涨幅，利差正在被大幅压缩。</t>
  </si>
  <si>
    <t>标普500:1.股息率1.51%。净回购率：约1.8% - 2.1%，tsy合计 3.3% - 3.6%。10年美债约3.9%，差值-0.3%到-0.6%</t>
  </si>
  <si>
    <t>负向利差。 这意味着目前持有标普 500 拿到的现金回报（分红+回购），还不如持有无风险的 10 年期美债高。</t>
  </si>
  <si>
    <t>FORWARD PE band</t>
  </si>
  <si>
    <t>用未来1年的forward PE band</t>
  </si>
  <si>
    <t>可以结合盈利综合判断PE/PB位置</t>
  </si>
  <si>
    <t>沪深 300： Forward PE 为 11.7x，处于 12.5x 中枢下方，具备 10%-15% 的估值修复空间。 标普 500： Forward PE 为 22.2x，远超 17.5x 中枢，处于 +1.5 标准差附近，估值扩张空间有限，极其依赖盈利兑现。</t>
  </si>
  <si>
    <t>标普 500 的中枢 PE 过去几年不断上移，主要由于以下结构性原因：
科技股占比增加： “美股七巨头 (Magnificent 7)” 在指数中权重极高，这些高增长、高利润率公司的 PE 往往在 30x 以上，拉高了整体指数的平均值。
盈利预期强劲： 2025 年末，市场对 2026 年 AI 带来的盈利增长预期非常乐观（预计增速 &gt;13%），这在一定程度上支撑了当前较高的 PE 倍数。“标普 500 远期 PE 约为 22.5x，较 5 年中枢 (20.0x) 高出 12.5%，处于过去 10 年 90% 以上的分位点。这表明美股目前的上涨高度依赖盈利的持续爆发，估值扩张的空间已压缩至极限。”</t>
  </si>
  <si>
    <t>巴菲特指标</t>
  </si>
  <si>
    <t>股票总市值/gdp</t>
  </si>
  <si>
    <t>整体市场 timing：超过100% 时，市场可能过热。</t>
  </si>
  <si>
    <t>美股约 190% (极高)；A股约 60-70% (处于合理偏低区间)。</t>
  </si>
  <si>
    <t>局限性维度解释全球化溢出纳斯达克巨头（如 Apple, Nvidia）的营收来自全球，但分母 GDP 只计算美国本土，这自然会推高比例。轻资产化转型现代科技股依靠算法和品牌（无形资产）创造利润，不需要像传统工业那样依赖 GDP 投入，效率更高。低利率环境相比历史，现在的平均利率水平仍处于较低区间，这允许了更高的市值/GDP 比例存在。研发（R&amp;D）计费研发费用在 GDP 中被视为支出而非资产，但在股市中是核心估值逻辑，导致分子分母不对称。</t>
  </si>
  <si>
    <t>vix</t>
  </si>
  <si>
    <t>波动率指标</t>
  </si>
  <si>
    <t>vix在15是正常，高于30是买入时点,高于40是强买入</t>
  </si>
  <si>
    <t>当前约 14 - 16。处于相对平稳区间，市场对衰退担忧有所缓解。</t>
  </si>
  <si>
    <t>ISP（Institutional Sponsorship）</t>
  </si>
  <si>
    <t>过去4个季度13F持仓持续增加的机构家数。在美股市场中，ISP（Institutional Sponsorship，机构支持度/机构认同度） 是顶级交易员（如马克·米勒维尼、威廉·欧奈尔）最核心的选股指标之一。它反映了“大资金”是否正在坐轿子或抬轿子。由于美股是一个典型的机构市（机构持有流通市值约 80%），ISP 决定了股价上涨的持续性和强度。ISP不仅仅看机构“有没有”持仓，更看重“质量”和“趋势”。指标包括：持仓总数（Quantity），持有该股的基金数量是否在逐季增加？（欧奈尔 CANSLIM 中的 S 指的就是这个）；头狼效应（Quality）： 是否有顶级“领头羊”基金在其中？（如 Fidelity Magellan, T. Rowe Price 等）；筹码集中度（Concentration）： 前 10 大机构持仓占比。过高（&gt;90%）可能导致流动性枯竭后的剧震；过低（&lt;20%）则说明缺乏主流认可。</t>
  </si>
  <si>
    <t>ISP连续上升+股价新高→最强趋势股</t>
  </si>
  <si>
    <t>2025 年末美股 ISP 的典型特征。① 极度拥挤的“AI 抱团”2025 年末，美股 ISP 呈现出前所未有的结构性极化。
Mag 7 (七巨头) 的 ISP： 基金经理的配置几乎达到“强迫性持有”的地步。数据显示，95% 以上的成长型基金都持有了 Nvidia 和 Microsoft。
警告信号： 这种极高 ISP 意味着“潜在买家已全部入场”，一旦业绩略不及预期，机构为了锁定年度收益会触发集体“踩踏”。② 正在上升的“防御性 ISP”
受 2025 年下半年高利率和关税不确定性影响，机构资金开始向低波动、高现金流行业转移。医疗保健与公用事业： 这些板块的基金持仓数量在 2025 年 Q3-Q4 出现明显斜率上升。</t>
  </si>
  <si>
    <t>1. AI 基础设施与定制化芯片 (AI Infrastructure &amp; Custom ASICs)
这是目前 ISP 浓度最高且增长最持久的领域。机构认为通用 GPU 后的下一波浪潮是大型云厂商的自研芯片。2. 核能与数据中心电力 (Nuclear Energy &amp; Data Center Power)
由于 AI 数据中心对电力需求的近乎疯狂，机构资金正在大规模涌入清洁能源，尤其是核能板块。3. 网络安全 (Cybersecurity - AI Integrated)
随着生成式 AI 带来的网络攻击复杂化，网络安全已从“可选配置”变为“强制基建”。4. 肥胖症与代谢药物 (Obesity &amp; Metabolic Drugs)
GLP-1 类药物的市场渗透率在 2025 年继续超预期，机构对该行业的偏好已从“短期投机”转向“长期配置”。</t>
  </si>
  <si>
    <t>ISP动态观察顶背离点</t>
  </si>
  <si>
    <t>机构持仓总数 (Count of Holders) 与 股价的背离。如果股价近3月涨幅 &gt; 10%且ISP 机构数量变动 &lt; -2% 结论： “高危派发区”。</t>
  </si>
  <si>
    <t>aapl、tsl、pltr</t>
  </si>
  <si>
    <t>ISP动态观察底背离点</t>
  </si>
  <si>
    <t>需要结合以下指标鉴别是否是真吸筹。成交量 (Volume)： 下跌时成交量萎缩，而反弹时成交量放大，配合 ISP 增加，说明是真吸筹。
内部人购买 (Insider Buying)： 如果公司高管也在同步买入，信号极强。</t>
  </si>
  <si>
    <t>amat asml</t>
  </si>
  <si>
    <t>根据最新的市场监测和 2025 年末的机构头寸报告，ASML（阿斯麦） 和 AMAT（应用材料） 在最近两个季度的股价走势和 ISP（机构支持度）变动，完美诠释了“机构吸筹”后的暴力反弹逻辑。虽然你提到的“涨幅大”可能体现在 11 月至 12 月的回升中，但这两家公司在 2025 年 Q3 曾因出口限制预期出现过深度回调。以下是支撑它们近期股价强势爆发的三个核心驱动力：1. 估值修复与“错杀”后的机构吸筹正如我们在 ISP 分析中提到的，ASML 和 AMAT 在 2025 年 Q3 经历了一次“压力测试”。ASML： 此前因 2026 年指引不确定和中国市场需求缩减，股价一度跌至机构认为的“极具吸引力”区间（Forward PE 回落至历史中枢以下）。最近两个季度，顶级长线基金（如 Capital Group）开始逢低大举回补仓位，认为其在 EUV（极紫外光刻） 领域的垄断地位是 AI 长期基建的必经之路。AMAT： 机构看重其在 GAA（全环绕栅极） 和 先进封装 领域的设备领先地位。随着 2nm 芯片量产节点在 2026 年临近，机构提前在 Q4 布局，推动了股价的“抢跑”。2. 核心催化剂：2026 年的“订单复苏”共识市场在最近两个季度形成了一个共识：2025 年是半导体设备的“过渡年”，而 2026 年将是爆发年。ASML： 尽管公司对 2025 年给出了保守预期，但其 Q4 订单量（Bookings） 超预期回升。机构资金（ISP）增加是因为看到了 2026 年 logic（逻辑芯片）和 DRAM（内存）大厂扩产的确定性。AMAT： 公司通过价格重组计划成功提升了毛利率。机构在 Q4 看到其财报中 EPS（每股收益）连续击败预期，且 2026 年的增长指引被分析师集体上调，触发了算法交易和主动基金的集体共振买入。3. AI 硬件需求的结构性扩散资金正从“光买 Nvidia（算力）”向“买设备（铲子）”转移。机构发现，AI 芯片的迭代速度（如 Nvidia 的 Blackwell 架构）对半导体制造设备的精度和材料工程提出了更高要求。AMAT 的 Sym3 Magnum 刻蚀系统和 ASML 的 High-NA EUV 设备，成为了机构眼中的“高确定性资产”。📊 结合您的 Sheet1 数据建议：在您的 “数据v4.xlsx” 中，可以为这两家公司补充以下逻辑：公司ISP 状态关键指标变动备注/判断ASML吸筹后爆发Q4 订单量回升 + 机构持仓总数转正2025 年 Q3 的大跌是典型的“黄金坑”，机构在 10-11 月完成筹码收集。AMAT高位突破毛利率提升 + 2026 盈利预期上调股价涨幅大是因为此前机构仓位偏低，属于“补涨型抱团”。总结：ASML 和 AMAT 的大涨不是因为“现在”卖了多少机器，而是因为机构通过 ERP 和 ISP 数据 确认了 2026 年的半导体大周期不可阻挡。您是否需要我调取这两家公司最近 3 个月的“空头平仓数据（Short Covering）”？ 如果股价大涨伴随着空头大量平仓，说明这一波上涨的动力还未消耗完。</t>
  </si>
  <si>
    <t>如果 亨斯迈 &lt; 60 天： 意味着其下游（如波音、空客的航空复材或汽车市场）已完成去库存，这将是其股价**“主升浪”**的开始。杜邦 (DuPont, DD)：高质量的稳步上修
杜邦的 EPS 趋势图呈现出一种**“高斜率且平滑”**的态势。
趋势特点： 过去 3 个月，分析师不断调高其 2026 年的盈利预期。这主要归功于其半导体材料业务（如 High-NA EUV 关联材料）的订单可见度大幅提高。
市场逻辑： 机构认为杜邦的盈利增长具有高“确定性”。由于它正处于拆分期，管理层有极强的动力通过削减成本（预计每年节省 1.5 亿美元）来推高 EPS。
股价映射： 这种盈利上修趋势通常会形成股价的稳固底部。</t>
  </si>
  <si>
    <t>个人投资者是极致反向指标</t>
  </si>
  <si>
    <t>55%以上过热； 45-50%仍有空间； 38-45%中性偏强； 30-38%保持仓位但要关注下跌； 30%以下是恐慌性底部可加仓； 25%是历史级别大底</t>
  </si>
  <si>
    <t>2026.02.26 - 2026.03.02
净看多比例 (看多-看空) 为22.5% ，历史6.5%</t>
  </si>
  <si>
    <t>历史规律：当“净看多比例”持续超过 +20% 且维持数周时，通常预示着市场短期内已经严重超买。</t>
  </si>
  <si>
    <t>Market Vane 主要追踪期货交易员、投顾（CTA）和机构专业人士的情绪</t>
  </si>
  <si>
    <t>当前看涨共识指数：约 72% - 74%
历史均值：约 55% - 60%
信号区域：极度贪婪（Extreme Optimism）</t>
  </si>
  <si>
    <t>在Market Vane 的体系中，当指数超过 70% 时，通常被视为市场已经“充分定价”了所有利好。反向指标效应：历史上，当 Market Vane 连续数周维持在 70% 以上，标普 500 指数在未来 4-8 周内出现中等级别回调-5%的概率高达 75%。</t>
  </si>
  <si>
    <t>CROCI</t>
  </si>
  <si>
    <t>Cash Return on Capital Invested（现金经济回报率）</t>
  </si>
  <si>
    <t>传统P/E的局限容易受到不同会计准则、折旧摊销政策、一次性非现金费用等影响，导致跨行业、跨国公司之间的可比性较差。CROCI基于现金流计算，剥离了非现金费用和会计主观性的影响，让不同公司和行业（例如，资本密集型行业和轻资产行业）能够在一个统一的经济标准下进行比较。是最靠谱的跨行业比较指标，通常&gt;15%为优秀</t>
  </si>
  <si>
    <t>含义</t>
  </si>
  <si>
    <t>判断</t>
  </si>
  <si>
    <t>备注</t>
  </si>
  <si>
    <t>融资余额/流通市值（融资占比）</t>
  </si>
  <si>
    <t>&lt;3%：极低，筹码最干净
3%-6%：正常
8%-12%：偏高，注意
&gt;15%：严重高杠，危险区（历史爆仓多在此区间）</t>
  </si>
  <si>
    <t>融资买入额/成交额（融资参与度）</t>
  </si>
  <si>
    <t>当日融资买入 ÷ 总成交额</t>
  </si>
  <si>
    <t>&gt;30%：融资主导，情绪过热
&gt;50%：极端，通常是最后一冲</t>
  </si>
  <si>
    <t>aaii情绪指标（美国个人投资者协会）</t>
  </si>
  <si>
    <t>反映的是散户对未来六个月走势的看法。看涨 &gt; 50%：警惕市场过热（中短期顶部风险）。
看跌 &gt; 50%：极度恐慌（历史上多次对应大盘阶段性底部）。</t>
  </si>
  <si>
    <t>Market Vane 看涨共识（专业人士与期货市场的“共识”）</t>
  </si>
  <si>
    <t>准确性逻辑：它更侧重于“聪明钱”和期货市场。它追踪的是分析师的买入建议。
实战阈值：
看涨共识 &gt; 70%-80%：市场处于极度乐观（超买区），通常预示趋势即将逆转。
看涨共识 &lt; 30%：市场极度悲观（超卖区），是潜在的买入机会。</t>
  </si>
  <si>
    <t>投资者通过经纪商借款购买证券（即融资买入）的总金额。这个数据通常由金融业监管局（FINRA）每月公布。</t>
  </si>
  <si>
    <t>保证金债务的绝对值和其占总市值的比例是衡量市场泡沫和潜在抛售压力的重要指标。</t>
  </si>
  <si>
    <t>根据 FINRA 和纽交所（NYSE）的最新月度数据汇总：
当前保证金债务总额：约 $9,200 亿 - $9,500 亿美元（接近 2021 年的历史峰值）。
保证金债务 / 总市值 比例：目前约为 1.4% - 1.6%。
10 年分位水平：处于 前 10% 的高位。</t>
  </si>
  <si>
    <r>
      <rPr>
        <sz val="11"/>
        <color theme="1"/>
        <rFont val="仿宋_GB2312"/>
        <charset val="134"/>
      </rPr>
      <t xml:space="preserve">目前（2026 Q1）保证金债务/市值指标正在发出“过度挤压”的警示。 市场现在的繁荣有一部分是靠“借来的钱”撑起的。
历史崩盘的前兆：指标的“掉头”
</t>
    </r>
    <r>
      <rPr>
        <b/>
        <sz val="11"/>
        <color theme="1"/>
        <rFont val="仿宋_GB2312"/>
        <charset val="134"/>
      </rPr>
      <t>历史证明，危险不在于保证金债务有多高，而在于它停止增长并开始萎缩的时刻：</t>
    </r>
    <r>
      <rPr>
        <sz val="11"/>
        <color theme="1"/>
        <rFont val="仿宋_GB2312"/>
        <charset val="134"/>
      </rPr>
      <t xml:space="preserve">
2000 年 &amp; 2008 年 &amp; 2022 年：在股市见顶前的 1-3 个月，保证金债务通常会先于大盘见顶并掉头向下。
2026 年 3 月信号：目前该指标的增长斜率已经开始平缓。如果下个月公布的数据出现显著下降，那将是确凿无疑的见顶信号。</t>
    </r>
  </si>
  <si>
    <t>存放在美联储的美国财政部账户余额。这本质上是政府的“支票账户”。</t>
  </si>
  <si>
    <r>
      <rPr>
        <sz val="11"/>
        <color theme="1"/>
        <rFont val="仿宋_GB2312"/>
        <charset val="134"/>
      </rPr>
      <t xml:space="preserve">TGA 下降： 当财政部支出或发行国债时，资金从 TGA 流入市场，增加了银行系统的准备金，从而提高了市场流动性。这通常被视为利好股市。
TGA 上升： 财政部通过税收或大规模发债吸收市场资金，减少了银行系统的准备金，降低了流动性。
</t>
    </r>
    <r>
      <rPr>
        <sz val="11"/>
        <color rgb="FFC00000"/>
        <rFont val="仿宋_GB2312"/>
        <charset val="134"/>
      </rPr>
      <t>美联储资产负债表规模 - TGA - RRP = 银行准备金（股市的燃料），后果：这会导致你关注的 保证金债务（Margin Debt） 成本上升，引发多头撤退。</t>
    </r>
  </si>
  <si>
    <t>约 $7,800 亿 - $8,200 亿美元。战术回避：在 3 月中旬到 4 月中旬（税收回笼期），TGA 余额通常会显著飙升，这往往是美股一年中流动性最枯竭的时刻。</t>
  </si>
  <si>
    <t>RRP 已近枯竭：2024-2025 年 RRP 的大幅下降曾释放了大量流动性对冲了加息压力。但到 2026 年初，RRP 剩余规模已不多。
TGA 正在吸血：如果 TGA 为了应对 2026 年的财政支出计划而继续抽水，而 RRP 已经无钱可补，那么银行准备金将直接下降。
后果：这会导致你关注的 保证金债务（Margin Debt） 成本上升，引发多头撤退。</t>
  </si>
  <si>
    <t>利率基差SOFR-OIS 基差</t>
  </si>
  <si>
    <t>Libor/SOFR-OIS 基差（或类似的企业间拆借利率与无风险利率的差值）。</t>
  </si>
  <si>
    <t>传导链条：基差升-企业短期融资成本上升-估值下修 -股市下跌。
基差扩大 (Spreads Widen)： 表明银行和其他金融机构之间不愿互相借贷，或者对交易对手的信用风险感到担忧。这通常是系统性流动性紧张或信贷压力的早期信号。
基差收窄： 表明银行间融资市场运作良好，流动性充足。</t>
  </si>
  <si>
    <t>2月底-3月初，基差20bp左右，较1-2月扩大10bp</t>
  </si>
  <si>
    <t>过去一个月基差的走阔，印证了你之前关注的 TGA 账户回升正在产生实际影响。如果基差突破 25 bp，通常意味着美联储必须考虑放缓缩表（QT），否则股市将面临流动性引发的“闪崩”。</t>
  </si>
  <si>
    <t>标普500的CARRY TO RISK RITIO</t>
  </si>
  <si>
    <t>CTR=年化利率差/预期波动率（通常用usd/jpy的隐含波动率）。Carry（分子）：你持有股票的“净收益”，即盈利收益率加上分红，减去借贷成本（或无风险利率）。
Risk（分母）：市场的预期波动率。</t>
  </si>
  <si>
    <t>越高表明每单位风险的预期收益率越高，carry trade越诱人。历史上，ctr&gt;0.5-1时极具吸引力。0.4 - 0.6持有，CTR 数值交易员行为对美股的影响&gt; 0.6疯狂加杠杆廉价日元涌入美股，推动纳斯达克上涨。0.4 - 0.6稳定持有资金流平稳，而&lt; 0.3卖出。而ctr低意味着carry trade吸引力减低，可能导致资金从美股流出，增加美股波动性。</t>
  </si>
  <si>
    <r>
      <rPr>
        <sz val="11"/>
        <color theme="1"/>
        <rFont val="仿宋_GB2312"/>
        <charset val="134"/>
      </rPr>
      <t>美联储基准利率：~5.25%日本央行（BoJ）加息后利率：~0.75%（2026 年 2 月底刚加息）利差（分子）：5.25% - 0.75% = 4.50%。预期波动率 (USD/JPY 1-Month Implied Volatility)：受日本央行鹰派表态及中东局势影响，美日隐含波动率已飙升至 15.8%。</t>
    </r>
    <r>
      <rPr>
        <b/>
        <sz val="11"/>
        <color theme="1"/>
        <rFont val="仿宋_GB2312"/>
        <charset val="134"/>
      </rPr>
      <t>ctr结果0.28</t>
    </r>
  </si>
  <si>
    <t>投资者承担每单位风险所获得的补偿正在迅速减少。目前的 0.28 是一个典型的“崩盘前夜”数值。
红色警报：如果 USD/JPY 跌破 142（日元升值），且隐含波动率突破 18%，CTR 将跌破 0.25。历史上，这通常伴随着纳斯达克 3% - 5% 的单日大阴线。
避险建议：在 CTR 低于 0.3 期间，应避开高贝塔（High Beta）的半导体和 AI 板块，因为它们是日元套利资金最集中的地方。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</si>
</sst>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仿宋_GB2312"/>
      <charset val="134"/>
    </font>
    <font>
      <sz val="11"/>
      <color rgb="FFFF0000"/>
      <name val="宋体"/>
      <charset val="134"/>
      <scheme val="minor"/>
    </font>
    <font>
      <b/>
      <sz val="11"/>
      <color theme="1"/>
      <name val="仿宋_GB2312"/>
      <charset val="134"/>
    </font>
    <font>
      <sz val="11"/>
      <color rgb="FFC00000"/>
      <name val="仿宋_GB2312"/>
      <charset val="134"/>
    </font>
    <font>
      <sz val="11"/>
      <color rgb="FFFF0000"/>
      <name val="仿宋_GB2312"/>
      <charset val="134"/>
    </font>
    <font>
      <sz val="11"/>
      <color rgb="FFC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2" tint="-0.25"/>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5" borderId="9" applyNumberFormat="0" applyAlignment="0" applyProtection="0">
      <alignment vertical="center"/>
    </xf>
    <xf numFmtId="0" fontId="16" fillId="6" borderId="10" applyNumberFormat="0" applyAlignment="0" applyProtection="0">
      <alignment vertical="center"/>
    </xf>
    <xf numFmtId="0" fontId="17" fillId="6" borderId="9" applyNumberFormat="0" applyAlignment="0" applyProtection="0">
      <alignment vertical="center"/>
    </xf>
    <xf numFmtId="0" fontId="18" fillId="7"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3">
    <xf numFmtId="0" fontId="0" fillId="0" borderId="0" xfId="0">
      <alignment vertical="center"/>
    </xf>
    <xf numFmtId="0" fontId="0" fillId="0" borderId="0" xfId="0" applyFill="1" applyAlignment="1">
      <alignment vertical="center" wrapText="1"/>
    </xf>
    <xf numFmtId="0" fontId="1" fillId="0" borderId="1" xfId="0" applyFont="1" applyFill="1" applyBorder="1" applyAlignment="1">
      <alignment vertical="center" wrapText="1"/>
    </xf>
    <xf numFmtId="0" fontId="2" fillId="0" borderId="0" xfId="0" applyFont="1" applyFill="1" applyAlignment="1">
      <alignment vertical="center" wrapText="1"/>
    </xf>
    <xf numFmtId="0" fontId="0" fillId="0" borderId="0" xfId="0" applyFont="1" applyFill="1" applyAlignment="1">
      <alignment vertical="center" wrapText="1"/>
    </xf>
    <xf numFmtId="0" fontId="0" fillId="0" borderId="0" xfId="0" applyFill="1" applyBorder="1" applyAlignment="1">
      <alignment vertical="center" wrapText="1"/>
    </xf>
    <xf numFmtId="0" fontId="0" fillId="0" borderId="1" xfId="0" applyFill="1" applyBorder="1" applyAlignment="1">
      <alignment vertical="center" wrapText="1"/>
    </xf>
    <xf numFmtId="0" fontId="3" fillId="2" borderId="1" xfId="0" applyFont="1" applyFill="1" applyBorder="1" applyAlignment="1">
      <alignment vertical="center" wrapText="1"/>
    </xf>
    <xf numFmtId="0" fontId="4" fillId="0" borderId="1" xfId="0" applyFont="1" applyFill="1" applyBorder="1" applyAlignment="1">
      <alignment vertical="center" wrapText="1"/>
    </xf>
    <xf numFmtId="0" fontId="5" fillId="0" borderId="1" xfId="0" applyFont="1" applyFill="1" applyBorder="1"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0" fillId="0" borderId="0" xfId="0" applyAlignment="1">
      <alignment vertical="center" wrapText="1"/>
    </xf>
    <xf numFmtId="0" fontId="0" fillId="0" borderId="1" xfId="0" applyFont="1" applyBorder="1" applyAlignment="1">
      <alignment vertical="center" wrapText="1"/>
    </xf>
    <xf numFmtId="0" fontId="6" fillId="3" borderId="1" xfId="0" applyFont="1" applyFill="1" applyBorder="1">
      <alignment vertical="center"/>
    </xf>
    <xf numFmtId="0" fontId="0" fillId="3" borderId="1" xfId="0" applyFill="1" applyBorder="1">
      <alignment vertical="center"/>
    </xf>
    <xf numFmtId="0" fontId="0" fillId="0" borderId="1" xfId="0" applyFill="1" applyBorder="1" applyAlignment="1">
      <alignment horizontal="center" vertical="center"/>
    </xf>
    <xf numFmtId="0" fontId="0" fillId="0" borderId="2" xfId="0" applyBorder="1" applyAlignment="1">
      <alignment vertical="center" wrapText="1"/>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274320</xdr:colOff>
      <xdr:row>9</xdr:row>
      <xdr:rowOff>0</xdr:rowOff>
    </xdr:from>
    <xdr:to>
      <xdr:col>14</xdr:col>
      <xdr:colOff>241300</xdr:colOff>
      <xdr:row>16</xdr:row>
      <xdr:rowOff>139700</xdr:rowOff>
    </xdr:to>
    <xdr:pic>
      <xdr:nvPicPr>
        <xdr:cNvPr id="2" name="图片 1"/>
        <xdr:cNvPicPr>
          <a:picLocks noChangeAspect="1"/>
        </xdr:cNvPicPr>
      </xdr:nvPicPr>
      <xdr:blipFill>
        <a:blip r:embed="rId1"/>
        <a:stretch>
          <a:fillRect/>
        </a:stretch>
      </xdr:blipFill>
      <xdr:spPr>
        <a:xfrm>
          <a:off x="24944070" y="6400800"/>
          <a:ext cx="9009380" cy="361442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
  <sheetViews>
    <sheetView tabSelected="1" zoomScale="81" zoomScaleNormal="81" topLeftCell="A31" workbookViewId="0">
      <selection activeCell="E5" sqref="E5"/>
    </sheetView>
  </sheetViews>
  <sheetFormatPr defaultColWidth="9.23148148148148" defaultRowHeight="14.4" outlineLevelCol="5"/>
  <cols>
    <col min="1" max="1" width="19.7037037037037" customWidth="1"/>
    <col min="2" max="2" width="34.6111111111111" customWidth="1"/>
    <col min="3" max="3" width="38" customWidth="1"/>
    <col min="4" max="4" width="55.1296296296296" customWidth="1"/>
    <col min="5" max="5" width="27.0925925925926" customWidth="1"/>
    <col min="6" max="6" width="15.8240740740741" customWidth="1"/>
  </cols>
  <sheetData>
    <row r="1" spans="1:6">
      <c r="A1" s="14" t="s">
        <v>0</v>
      </c>
      <c r="B1" s="15" t="s">
        <v>1</v>
      </c>
      <c r="C1" s="15" t="s">
        <v>2</v>
      </c>
      <c r="D1" s="15" t="s">
        <v>3</v>
      </c>
      <c r="E1" s="15" t="s">
        <v>4</v>
      </c>
      <c r="F1" s="15" t="s">
        <v>5</v>
      </c>
    </row>
    <row r="2" ht="244.8" spans="1:6">
      <c r="A2" s="16" t="s">
        <v>6</v>
      </c>
      <c r="B2" s="17" t="s">
        <v>7</v>
      </c>
      <c r="C2" s="10" t="str">
        <f>股票估值和盈利!E6</f>
        <v>净利率：Q3 23%-24%,Q4 24.5%-25%,26Q1预计 24.8%-25.2%；
毛利率：Q3 64.2%,Q4 65.5%,26Q1预计65.5%-66.2%</v>
      </c>
      <c r="D2" s="10" t="str">
        <f>股票估值和盈利!F6</f>
        <v>盈利增长动力： 根据 FactSet 的最新数据（2026 年 2 月底发布），分析师目前预计 2026 年 Q1 的盈利同比增长率约为 11.1%。虽然增速较 2025 年 Q4 的高基数略有放缓，但其利润率绝对值仍显著高于 10 年平均水平。
1.AI 投入与利润率的“拉锯”：
正面： 随着 2025 年部署的 AI 算力开始进入应用期，软件公司（如微软、ServiceNow、Adobe）的 AI 产品订阅收入开始贡献毛利。
负面： 纳斯达克 100 权重股在 2026 年的资本支出 (CapEx) 预计将继续维持在历史高位，折旧成本对营业利润率 (Operating Margin) 会产生约 100-150 个基点的潜在压力，这在一定程度上限制了净利率的爆发式增长。
2.行业表现分化：
半导体与 IT： 毛利率预计表现最强，特别是高性能计算（HPC）相关领域。
通信服务 (Meta, Google)： 广告业务利润率稳定，但在 AI 模型训练上的持续投入是主要的成本开支。</v>
      </c>
      <c r="E2" s="10" t="s">
        <v>8</v>
      </c>
      <c r="F2" s="10" t="s">
        <v>9</v>
      </c>
    </row>
    <row r="3" ht="100.8" spans="1:6">
      <c r="A3" s="16"/>
      <c r="B3" s="17" t="s">
        <v>10</v>
      </c>
      <c r="C3" s="10" t="str">
        <f>股票估值和盈利!E11</f>
        <v>高位整固、结构切换。1.强力上修：ai基建、网络安全、金融服务，如 MSFT, PLTR的 AI 订阅渗透率超预期，金融中降息周期下财富管理收入上修。2.下修：能源、地产、零售</v>
      </c>
      <c r="D3" s="10" t="str">
        <f>股票估值和盈利!F11</f>
        <v>1.2026 全年预期： 目前市场一致预期 2026 年 EPS 增长约为 14.3% - 14.4%，高于 2025 年底预期的 12%。2.上修幅度： 在过去的 3 个月里（2025 Q4 至 2026 Q1），分析师将 2026 年的底部 EPS 预测调高了约 2.5%。这在历史同期属于非常积极的信号，因为通常季度初分析师往往会下调预期。3.结果，与 2024-2025 年主要依赖“科技七巨头 (Mag 7)”不同，2026 年的上修动能表现出明显的广度 (Breadth) 改善。</v>
      </c>
      <c r="E3" s="10" t="s">
        <v>11</v>
      </c>
      <c r="F3" s="10" t="s">
        <v>9</v>
      </c>
    </row>
    <row r="4" ht="86.4" spans="1:6">
      <c r="A4" s="16"/>
      <c r="B4" s="17" t="s">
        <v>12</v>
      </c>
      <c r="C4" s="10" t="str">
        <f>股票估值和盈利!E13</f>
        <v>2025四季报：76% 的胜率</v>
      </c>
      <c r="D4" s="10" t="str">
        <f>股票估值和盈利!F13</f>
        <v>盈余惊喜比例： 76% 的公司实际每股收益（EPS）超过了分析师的平均预测。行业分层：1.最强行业-工业：波音、GE Vernova。 实际盈利较预期高出 28.6%，主要受全球航空复苏和能源设备需求爆发驱动；2.普遍超过-通信技术，95% - 100% 的公司都超过了预期。3.表现承压-地产和能源仅有 47% 的公司盈利超预期。</v>
      </c>
      <c r="E4" s="10" t="s">
        <v>13</v>
      </c>
      <c r="F4" s="10" t="s">
        <v>9</v>
      </c>
    </row>
    <row r="5" ht="86.4" spans="1:6">
      <c r="A5" s="16"/>
      <c r="B5" s="17" t="s">
        <v>14</v>
      </c>
      <c r="C5" s="10" t="str">
        <f>股票估值和盈利!E8</f>
        <v>预计ROIC，预计WACC，利差 (ROIC - WACC)：2025 Q3 (实测感官) ~13.5% ~5.0% ~8.5% 科技股驱动，利差处于高位。2025 Q4 (估算) ~13.8% ~4.8% ~9.0% 盈利季节性走强，成本微降。
2026 Q1 (预测) ~14.2% ~4.5% ~9.7%</v>
      </c>
      <c r="D5" s="10" t="str">
        <f>股票估值和盈利!F8</f>
        <v>1.总量：近两个季度 (2025 Q3 - 2025 Q4)，标普 500 的利差保持了意外的韧性，主要得益于 ROIC 的高位稳定抵消了WACC下行缓慢 的压力。2.结构：利差开始从科技股向传统行业（如工业、材料）扩散。随着美国 GDP 增长超预期（约 2.5%），非科技企业的资本效率改善，标普 500 整体的 ROIC小幅扩张，抵消了当时二次通胀预期带来的融资成本波动。</v>
      </c>
      <c r="E5" s="10" t="s">
        <v>15</v>
      </c>
      <c r="F5" s="10" t="s">
        <v>9</v>
      </c>
    </row>
    <row r="6" ht="115.2" spans="1:6">
      <c r="A6" s="16"/>
      <c r="B6" s="17" t="s">
        <v>16</v>
      </c>
      <c r="C6" s="10" t="str">
        <f>股票估值和盈利!E7</f>
        <v>2025 Q3 (实测) ~12.2% AI 硬件需求井喷，半导体板块营收增速领跑大盘。
2025 Q4 (实测) ~13.0% 年末假日消费带动电商与广告业务，Mag-7 营收贡献显著。
2026 Q1 (预期) ~11.8% 增速小幅放缓。受高基数效应影响，虽然 AI 需求仍旺盛，但增速百分比面临挑战。</v>
      </c>
      <c r="D6" s="10" t="str">
        <f>股票估值和盈利!F8</f>
        <v>1.总量：近两个季度 (2025 Q3 - 2025 Q4)，标普 500 的利差保持了意外的韧性，主要得益于 ROIC 的高位稳定抵消了WACC下行缓慢 的压力。2.结构：利差开始从科技股向传统行业（如工业、材料）扩散。随着美国 GDP 增长超预期（约 2.5%），非科技企业的资本效率改善，标普 500 整体的 ROIC小幅扩张，抵消了当时二次通胀预期带来的融资成本波动。</v>
      </c>
      <c r="E6" s="10" t="s">
        <v>17</v>
      </c>
      <c r="F6" s="10" t="s">
        <v>18</v>
      </c>
    </row>
    <row r="7" ht="57.6" spans="1:6">
      <c r="A7" s="16"/>
      <c r="B7" s="17" t="s">
        <v>19</v>
      </c>
      <c r="C7" s="10" t="str">
        <f>股票估值和盈利!E9</f>
        <v>标普500:10 年中位数约为 2.5% 至 3.0%，分位数约前 2%- 5%的历史极低区间。</v>
      </c>
      <c r="D7" s="10" t="str">
        <f>股票估值和盈利!F9</f>
        <v>在过去 10 年中，只有在 2000 年互联网泡沫顶峰时期（超出 10 年周期范围）见过比这更极端的估值结构。现在的水平预示着，一旦美债收益率反弹或财报稍逊预期，纳斯达克将承受巨大的估值下杀压力。</v>
      </c>
      <c r="E7" s="10" t="s">
        <v>20</v>
      </c>
      <c r="F7" s="10" t="s">
        <v>21</v>
      </c>
    </row>
    <row r="8" ht="86.4" spans="1:6">
      <c r="A8" s="16"/>
      <c r="B8" s="17" t="s">
        <v>22</v>
      </c>
      <c r="C8" s="10" t="str">
        <f>股票估值和盈利!E15</f>
        <v>该指数目前处于 正值区间（约为 +5% 到 +8%）。这意味着上调每股收益（EPS）预期的分析师人数仍多于下调人数。</v>
      </c>
      <c r="D8" s="10" t="str">
        <f>股票估值和盈利!F15</f>
        <v>趋势对比：
2025 Q3-Q4：指数曾一度冲高至 +15%，反映了市场对 AI 硬件订单的极度乐观。
2026 Q1 现状：指数开始回落但仍保持在 0 轴上方。这说明盈利增长的“最快爆发期”预期已经计入股价，现在进入了“验证期”。</v>
      </c>
      <c r="E8" s="10" t="s">
        <v>23</v>
      </c>
      <c r="F8" s="10" t="s">
        <v>18</v>
      </c>
    </row>
    <row r="9" ht="57.6" spans="1:6">
      <c r="A9" s="16"/>
      <c r="B9" s="17" t="s">
        <v>24</v>
      </c>
      <c r="C9" s="10" t="str">
        <f>股票估值和盈利!E16</f>
        <v>2026 Q1 当前状态：由“超额强劲”回归“平庸”截至 2026 年 3 月初，美股 CESI 指数正在经历一个“高位回落”的过程。当前数值：目前处于 +5到+15之间。</v>
      </c>
      <c r="D9" s="10" t="str">
        <f>股票估值和盈利!F16</f>
        <v>CESI 是用来“校准预期”的。
如果 CESI 向上：说明现实比梦想更美好，继续持股。
如果 CESI 向下：说明梦想正在透支现实，尤其在 ERP（风险溢价） 如此之低的今天，这是非常明确的离场信号。</v>
      </c>
      <c r="E9" s="10" t="s">
        <v>25</v>
      </c>
      <c r="F9" s="10" t="s">
        <v>21</v>
      </c>
    </row>
    <row r="10" ht="187.2" spans="1:6">
      <c r="A10" s="16"/>
      <c r="B10" s="17" t="s">
        <v>26</v>
      </c>
      <c r="C10" s="10" t="str">
        <f>股票估值和盈利!E17</f>
        <v>1.Global SWF2026 Q1：主权基金对 私人抵押贷款 (Private Credit) 和基础设施的投入创 3 年新高。它们正在寻找能对抗通胀且收益率高于5%的债权类工具，作为对冲美股估值下修的盾牌。
2.SWFI记录显示，中东基金（如 PIF）在 1-2 月增加了对标普 500中必需消费品和医疗保健板块大盘股的买入。典型的防守策略。这些板块在经济意外指数（CESI）下滑时更具韧性。
3.IFSWF会议纪要强调“地缘政治韧性”，基金开始增加实物资产（实物金、战略矿产）的储备。</v>
      </c>
      <c r="D10" s="10" t="str">
        <f>股票估值和盈利!F17</f>
        <v>根据 Global SWF、SWFI 以及 2026 年初最新的资金流向监测，主权财富基金（SWF）从美股科技板块流出的资金，并没有消失，而是精准地投向了具有“高确定性”和“政策红利”的特定地区。包括：日本、印度、东南亚、中东本土</v>
      </c>
      <c r="E10" s="10" t="s">
        <v>27</v>
      </c>
      <c r="F10" s="10" t="s">
        <v>21</v>
      </c>
    </row>
    <row r="11" ht="28.8" spans="1:6">
      <c r="A11" s="16"/>
      <c r="B11" s="17" t="s">
        <v>28</v>
      </c>
      <c r="C11" s="10" t="str">
        <f>股票估值和盈利!E18</f>
        <v>标普 500为~1.85；纳斯达克 100为~1.61</v>
      </c>
      <c r="D11" s="10" t="str">
        <f>股票估值和盈利!F18</f>
        <v>目前纳斯达克的现金流 PEG 低于标普 500，说明虽然纳指更贵，但它的现金流增长斜率更陡，能更好地对冲高估值压力。</v>
      </c>
      <c r="E11" s="10" t="s">
        <v>29</v>
      </c>
      <c r="F11" s="10" t="s">
        <v>18</v>
      </c>
    </row>
    <row r="12" ht="43.2" spans="1:6">
      <c r="A12" s="16"/>
      <c r="B12" s="17" t="s">
        <v>30</v>
      </c>
      <c r="C12" s="10" t="str">
        <f>股票估值和盈利!E21</f>
        <v>标普500:1.股息率1.51%。净回购率：约1.8% - 2.1%，tsy合计 3.3% - 3.6%。10年美债约3.9%，差值-0.3%到-0.6%</v>
      </c>
      <c r="D12" s="10" t="str">
        <f>股票估值和盈利!F21</f>
        <v>负向利差。 这意味着目前持有标普 500 拿到的现金回报（分红+回购），还不如持有无风险的 10 年期美债高。</v>
      </c>
      <c r="E12" s="10" t="s">
        <v>31</v>
      </c>
      <c r="F12" s="10" t="s">
        <v>21</v>
      </c>
    </row>
    <row r="13" ht="43.2" spans="1:6">
      <c r="A13" s="16"/>
      <c r="B13" s="17" t="s">
        <v>32</v>
      </c>
      <c r="C13" s="10" t="str">
        <f>股票估值和盈利!E28</f>
        <v>2026.02.26 - 2026.03.02
净看多比例 (看多-看空) 为22.5% ，历史6.5%</v>
      </c>
      <c r="D13" s="10" t="str">
        <f>股票估值和盈利!F28</f>
        <v>历史规律：当“净看多比例”持续超过 +20% 且维持数周时，通常预示着市场短期内已经严重超买。</v>
      </c>
      <c r="E13" s="10" t="s">
        <v>31</v>
      </c>
      <c r="F13" s="10" t="s">
        <v>21</v>
      </c>
    </row>
    <row r="14" ht="57.6" spans="1:6">
      <c r="A14" s="16"/>
      <c r="B14" s="17" t="s">
        <v>33</v>
      </c>
      <c r="C14" s="10" t="str">
        <f>股票估值和盈利!E29</f>
        <v>当前看涨共识指数：约 72% - 74%
历史均值：约 55% - 60%
信号区域：极度贪婪（Extreme Optimism）</v>
      </c>
      <c r="D14" s="10" t="str">
        <f>股票估值和盈利!F29</f>
        <v>在Market Vane 的体系中，当指数超过 70% 时，通常被视为市场已经“充分定价”了所有利好。反向指标效应：历史上，当 Market Vane 连续数周维持在 70% 以上，标普 500 指数在未来 4-8 周内出现中等级别回调-5%的概率高达 75%。</v>
      </c>
      <c r="E14" s="10" t="s">
        <v>31</v>
      </c>
      <c r="F14" s="10" t="s">
        <v>21</v>
      </c>
    </row>
    <row r="15" ht="158.4" spans="1:6">
      <c r="A15" s="18" t="s">
        <v>34</v>
      </c>
      <c r="B15" s="17" t="s">
        <v>35</v>
      </c>
      <c r="C15" s="10" t="str">
        <f>股票估值和盈利!E36</f>
        <v>根据 FINRA 和纽交所（NYSE）的最新月度数据汇总：
当前保证金债务总额：约 $9,200 亿 - $9,500 亿美元（接近 2021 年的历史峰值）。
保证金债务 / 总市值 比例：目前约为 1.4% - 1.6%。
10 年分位水平：处于 前 10% 的高位。</v>
      </c>
      <c r="D15" s="10" t="str">
        <f>股票估值和盈利!F36</f>
        <v>目前（2026 Q1）保证金债务/市值指标正在发出“过度挤压”的警示。 市场现在的繁荣有一部分是靠“借来的钱”撑起的。
历史崩盘的前兆：指标的“掉头”
历史证明，危险不在于保证金债务有多高，而在于它停止增长并开始萎缩的时刻：
2000 年 &amp; 2008 年 &amp; 2022 年：在股市见顶前的 1-3 个月，保证金债务通常会先于大盘见顶并掉头向下。
2026 年 3 月信号：目前该指标的增长斜率已经开始平缓。如果下个月公布的数据出现显著下降，那将是确凿无疑的见顶信号。</v>
      </c>
      <c r="E15" s="10" t="s">
        <v>31</v>
      </c>
      <c r="F15" s="10" t="s">
        <v>21</v>
      </c>
    </row>
    <row r="16" ht="144" spans="1:6">
      <c r="A16" s="19"/>
      <c r="B16" s="10" t="s">
        <v>36</v>
      </c>
      <c r="C16" s="10" t="str">
        <f>股票估值和盈利!E37</f>
        <v>约 $7,800 亿 - $8,200 亿美元。战术回避：在 3 月中旬到 4 月中旬（税收回笼期），TGA 余额通常会显著飙升，这往往是美股一年中流动性最枯竭的时刻。</v>
      </c>
      <c r="D16" s="10" t="str">
        <f>股票估值和盈利!F37</f>
        <v>RRP 已近枯竭：2024-2025 年 RRP 的大幅下降曾释放了大量流动性对冲了加息压力。但到 2026 年初，RRP 剩余规模已不多。
TGA 正在吸血：如果 TGA 为了应对 2026 年的财政支出计划而继续抽水，而 RRP 已经无钱可补，那么银行准备金将直接下降。
后果：这会导致你关注的 保证金债务（Margin Debt） 成本上升，引发多头撤退。</v>
      </c>
      <c r="E16" s="10" t="s">
        <v>31</v>
      </c>
      <c r="F16" s="10" t="s">
        <v>21</v>
      </c>
    </row>
    <row r="17" ht="57.6" spans="1:6">
      <c r="A17" s="19"/>
      <c r="B17" s="10" t="s">
        <v>37</v>
      </c>
      <c r="C17" s="10" t="str">
        <f>股票估值和盈利!E38</f>
        <v>2月底-3月初，基差20bp左右，较1-2月扩大10bp</v>
      </c>
      <c r="D17" s="10" t="str">
        <f>股票估值和盈利!F38</f>
        <v>过去一个月基差的走阔，印证了你之前关注的 TGA 账户回升正在产生实际影响。如果基差突破 25 bp，通常意味着美联储必须考虑放缓缩表（QT），否则股市将面临流动性引发的“闪崩”。</v>
      </c>
      <c r="E17" s="10" t="s">
        <v>31</v>
      </c>
      <c r="F17" s="10" t="s">
        <v>21</v>
      </c>
    </row>
    <row r="18" ht="115.2" spans="1:6">
      <c r="A18" s="20"/>
      <c r="B18" s="10" t="s">
        <v>38</v>
      </c>
      <c r="C18" s="10" t="str">
        <f>股票估值和盈利!E39</f>
        <v>美联储基准利率：~5.25%日本央行（BoJ）加息后利率：~0.75%（2026 年 2 月底刚加息）利差（分子）：5.25% - 0.75% = 4.50%。预期波动率 (USD/JPY 1-Month Implied Volatility)：受日本央行鹰派表态及中东局势影响，美日隐含波动率已飙升至 15.8%。ctr结果0.28</v>
      </c>
      <c r="D18" s="10" t="str">
        <f>股票估值和盈利!F39</f>
        <v>投资者承担每单位风险所获得的补偿正在迅速减少。目前的 0.28 是一个典型的“崩盘前夜”数值。
红色警报：如果 USD/JPY 跌破 142（日元升值），且隐含波动率突破 18%，CTR 将跌破 0.25。历史上，这通常伴随着纳斯达克 3% - 5% 的单日大阴线。
避险建议：在 CTR 低于 0.3 期间，应避开高贝塔（High Beta）的半导体和 AI 板块，因为它们是日元套利资金最集中的地方。</v>
      </c>
      <c r="E18" s="10" t="s">
        <v>31</v>
      </c>
      <c r="F18" s="10" t="s">
        <v>21</v>
      </c>
    </row>
    <row r="19" ht="57.6" spans="1:6">
      <c r="A19" s="18" t="s">
        <v>39</v>
      </c>
      <c r="B19" s="10" t="s">
        <v>40</v>
      </c>
      <c r="C19" s="10" t="str">
        <f>美国宏观和金融条件!E2</f>
        <v>1.数值：99.2；2.斜率： 98.5反弹至 99.2。</v>
      </c>
      <c r="D19" s="10" t="str">
        <f>美国宏观和金融条件!F2</f>
        <v>警惕“再收紧”触发的估值下修高盛研究表明，FCI 的变动斜率比绝对值更重要。建议：由于过去一个月 FCI 指数从 98.5 反弹至 99.2（即环境在变紧），这通常预示着未来 3-6 个月 GDP 增速将放缓。</v>
      </c>
      <c r="E19" s="10" t="s">
        <v>31</v>
      </c>
      <c r="F19" s="10" t="s">
        <v>18</v>
      </c>
    </row>
    <row r="20" ht="115.2" spans="1:6">
      <c r="A20" s="19"/>
      <c r="B20" s="10" t="s">
        <v>41</v>
      </c>
      <c r="C20" s="10">
        <v>0.35</v>
      </c>
      <c r="D20" s="10" t="str">
        <f>美国宏观和金融条件!F3</f>
        <v>相比 2025 年底的 +0.66，目前的 +0.35 说明金融条件正在显著收紧，但尚未跌入负值（即尚未进入“流动性危机”状态）。规律：历史上，当 BFCI 从正数快速向 0 轴回归时，标普 500 的短期胜率会降至 40% 以下。
建议：目前 +0.35 的位置属于“温水煮青蛙”。如果未来两周 BFCI 跌破 0，说明市场进入了实质性的信用紧缩，建议将所有杠杆头寸（如之前提到的 保证金债务）清零，回归防御。</v>
      </c>
      <c r="E20" s="10" t="s">
        <v>31</v>
      </c>
      <c r="F20" s="10" t="s">
        <v>18</v>
      </c>
    </row>
    <row r="21" ht="187.2" spans="1:6">
      <c r="A21" s="19"/>
      <c r="B21" s="10" t="s">
        <v>42</v>
      </c>
      <c r="C21" s="10">
        <f>美国宏观和金融条件!E4</f>
        <v>-0.56</v>
      </c>
      <c r="D21" s="10" t="str">
        <f>美国宏观和金融条件!F4</f>
        <v>NFCI 由三个主要维度组成，通过查看子项可以发现市场压力的具体来源：
风险子指数（Risk）：读数约 -0.64。这说明目前市场波动率较低，信贷息差处于健康水平，市场情绪整体偏乐观。
信用子指数（Credit）：读数约 -0.07。信贷的可获得性处于正常偏宽松状态。
杠杆子指数（Leverage）：读数约 -0.07。说明目前金融体系的债务压力和杠杆水平并不极端。
对于美股（科技股）
目前的 -0.56 说明宏观流动性依然充裕。在这种环境下，只要企业（如 ASML 或 TSMC）的盈利（Earnings）不出现大幅下修，估值端（Multiplier）通常能获得支撑。这是一个典型的“风险偏好温和”的环境。</v>
      </c>
      <c r="E21" s="10" t="s">
        <v>31</v>
      </c>
      <c r="F21" s="10" t="s">
        <v>43</v>
      </c>
    </row>
    <row r="22" ht="172.8" spans="1:6">
      <c r="A22" s="19"/>
      <c r="B22" s="10" t="s">
        <v>44</v>
      </c>
      <c r="C22" s="10" t="str">
        <f>美国宏观和金融条件!E6</f>
        <v>当前预测值 (2026 Q1)：3.0%（3 月 2 日最新更新）。
近期变动：
2 月 24 日：3.1%（处于近期高位）。
3 月 2 日：受 ISM 制造业指数 发布影响，模型下修了个人消费支出（PCE）和私人投资的贡献，数值微降至 3.0%。
分项结构：
实际私人固定资产投资：贡献约 3.5%（强劲）。
实际 PCE (个人消费)：贡献下调至 1.4%（显现出疲态）。</v>
      </c>
      <c r="D22" s="10" t="str">
        <f>美国宏观和金融条件!F6</f>
        <v>不要做空大趋势：3.0% 的增长说明经济并未崩溃。在这种背景下，单纯因为“估值贵（高 PE）”而做空大盘风险很大。
关注“制造业复苏”受益股：由于投资支出（3.5%）强于消费支出（1.4%），你应该更看好 工业自动化、能源设备和 AI 基础设施，而非传统的可选消费股。
高通胀压力常态化：既然 GDP 增速依然高达 3.0%，这意味着美联储没有理由迅速降息。你关心的 $WACC$（资本成本） 将在更长时间内保持高位，这对高估值科技股的折现率非常不利。</v>
      </c>
      <c r="E22" s="10" t="s">
        <v>45</v>
      </c>
      <c r="F22" s="10" t="s">
        <v>18</v>
      </c>
    </row>
    <row r="23" ht="259.2" spans="1:6">
      <c r="A23" s="20"/>
      <c r="B23" s="10" t="s">
        <v>46</v>
      </c>
      <c r="C23" s="10" t="str">
        <f>美国宏观和金融条件!E5</f>
        <v>当前 STLENI 预测值 (2026 Q1)：2.41%。</v>
      </c>
      <c r="D23" s="10" t="str">
        <f>美国宏观和金融条件!F5</f>
        <v>A. 警惕“过热后的下修”
目前 STLENI (2.41%) 低于 GDPNow (3.0%)，这通常说明最近公布的一些月度数据（如昨日的 ISM 制造业指数）在“新闻面”上被市场解读为弱于之前的乐观共识。
信号意义：如果这两个指数的差距进一步拉大，通常预示着美股即将进入盈利预期的下修期。你之前关注的 ERP 极低分位 将面临巨大的调整压力。
B. 监控“政策转向”的哨兵
STLENI 对通胀相关新闻非常敏感。
建议：如果 STLENI 下滑，而你发现美联储官员的讲话依然鹰派（如圣路易斯联储主席 Musalem 最近提到的通胀仍有压力），这说明**“经济在慢下来，但利息降不下来”**。这是对纳斯达克科技股最不利的组合。
C. 确定性溢价
策略：在 STLENI 低于 GDPNow 期间，市场往往会发生“从进攻转为质量”的切换。资金会离开那些依赖宏观爆发的小盘股，涌向你持有的 高 ROIC (9.5%) 且 现金流 PEG 极低 的龙头</v>
      </c>
      <c r="E23" s="10" t="s">
        <v>47</v>
      </c>
      <c r="F23" s="10" t="s">
        <v>18</v>
      </c>
    </row>
    <row r="24" ht="158.4" spans="1:6">
      <c r="A24" s="21" t="s">
        <v>48</v>
      </c>
      <c r="B24" s="10" t="s">
        <v>49</v>
      </c>
      <c r="C24" s="10" t="str">
        <f>美国宏观和金融条件!E7</f>
        <v>当前 ADS 读数：+0.15 附近。但斜率向下</v>
      </c>
      <c r="D24" s="10" t="str">
        <f>美国宏观和金融条件!F7</f>
        <v>1.目前读数较 2026 年 1 月的 +0.45 有所下滑，但仍保持在正值区间。这说明经济正在从“过热”向“常态化增长”平稳过渡。
2.在 ADS 指数的构建中，周初请失业金人数 (Initial Claims) 是权重最高、频率最快（周频）的“硬核”指标，它通常被视为 ADS 指数的先导斜率。目前 ADS 指数从之前的 +0.45 快速回落至 +0.15，其中约 70% 的拉低作用 均来自于初请失业金人数的这个负斜率。初请失业金人数是少数几个能跑在 GDP 之前的指标。目前的斜率意味着美国企业（尤其是你关注的科技板块以外的传统行业）可能已经开始悄然缩减招聘或启动小规模裁员。</v>
      </c>
      <c r="E24" s="10" t="s">
        <v>50</v>
      </c>
      <c r="F24" s="10" t="s">
        <v>18</v>
      </c>
    </row>
    <row r="25" ht="187.2" spans="1:6">
      <c r="A25" s="21"/>
      <c r="B25" s="10" t="s">
        <v>51</v>
      </c>
      <c r="C25" s="10" t="s">
        <v>52</v>
      </c>
      <c r="D25" s="10" t="s">
        <v>53</v>
      </c>
      <c r="E25" s="10" t="s">
        <v>31</v>
      </c>
      <c r="F25" s="10" t="s">
        <v>18</v>
      </c>
    </row>
    <row r="26" ht="72" spans="1:6">
      <c r="A26" s="21"/>
      <c r="B26" s="10" t="s">
        <v>54</v>
      </c>
      <c r="C26" s="10" t="str">
        <f>美国宏观和金融条件!E9</f>
        <v>裁员规模回升：2026 年前两个月，加州科技行业的 WARN 申报人数比 2025 年同期增长了 18%。</v>
      </c>
      <c r="D26" s="10" t="str">
        <f>美国宏观和金融条件!F9</f>
        <v>
WARN 数据告诉你：美国劳动力市场的“冰层”正在变薄。WARN 的独特价值在于它的“强制性预判”：根据联邦法律，规模在 100 人以上的企业进行 50 人以上的裁员时，必须提前 60 天（纽约州等部分地区为 90 天）向州政府申报。</v>
      </c>
      <c r="E26" s="10" t="s">
        <v>31</v>
      </c>
      <c r="F26" s="10" t="s">
        <v>21</v>
      </c>
    </row>
    <row r="27" ht="172.8" spans="1:6">
      <c r="A27" s="21"/>
      <c r="B27" s="10" t="s">
        <v>55</v>
      </c>
      <c r="C27" s="10" t="str">
        <f>美国宏观和金融条件!E10</f>
        <v>1 月回顾（实际值）：2.2 万人（远低于预期的 4.8 万人）。
特征：制造业持续流失岗位，专业与商业服务显著下滑。唯一的亮点是教育与医疗（+7.4 万）。2 月预测（明天发布）：市场普遍预期为 4.3 万 - 5.0 万人。
斜率观察：根据 ADP 的周频追踪（NER Pulse），2 月前四周的招聘速度有所回升（平均每周约 1.27 万人），显示出从 1 月的极度低迷中温和复苏。
薪资增速：目前稳定在 4.5% 左右。尽管招人慢，但“留人”的成本依然很高。</v>
      </c>
      <c r="D27" s="10" t="str">
        <f>美国宏观和金融条件!F10</f>
        <v>美国劳动力市场正处于“低速增长但薪资稳固”的僵局。</v>
      </c>
      <c r="E27" s="10" t="s">
        <v>31</v>
      </c>
      <c r="F27" s="10" t="s">
        <v>18</v>
      </c>
    </row>
    <row r="28" ht="144" spans="1:6">
      <c r="A28" s="22" t="s">
        <v>56</v>
      </c>
      <c r="B28" s="10" t="s">
        <v>57</v>
      </c>
      <c r="C28" s="10" t="str">
        <f>美国宏观和金融条件!E11</f>
        <v>当前数值 (YoY)：6.7%（截至 2 月 28 日当周）。
趋势对比：
上周：7.2%（2 月 21 日当周）。
历史分位：处于 5% - 7% 的稳健增长区间，但较 2 月中的高点有所回落。
信号含义：零售增长依然“在线”，说明美国消费者虽然面临高利率，但并没有“收手”。</v>
      </c>
      <c r="D28" s="10" t="str">
        <f>美国宏观和金融条件!F11</f>
        <v>A. 验证“金发姑娘”行情的韧性
指引：既然同店销售额仍有 6.7% 的增长，说明 GDPNow (3.0%) 的预测并非空穴来风。
策略：这降低了市场对“突发性衰退”的担忧。对于你持有的 高 ROIC 科技股，这意味着下游企业和消费者的购买力依然能支撑它们的软件和硬件开支。
B. 监控“通胀粘性”与降息预期
逻辑：如果零售指数长期维持在 6% 以上，而通胀目标是 2%，这通常意味着需求依然过热。
指引：这会支撑 10Y 美债收益率在 4% 附近 震荡。</v>
      </c>
      <c r="E28" s="10" t="s">
        <v>31</v>
      </c>
      <c r="F28" s="10" t="s">
        <v>18</v>
      </c>
    </row>
    <row r="29" ht="72" spans="1:6">
      <c r="A29" s="22" t="s">
        <v>58</v>
      </c>
      <c r="B29" s="10" t="s">
        <v>59</v>
      </c>
      <c r="C29" s="10" t="str">
        <f>美国宏观和金融条件!E13</f>
        <v>房屋成交量 (Home Sales)：同比下降 3.2%。尽管由于 2 月份气温转暖导致需求略有回升，但高企的抵押贷款利率（30 年期固定利率仍在 6.7% - 6.9% 波动）依然抑制了成交动力。</v>
      </c>
      <c r="D29" s="10" t="str">
        <f>美国宏观和金融条件!F13</f>
        <v>Redfin 最近指出，部分地区的公寓销售（Condos）跌幅远超独栋住宅。这反映了高息环境下投资者对“租金回报率”的重新审视。</v>
      </c>
      <c r="E29" s="10" t="s">
        <v>31</v>
      </c>
      <c r="F29" s="10" t="s">
        <v>21</v>
      </c>
    </row>
    <row r="30" ht="72" spans="1:6">
      <c r="A30" s="22"/>
      <c r="B30" s="10" t="s">
        <v>60</v>
      </c>
      <c r="C30" s="10" t="str">
        <f>美国宏观和金融条件!E14</f>
        <v>当前 4WMA 数值：全美中位待售时长约为 47 - 66 天。
趋势变动：较 2026 年 1 月份的 78 天（季节性高点）有所回落，但较去年（2025 年）同期增加了约 7 - 10 天。</v>
      </c>
      <c r="D30" s="10" t="str">
        <f>美国宏观和金融条件!F14</f>
        <v>信号含义：市场正在变慢。虽然进入了 3 月份的春季销售旺季，但买家变得比以往更加挑剔（Selective），这主要是由于 30 年期固定抵押贷款利率仍处于 6.1% - 6.8% 的相对高位，压制了购买冲动。</v>
      </c>
      <c r="E30" s="10" t="s">
        <v>31</v>
      </c>
      <c r="F30" s="10" t="s">
        <v>18</v>
      </c>
    </row>
    <row r="31" ht="158.4" spans="1:6">
      <c r="A31" s="22"/>
      <c r="B31" s="10" t="s">
        <v>61</v>
      </c>
      <c r="C31" s="10" t="str">
        <f>美国宏观和金融条件!E15</f>
        <v>现有住房中位售价 (Existing-Home Median Price)：
最新数值：约 $39.68 万 - $42.30 万美元（根据 NAR 和 Redfin 的最新月度综合）。
同比变动：增长约 1.1% - 1.4%。</v>
      </c>
      <c r="D31" s="10" t="s">
        <v>62</v>
      </c>
      <c r="E31" s="10" t="s">
        <v>31</v>
      </c>
      <c r="F31" s="10" t="s">
        <v>18</v>
      </c>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row r="38" spans="1:6">
      <c r="A38" s="12"/>
      <c r="B38" s="12"/>
      <c r="C38" s="12"/>
      <c r="D38" s="12"/>
      <c r="E38" s="12"/>
      <c r="F38" s="12"/>
    </row>
    <row r="39" spans="1:6">
      <c r="A39" s="12"/>
      <c r="B39" s="12"/>
      <c r="C39" s="12"/>
      <c r="D39" s="12"/>
      <c r="E39" s="12"/>
      <c r="F39" s="12"/>
    </row>
  </sheetData>
  <autoFilter xmlns:etc="http://www.wps.cn/officeDocument/2017/etCustomData" ref="A1:F31" etc:filterBottomFollowUsedRange="0">
    <extLst/>
  </autoFilter>
  <mergeCells count="5">
    <mergeCell ref="A2:A14"/>
    <mergeCell ref="A15:A18"/>
    <mergeCell ref="A19:A23"/>
    <mergeCell ref="A24:A27"/>
    <mergeCell ref="A29:A3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zoomScale="94" zoomScaleNormal="94" topLeftCell="A6" workbookViewId="0">
      <selection activeCell="C9" sqref="C9"/>
    </sheetView>
  </sheetViews>
  <sheetFormatPr defaultColWidth="9.23148148148148" defaultRowHeight="14.4" outlineLevelCol="6"/>
  <cols>
    <col min="1" max="1" width="18.2685185185185" style="10" customWidth="1"/>
    <col min="2" max="2" width="29.7962962962963" style="10" customWidth="1"/>
    <col min="3" max="3" width="29.4814814814815" style="10" customWidth="1"/>
    <col min="4" max="4" width="64.0833333333333" style="10" customWidth="1"/>
    <col min="5" max="5" width="53.1944444444444" style="10" customWidth="1"/>
    <col min="6" max="6" width="129.527777777778" style="10" customWidth="1"/>
    <col min="7" max="7" width="72.1018518518518" style="10" customWidth="1"/>
    <col min="8" max="16384" width="9.23148148148148" style="12"/>
  </cols>
  <sheetData>
    <row r="1" spans="1:7">
      <c r="A1" s="7" t="s">
        <v>63</v>
      </c>
      <c r="B1" s="7" t="s">
        <v>64</v>
      </c>
      <c r="C1" s="7" t="s">
        <v>65</v>
      </c>
      <c r="D1" s="7" t="s">
        <v>66</v>
      </c>
      <c r="E1" s="7" t="s">
        <v>2</v>
      </c>
      <c r="F1" s="7" t="s">
        <v>67</v>
      </c>
      <c r="G1" s="7" t="s">
        <v>68</v>
      </c>
    </row>
    <row r="2" ht="43.2" spans="1:7">
      <c r="A2" s="10" t="s">
        <v>69</v>
      </c>
      <c r="B2" s="10" t="s">
        <v>70</v>
      </c>
      <c r="C2" s="11" t="s">
        <v>71</v>
      </c>
      <c r="D2" s="10" t="s">
        <v>72</v>
      </c>
      <c r="E2" s="10" t="s">
        <v>73</v>
      </c>
      <c r="F2" s="10" t="s">
        <v>74</v>
      </c>
    </row>
    <row r="3" ht="57.6" spans="1:7">
      <c r="A3" s="10" t="s">
        <v>69</v>
      </c>
      <c r="B3" s="10" t="s">
        <v>41</v>
      </c>
      <c r="C3" s="11" t="s">
        <v>75</v>
      </c>
      <c r="D3" s="10" t="s">
        <v>76</v>
      </c>
      <c r="E3" s="10">
        <v>0.5</v>
      </c>
      <c r="F3" s="10" t="s">
        <v>77</v>
      </c>
    </row>
    <row r="4" ht="100.8" spans="1:7">
      <c r="A4" s="10" t="s">
        <v>69</v>
      </c>
      <c r="B4" s="10" t="s">
        <v>42</v>
      </c>
      <c r="C4" s="11" t="s">
        <v>78</v>
      </c>
      <c r="D4" s="10" t="s">
        <v>79</v>
      </c>
      <c r="E4" s="10">
        <v>-0.56</v>
      </c>
      <c r="F4" s="10" t="s">
        <v>80</v>
      </c>
    </row>
    <row r="5" ht="187.2" spans="1:7">
      <c r="A5" s="10" t="s">
        <v>69</v>
      </c>
      <c r="B5" s="10" t="s">
        <v>46</v>
      </c>
      <c r="C5" s="13" t="s">
        <v>81</v>
      </c>
      <c r="D5" s="10" t="s">
        <v>82</v>
      </c>
      <c r="E5" s="10" t="s">
        <v>83</v>
      </c>
      <c r="F5" s="10" t="s">
        <v>84</v>
      </c>
    </row>
    <row r="6" ht="409.5" spans="1:7">
      <c r="A6" s="10" t="s">
        <v>69</v>
      </c>
      <c r="B6" s="10" t="s">
        <v>85</v>
      </c>
      <c r="C6" s="13" t="s">
        <v>86</v>
      </c>
      <c r="D6" s="13" t="s">
        <v>87</v>
      </c>
      <c r="E6" s="11" t="s">
        <v>88</v>
      </c>
      <c r="F6" s="10" t="s">
        <v>89</v>
      </c>
      <c r="G6" s="10" t="s">
        <v>90</v>
      </c>
    </row>
    <row r="7" ht="244.8" spans="1:7">
      <c r="A7" s="10" t="s">
        <v>69</v>
      </c>
      <c r="B7" s="11" t="s">
        <v>49</v>
      </c>
      <c r="C7" s="11" t="s">
        <v>91</v>
      </c>
      <c r="D7" s="10" t="s">
        <v>92</v>
      </c>
      <c r="E7" s="10" t="s">
        <v>93</v>
      </c>
      <c r="F7" s="10" t="s">
        <v>94</v>
      </c>
    </row>
    <row r="8" ht="129.6" spans="1:7">
      <c r="A8" s="10" t="s">
        <v>48</v>
      </c>
      <c r="B8" s="10" t="s">
        <v>51</v>
      </c>
      <c r="C8" s="11" t="s">
        <v>95</v>
      </c>
      <c r="D8" s="11" t="s">
        <v>96</v>
      </c>
      <c r="E8" s="10" t="s">
        <v>97</v>
      </c>
      <c r="F8" s="10" t="s">
        <v>53</v>
      </c>
    </row>
    <row r="9" ht="316.8" spans="1:7">
      <c r="A9" s="10" t="s">
        <v>48</v>
      </c>
      <c r="B9" s="10" t="s">
        <v>54</v>
      </c>
      <c r="C9" s="11" t="s">
        <v>98</v>
      </c>
      <c r="D9" s="13"/>
      <c r="E9" s="10" t="s">
        <v>99</v>
      </c>
      <c r="F9" s="11" t="s">
        <v>100</v>
      </c>
    </row>
    <row r="10" ht="409.5" spans="1:7">
      <c r="A10" s="10" t="s">
        <v>48</v>
      </c>
      <c r="B10" s="10" t="s">
        <v>55</v>
      </c>
      <c r="C10" s="13" t="s">
        <v>101</v>
      </c>
      <c r="D10" s="10" t="s">
        <v>102</v>
      </c>
      <c r="E10" s="10" t="s">
        <v>103</v>
      </c>
      <c r="F10" s="10" t="s">
        <v>104</v>
      </c>
    </row>
    <row r="11" ht="100.8" spans="1:7">
      <c r="A11" s="10" t="s">
        <v>56</v>
      </c>
      <c r="B11" s="10" t="s">
        <v>57</v>
      </c>
      <c r="E11" s="10" t="s">
        <v>105</v>
      </c>
      <c r="F11" s="10" t="s">
        <v>106</v>
      </c>
    </row>
    <row r="12" spans="1:7">
      <c r="A12" s="10" t="s">
        <v>56</v>
      </c>
      <c r="B12" s="10" t="s">
        <v>107</v>
      </c>
    </row>
    <row r="13" ht="57.6" spans="1:7">
      <c r="A13" s="10" t="s">
        <v>58</v>
      </c>
      <c r="B13" s="10" t="s">
        <v>59</v>
      </c>
      <c r="E13" s="10" t="s">
        <v>108</v>
      </c>
      <c r="F13" s="10" t="s">
        <v>109</v>
      </c>
    </row>
    <row r="14" ht="43.2" spans="1:7">
      <c r="A14" s="10" t="s">
        <v>58</v>
      </c>
      <c r="B14" s="10" t="s">
        <v>60</v>
      </c>
      <c r="E14" s="10" t="s">
        <v>110</v>
      </c>
      <c r="F14" s="10" t="s">
        <v>111</v>
      </c>
    </row>
    <row r="15" ht="57.6" spans="1:7">
      <c r="A15" s="10" t="s">
        <v>58</v>
      </c>
      <c r="B15" s="10" t="s">
        <v>61</v>
      </c>
      <c r="E15" s="10" t="s">
        <v>112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39"/>
  <sheetViews>
    <sheetView zoomScale="91" zoomScaleNormal="91" topLeftCell="A17" workbookViewId="0">
      <selection activeCell="F39" sqref="F39"/>
    </sheetView>
  </sheetViews>
  <sheetFormatPr defaultColWidth="9.23148148148148" defaultRowHeight="14.4" outlineLevelCol="7"/>
  <cols>
    <col min="1" max="1" width="14.287037037037" style="6" customWidth="1"/>
    <col min="2" max="2" width="39.0833333333333" style="6" customWidth="1"/>
    <col min="3" max="3" width="30.6388888888889" style="6" customWidth="1"/>
    <col min="4" max="4" width="108.87962962963" style="6" customWidth="1"/>
    <col min="5" max="5" width="31.8333333333333" style="6" customWidth="1"/>
    <col min="6" max="6" width="84.5185185185185" style="2" customWidth="1"/>
    <col min="7" max="7" width="50.4814814814815" style="2" customWidth="1"/>
    <col min="8" max="8" width="76.462962962963" style="1" customWidth="1"/>
    <col min="9" max="16384" width="9.23148148148148" style="1"/>
  </cols>
  <sheetData>
    <row r="1" s="1" customFormat="1" spans="1:7">
      <c r="A1" s="7" t="s">
        <v>63</v>
      </c>
      <c r="B1" s="7" t="s">
        <v>64</v>
      </c>
      <c r="C1" s="7" t="s">
        <v>65</v>
      </c>
      <c r="D1" s="7" t="s">
        <v>66</v>
      </c>
      <c r="E1" s="7" t="s">
        <v>2</v>
      </c>
      <c r="F1" s="7" t="s">
        <v>67</v>
      </c>
      <c r="G1" s="7" t="s">
        <v>68</v>
      </c>
    </row>
    <row r="2" s="1" customFormat="1" ht="107" hidden="1" customHeight="1" spans="1:7">
      <c r="A2" s="2" t="s">
        <v>113</v>
      </c>
      <c r="B2" s="2" t="s">
        <v>114</v>
      </c>
      <c r="C2" s="2" t="s">
        <v>115</v>
      </c>
      <c r="D2" s="8" t="s">
        <v>116</v>
      </c>
      <c r="E2" s="2" t="s">
        <v>117</v>
      </c>
      <c r="F2" s="8" t="s">
        <v>118</v>
      </c>
      <c r="G2" s="2" t="s">
        <v>119</v>
      </c>
    </row>
    <row r="3" s="1" customFormat="1" ht="144" hidden="1" spans="1:7">
      <c r="A3" s="2" t="s">
        <v>120</v>
      </c>
      <c r="B3" s="2" t="s">
        <v>121</v>
      </c>
      <c r="C3" s="2" t="s">
        <v>122</v>
      </c>
      <c r="D3" s="2" t="s">
        <v>123</v>
      </c>
      <c r="E3" s="2" t="s">
        <v>124</v>
      </c>
      <c r="F3" s="2" t="s">
        <v>125</v>
      </c>
      <c r="G3" s="2"/>
    </row>
    <row r="4" s="1" customFormat="1" ht="57.6" hidden="1" spans="1:7">
      <c r="A4" s="2" t="s">
        <v>126</v>
      </c>
      <c r="B4" s="2" t="s">
        <v>127</v>
      </c>
      <c r="C4" s="2" t="s">
        <v>128</v>
      </c>
      <c r="D4" s="2" t="s">
        <v>129</v>
      </c>
      <c r="E4" s="2"/>
      <c r="F4" s="2" t="s">
        <v>130</v>
      </c>
      <c r="G4" s="8" t="s">
        <v>131</v>
      </c>
    </row>
    <row r="5" s="1" customFormat="1" ht="86.4" hidden="1" spans="1:7">
      <c r="A5" s="2" t="s">
        <v>132</v>
      </c>
      <c r="B5" s="2" t="s">
        <v>133</v>
      </c>
      <c r="C5" s="2" t="s">
        <v>134</v>
      </c>
      <c r="D5" s="2" t="s">
        <v>135</v>
      </c>
      <c r="E5" s="2" t="s">
        <v>136</v>
      </c>
      <c r="F5" s="2" t="s">
        <v>137</v>
      </c>
      <c r="G5" s="8" t="s">
        <v>138</v>
      </c>
    </row>
    <row r="6" s="1" customFormat="1" ht="187.2" spans="1:7">
      <c r="A6" s="2" t="s">
        <v>132</v>
      </c>
      <c r="B6" s="2" t="s">
        <v>7</v>
      </c>
      <c r="C6" s="2" t="s">
        <v>7</v>
      </c>
      <c r="D6" s="2" t="s">
        <v>139</v>
      </c>
      <c r="E6" s="2" t="s">
        <v>140</v>
      </c>
      <c r="F6" s="2" t="s">
        <v>141</v>
      </c>
      <c r="G6" s="8"/>
    </row>
    <row r="7" s="1" customFormat="1" ht="144" spans="1:7">
      <c r="A7" s="2" t="s">
        <v>132</v>
      </c>
      <c r="B7" s="2" t="s">
        <v>16</v>
      </c>
      <c r="C7" s="2" t="s">
        <v>16</v>
      </c>
      <c r="D7" s="2" t="s">
        <v>142</v>
      </c>
      <c r="E7" s="2" t="s">
        <v>143</v>
      </c>
      <c r="F7" s="2" t="s">
        <v>144</v>
      </c>
      <c r="G7" s="8"/>
    </row>
    <row r="8" s="2" customFormat="1" ht="115.2" spans="1:7">
      <c r="A8" s="2" t="s">
        <v>0</v>
      </c>
      <c r="B8" s="2" t="s">
        <v>145</v>
      </c>
      <c r="C8" s="2" t="s">
        <v>146</v>
      </c>
      <c r="D8" s="2" t="s">
        <v>147</v>
      </c>
      <c r="E8" s="2" t="s">
        <v>148</v>
      </c>
      <c r="F8" s="2" t="s">
        <v>149</v>
      </c>
      <c r="G8" s="2" t="s">
        <v>150</v>
      </c>
    </row>
    <row r="9" s="1" customFormat="1" ht="43.2" spans="1:7">
      <c r="A9" s="2" t="s">
        <v>0</v>
      </c>
      <c r="B9" s="2" t="s">
        <v>19</v>
      </c>
      <c r="C9" s="2"/>
      <c r="D9" s="2" t="s">
        <v>151</v>
      </c>
      <c r="E9" s="2" t="s">
        <v>152</v>
      </c>
      <c r="F9" s="2" t="s">
        <v>153</v>
      </c>
      <c r="G9" s="2"/>
    </row>
    <row r="10" s="1" customFormat="1" ht="86.4" hidden="1" spans="1:7">
      <c r="A10" s="2" t="s">
        <v>154</v>
      </c>
      <c r="B10" s="2" t="s">
        <v>155</v>
      </c>
      <c r="C10" s="2" t="s">
        <v>156</v>
      </c>
      <c r="D10" s="2" t="s">
        <v>157</v>
      </c>
      <c r="E10" s="2" t="s">
        <v>158</v>
      </c>
      <c r="F10" s="2" t="s">
        <v>159</v>
      </c>
      <c r="G10" s="9" t="s">
        <v>160</v>
      </c>
    </row>
    <row r="11" s="2" customFormat="1" ht="86.4" spans="1:7">
      <c r="A11" s="2" t="s">
        <v>0</v>
      </c>
      <c r="B11" s="2" t="s">
        <v>10</v>
      </c>
      <c r="C11" s="2" t="s">
        <v>10</v>
      </c>
      <c r="D11" s="2" t="s">
        <v>157</v>
      </c>
      <c r="E11" s="2" t="s">
        <v>161</v>
      </c>
      <c r="F11" s="2" t="s">
        <v>162</v>
      </c>
      <c r="G11" s="2" t="s">
        <v>163</v>
      </c>
    </row>
    <row r="12" s="1" customFormat="1" ht="158.4" hidden="1" spans="1:7">
      <c r="A12" s="2" t="s">
        <v>164</v>
      </c>
      <c r="B12" s="2" t="s">
        <v>12</v>
      </c>
      <c r="C12" s="2" t="s">
        <v>165</v>
      </c>
      <c r="D12" s="2" t="s">
        <v>166</v>
      </c>
      <c r="E12" s="2" t="s">
        <v>167</v>
      </c>
      <c r="F12" s="2" t="s">
        <v>168</v>
      </c>
      <c r="G12" s="2" t="s">
        <v>169</v>
      </c>
    </row>
    <row r="13" s="1" customFormat="1" ht="57.6" spans="1:7">
      <c r="A13" s="2" t="s">
        <v>0</v>
      </c>
      <c r="B13" s="2" t="s">
        <v>12</v>
      </c>
      <c r="C13" s="2" t="s">
        <v>165</v>
      </c>
      <c r="D13" s="2" t="s">
        <v>166</v>
      </c>
      <c r="E13" s="2" t="s">
        <v>170</v>
      </c>
      <c r="F13" s="2" t="s">
        <v>171</v>
      </c>
      <c r="G13" s="2" t="s">
        <v>172</v>
      </c>
    </row>
    <row r="14" s="1" customFormat="1" ht="129.6" hidden="1" spans="1:7">
      <c r="A14" s="2" t="s">
        <v>173</v>
      </c>
      <c r="B14" s="2" t="s">
        <v>174</v>
      </c>
      <c r="C14" s="2" t="s">
        <v>175</v>
      </c>
      <c r="D14" s="2" t="s">
        <v>176</v>
      </c>
      <c r="E14" s="2" t="s">
        <v>177</v>
      </c>
      <c r="F14" s="2" t="s">
        <v>178</v>
      </c>
      <c r="G14" s="2" t="s">
        <v>179</v>
      </c>
    </row>
    <row r="15" s="3" customFormat="1" ht="57.6" spans="1:7">
      <c r="A15" s="2" t="s">
        <v>0</v>
      </c>
      <c r="B15" s="2" t="s">
        <v>180</v>
      </c>
      <c r="C15" s="2" t="s">
        <v>181</v>
      </c>
      <c r="D15" s="2" t="s">
        <v>182</v>
      </c>
      <c r="E15" s="2" t="s">
        <v>183</v>
      </c>
      <c r="F15" s="2" t="s">
        <v>184</v>
      </c>
      <c r="G15" s="9" t="s">
        <v>185</v>
      </c>
    </row>
    <row r="16" s="2" customFormat="1" ht="72" spans="1:7">
      <c r="A16" s="2" t="s">
        <v>0</v>
      </c>
      <c r="B16" s="2" t="s">
        <v>186</v>
      </c>
      <c r="C16" s="2" t="s">
        <v>187</v>
      </c>
      <c r="D16" s="2" t="s">
        <v>188</v>
      </c>
      <c r="E16" s="2" t="s">
        <v>189</v>
      </c>
      <c r="F16" s="2" t="s">
        <v>190</v>
      </c>
      <c r="G16" s="2" t="s">
        <v>191</v>
      </c>
    </row>
    <row r="17" s="4" customFormat="1" ht="216" spans="1:8">
      <c r="A17" s="2" t="s">
        <v>192</v>
      </c>
      <c r="B17" s="2" t="s">
        <v>26</v>
      </c>
      <c r="C17" s="2" t="s">
        <v>193</v>
      </c>
      <c r="D17" s="2" t="s">
        <v>194</v>
      </c>
      <c r="E17" s="2" t="s">
        <v>195</v>
      </c>
      <c r="F17" s="9" t="s">
        <v>196</v>
      </c>
      <c r="G17" s="2" t="s">
        <v>197</v>
      </c>
    </row>
    <row r="18" s="1" customFormat="1" ht="86.4" spans="1:8">
      <c r="A18" s="2" t="s">
        <v>0</v>
      </c>
      <c r="B18" s="2" t="s">
        <v>198</v>
      </c>
      <c r="C18" s="2" t="s">
        <v>199</v>
      </c>
      <c r="D18" s="2" t="s">
        <v>200</v>
      </c>
      <c r="E18" s="2" t="s">
        <v>201</v>
      </c>
      <c r="F18" s="2" t="s">
        <v>202</v>
      </c>
      <c r="G18" s="2"/>
    </row>
    <row r="19" s="1" customFormat="1" ht="43.2" hidden="1" spans="1:8">
      <c r="A19" s="2" t="s">
        <v>0</v>
      </c>
      <c r="B19" s="2" t="s">
        <v>203</v>
      </c>
      <c r="C19" s="2" t="s">
        <v>204</v>
      </c>
      <c r="D19" s="2" t="s">
        <v>205</v>
      </c>
      <c r="E19" s="2" t="s">
        <v>206</v>
      </c>
      <c r="F19" s="2"/>
      <c r="G19" s="2"/>
    </row>
    <row r="20" s="1" customFormat="1" ht="43.2" hidden="1" spans="1:8">
      <c r="A20" s="2" t="s">
        <v>154</v>
      </c>
      <c r="B20" s="2" t="s">
        <v>207</v>
      </c>
      <c r="C20" s="2" t="s">
        <v>208</v>
      </c>
      <c r="D20" s="2"/>
      <c r="E20" s="2" t="s">
        <v>209</v>
      </c>
      <c r="F20" s="2"/>
      <c r="G20" s="2"/>
    </row>
    <row r="21" s="1" customFormat="1" ht="86.4" spans="1:8">
      <c r="A21" s="2" t="s">
        <v>0</v>
      </c>
      <c r="B21" s="2" t="s">
        <v>210</v>
      </c>
      <c r="C21" s="2" t="s">
        <v>211</v>
      </c>
      <c r="D21" s="2" t="s">
        <v>212</v>
      </c>
      <c r="E21" s="2" t="s">
        <v>213</v>
      </c>
      <c r="F21" s="2" t="s">
        <v>214</v>
      </c>
      <c r="G21" s="2"/>
    </row>
    <row r="22" s="1" customFormat="1" ht="172.8" hidden="1" spans="1:8">
      <c r="A22" s="2" t="s">
        <v>173</v>
      </c>
      <c r="B22" s="2" t="s">
        <v>215</v>
      </c>
      <c r="C22" s="2" t="s">
        <v>216</v>
      </c>
      <c r="D22" s="2" t="s">
        <v>217</v>
      </c>
      <c r="E22" s="2" t="s">
        <v>218</v>
      </c>
      <c r="F22" s="2"/>
      <c r="G22" s="2" t="s">
        <v>219</v>
      </c>
    </row>
    <row r="23" s="1" customFormat="1" ht="72" spans="1:8">
      <c r="A23" s="2" t="s">
        <v>0</v>
      </c>
      <c r="B23" s="2" t="s">
        <v>220</v>
      </c>
      <c r="C23" s="2" t="s">
        <v>221</v>
      </c>
      <c r="D23" s="2" t="s">
        <v>222</v>
      </c>
      <c r="E23" s="2" t="s">
        <v>223</v>
      </c>
      <c r="F23" s="2" t="s">
        <v>224</v>
      </c>
      <c r="G23" s="2"/>
    </row>
    <row r="24" s="1" customFormat="1" ht="28.8" hidden="1" spans="1:8">
      <c r="A24" s="2" t="s">
        <v>173</v>
      </c>
      <c r="B24" s="9" t="s">
        <v>225</v>
      </c>
      <c r="C24" s="9" t="s">
        <v>226</v>
      </c>
      <c r="D24" s="9" t="s">
        <v>227</v>
      </c>
      <c r="E24" s="2" t="s">
        <v>228</v>
      </c>
      <c r="F24" s="2"/>
      <c r="G24" s="2"/>
    </row>
    <row r="25" s="1" customFormat="1" ht="374.4" hidden="1" spans="1:8">
      <c r="A25" s="2" t="s">
        <v>173</v>
      </c>
      <c r="B25" s="2" t="s">
        <v>229</v>
      </c>
      <c r="C25" s="2" t="s">
        <v>230</v>
      </c>
      <c r="D25" s="2" t="s">
        <v>231</v>
      </c>
      <c r="E25" s="2" t="s">
        <v>232</v>
      </c>
      <c r="F25" s="2"/>
      <c r="G25" s="2" t="s">
        <v>233</v>
      </c>
    </row>
    <row r="26" s="1" customFormat="1" ht="72" hidden="1" spans="1:8">
      <c r="A26" s="2" t="s">
        <v>0</v>
      </c>
      <c r="B26" s="2" t="s">
        <v>234</v>
      </c>
      <c r="C26" s="2" t="s">
        <v>235</v>
      </c>
      <c r="D26" s="2"/>
      <c r="E26" s="2" t="s">
        <v>236</v>
      </c>
      <c r="F26" s="2"/>
      <c r="G26" s="2"/>
    </row>
    <row r="27" s="1" customFormat="1" ht="409.5" hidden="1" spans="1:8">
      <c r="A27" s="2"/>
      <c r="B27" s="2" t="s">
        <v>237</v>
      </c>
      <c r="C27" s="9" t="s">
        <v>238</v>
      </c>
      <c r="D27" s="2"/>
      <c r="E27" s="2" t="s">
        <v>239</v>
      </c>
      <c r="F27" s="2"/>
      <c r="G27" s="2" t="s">
        <v>240</v>
      </c>
      <c r="H27" s="1" t="s">
        <v>241</v>
      </c>
    </row>
    <row r="28" s="1" customFormat="1" ht="43.2" spans="1:8">
      <c r="A28" s="2" t="s">
        <v>0</v>
      </c>
      <c r="B28" s="2" t="s">
        <v>32</v>
      </c>
      <c r="C28" s="2" t="s">
        <v>242</v>
      </c>
      <c r="D28" s="2" t="s">
        <v>243</v>
      </c>
      <c r="E28" s="2" t="s">
        <v>244</v>
      </c>
      <c r="F28" s="2" t="s">
        <v>245</v>
      </c>
      <c r="G28" s="2"/>
    </row>
    <row r="29" s="1" customFormat="1" ht="57.6" spans="1:8">
      <c r="A29" s="2" t="s">
        <v>0</v>
      </c>
      <c r="B29" s="2" t="s">
        <v>33</v>
      </c>
      <c r="C29" s="2" t="s">
        <v>246</v>
      </c>
      <c r="D29" s="2"/>
      <c r="E29" s="2" t="s">
        <v>247</v>
      </c>
      <c r="F29" s="2" t="s">
        <v>248</v>
      </c>
      <c r="G29" s="2"/>
    </row>
    <row r="30" s="5" customFormat="1" ht="43.2" spans="1:8">
      <c r="A30" s="2" t="s">
        <v>173</v>
      </c>
      <c r="B30" s="2" t="s">
        <v>249</v>
      </c>
      <c r="C30" s="2" t="s">
        <v>250</v>
      </c>
      <c r="D30" s="2" t="s">
        <v>251</v>
      </c>
      <c r="E30" s="2"/>
      <c r="F30" s="2"/>
      <c r="G30" s="2"/>
    </row>
    <row r="31" s="5" customFormat="1" spans="1:8">
      <c r="A31" s="7" t="s">
        <v>63</v>
      </c>
      <c r="B31" s="7" t="s">
        <v>34</v>
      </c>
      <c r="C31" s="7" t="s">
        <v>252</v>
      </c>
      <c r="D31" s="7" t="s">
        <v>253</v>
      </c>
      <c r="E31" s="7"/>
      <c r="F31" s="7"/>
      <c r="G31" s="7" t="s">
        <v>254</v>
      </c>
    </row>
    <row r="32" s="1" customFormat="1" ht="57.6" hidden="1" spans="1:8">
      <c r="A32" s="2" t="s">
        <v>154</v>
      </c>
      <c r="B32" s="9" t="s">
        <v>255</v>
      </c>
      <c r="C32" s="9" t="s">
        <v>255</v>
      </c>
      <c r="D32" s="9" t="s">
        <v>256</v>
      </c>
      <c r="E32" s="2"/>
      <c r="F32" s="2"/>
      <c r="G32" s="2"/>
    </row>
    <row r="33" s="1" customFormat="1" ht="28.8" hidden="1" spans="1:7">
      <c r="A33" s="2" t="s">
        <v>154</v>
      </c>
      <c r="B33" s="2" t="s">
        <v>257</v>
      </c>
      <c r="C33" s="2" t="s">
        <v>258</v>
      </c>
      <c r="D33" s="2" t="s">
        <v>259</v>
      </c>
      <c r="E33" s="2"/>
      <c r="F33" s="2"/>
      <c r="G33" s="2"/>
    </row>
    <row r="34" s="1" customFormat="1" ht="43.2" hidden="1" spans="1:7">
      <c r="A34" s="2" t="s">
        <v>0</v>
      </c>
      <c r="B34" s="2" t="s">
        <v>260</v>
      </c>
      <c r="C34" s="2"/>
      <c r="D34" s="2" t="s">
        <v>261</v>
      </c>
      <c r="E34" s="2"/>
      <c r="F34" s="2"/>
      <c r="G34" s="2"/>
    </row>
    <row r="35" s="1" customFormat="1" ht="100.8" hidden="1" spans="1:7">
      <c r="A35" s="2" t="s">
        <v>0</v>
      </c>
      <c r="B35" s="2" t="s">
        <v>262</v>
      </c>
      <c r="C35" s="2"/>
      <c r="D35" s="2" t="s">
        <v>263</v>
      </c>
      <c r="E35" s="2"/>
      <c r="F35" s="2"/>
      <c r="G35" s="2"/>
    </row>
    <row r="36" s="1" customFormat="1" ht="172.8" spans="1:7">
      <c r="A36" s="2" t="s">
        <v>0</v>
      </c>
      <c r="B36" s="2" t="s">
        <v>35</v>
      </c>
      <c r="C36" s="2" t="s">
        <v>264</v>
      </c>
      <c r="D36" s="2" t="s">
        <v>265</v>
      </c>
      <c r="E36" s="2" t="s">
        <v>266</v>
      </c>
      <c r="F36" s="2" t="s">
        <v>267</v>
      </c>
      <c r="G36" s="2"/>
    </row>
    <row r="37" s="1" customFormat="1" ht="100.8" spans="1:7">
      <c r="A37" s="2" t="s">
        <v>0</v>
      </c>
      <c r="B37" s="2" t="s">
        <v>36</v>
      </c>
      <c r="C37" s="2" t="s">
        <v>268</v>
      </c>
      <c r="D37" s="2" t="s">
        <v>269</v>
      </c>
      <c r="E37" s="2" t="s">
        <v>270</v>
      </c>
      <c r="F37" s="2" t="s">
        <v>271</v>
      </c>
      <c r="G37" s="2"/>
    </row>
    <row r="38" s="1" customFormat="1" ht="72" spans="1:7">
      <c r="A38" s="2" t="s">
        <v>0</v>
      </c>
      <c r="B38" s="2" t="s">
        <v>272</v>
      </c>
      <c r="C38" s="2" t="s">
        <v>273</v>
      </c>
      <c r="D38" s="2" t="s">
        <v>274</v>
      </c>
      <c r="E38" s="2" t="s">
        <v>275</v>
      </c>
      <c r="F38" s="2" t="s">
        <v>276</v>
      </c>
      <c r="G38" s="2"/>
    </row>
    <row r="39" s="1" customFormat="1" ht="129.6" spans="1:7">
      <c r="A39" s="2" t="s">
        <v>0</v>
      </c>
      <c r="B39" s="10" t="s">
        <v>277</v>
      </c>
      <c r="C39" s="11" t="s">
        <v>278</v>
      </c>
      <c r="D39" s="10" t="s">
        <v>279</v>
      </c>
      <c r="E39" s="2" t="s">
        <v>280</v>
      </c>
      <c r="F39" s="2" t="s">
        <v>281</v>
      </c>
      <c r="G39" s="9"/>
    </row>
  </sheetData>
  <pageMargins left="0.751388888888889" right="0.751388888888889" top="1" bottom="1" header="0.5" footer="0.5"/>
  <pageSetup paperSize="9" orientation="landscape" horizontalDpi="600"/>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总表</vt:lpstr>
      <vt:lpstr>美国宏观和金融条件</vt:lpstr>
      <vt:lpstr>股票估值和盈利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gylc-zhaow</dc:creator>
  <cp:lastModifiedBy>轩</cp:lastModifiedBy>
  <dcterms:created xsi:type="dcterms:W3CDTF">2025-11-25T00:31:00Z</dcterms:created>
  <dcterms:modified xsi:type="dcterms:W3CDTF">2026-03-04T11:39:25Z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EM_Doc_Temp_ID">
    <vt:lpwstr>662DF84A-EC11-4F4A-94A3-75CAE4BA2EAE</vt:lpwstr>
  </property>
  <property fmtid="{D5CDD505-2E9C-101B-9397-08002B2CF9AE}" pid="4" name="ICV">
    <vt:lpwstr>971ECA22CB4611F1FC45A6697D49F921_43</vt:lpwstr>
  </property>
  <property fmtid="{D5CDD505-2E9C-101B-9397-08002B2CF9AE}" pid="5" name="CalculationRule">
    <vt:i4>0</vt:i4>
  </property>
</Properties>
</file>