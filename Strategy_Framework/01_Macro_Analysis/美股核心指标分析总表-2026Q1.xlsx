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288" windowHeight="9060"/>
  </bookViews>
  <sheets>
    <sheet name="总表" sheetId="1" r:id="rId1"/>
  </sheets>
  <externalReferences>
    <externalReference r:id="rId2"/>
  </externalReferences>
  <definedNames>
    <definedName name="_xlnm._FilterDatabase" localSheetId="0" hidden="1">总表!$A$1:$F$31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<sst xmlns="http://schemas.openxmlformats.org/spreadsheetml/2006/main" count="105" uniqueCount="63">
  <si>
    <t>美股</t>
  </si>
  <si>
    <t>指标名称</t>
  </si>
  <si>
    <t>最新数据</t>
  </si>
  <si>
    <t>AI分析</t>
  </si>
  <si>
    <t>主观建议</t>
  </si>
  <si>
    <t>打分评价</t>
  </si>
  <si>
    <t>估值和盈利</t>
  </si>
  <si>
    <t>纳斯达克100毛利率变化（过去连续两季度+未来一季度预期）</t>
  </si>
  <si>
    <t>毛利率是科技股最重要指标，尤其在生命周期早期。</t>
  </si>
  <si>
    <t>高</t>
  </si>
  <si>
    <t>标普500的盈利上修动能</t>
  </si>
  <si>
    <t>尽管盈利上修动能强劲，但前目前标普 500 的 12 个月前瞻市盈率约为 21.5 - 22.2，远高于 10 年平均水平（18.8）。股市波动会加大。</t>
  </si>
  <si>
    <t>盈余惊喜</t>
  </si>
  <si>
    <t>投资工业、半导体硬件行业。逻辑是找有盈利确定性的行业</t>
  </si>
  <si>
    <t>标普500的roic-wacc趋势（过去连续两季度+未来一季度预期）</t>
  </si>
  <si>
    <t>总量利差上升。结构分散，从纳斯达克分散道琼斯和标普</t>
  </si>
  <si>
    <t>纳斯达克营收同比增长（过去连续两季度+未来一季度预期）</t>
  </si>
  <si>
    <t>营收环比小下降，盈利上升。拔估值困难，将是盈利驱动</t>
  </si>
  <si>
    <t>中</t>
  </si>
  <si>
    <t>标普500的ERP（1/pe-10年国债收益率)及历史分位数（10年）</t>
  </si>
  <si>
    <t>估值贵，波动大</t>
  </si>
  <si>
    <t>低</t>
  </si>
  <si>
    <t>标普500的Citi Earnings Revision Index(花旗盈利修正指数)</t>
  </si>
  <si>
    <t>仍在上修，但上修人数环比下降</t>
  </si>
  <si>
    <t>标普500的Citi Economic Surprise Index（CESI，花旗经济意外指数）</t>
  </si>
  <si>
    <t>高位回落代表此前宏观超预期已被price in，即使财报继续超过预期，股市也不会大幅上涨</t>
  </si>
  <si>
    <t>主权基金流向</t>
  </si>
  <si>
    <t>关注美股非科技，以及日本、东南亚</t>
  </si>
  <si>
    <t>美股的现金流peg</t>
  </si>
  <si>
    <t>已经超过1-1.5的合理区间，整体偏贵，但未达到2.0极值</t>
  </si>
  <si>
    <t>标普500的真实股东收益率（Total Shareholder Yield）与国债的利差</t>
  </si>
  <si>
    <t>-</t>
  </si>
  <si>
    <t>AAII个人投资者净看多比例</t>
  </si>
  <si>
    <t>Market Vane 股市看涨情绪</t>
  </si>
  <si>
    <t>流动性和杠杆</t>
  </si>
  <si>
    <t>保证金债务/市值</t>
  </si>
  <si>
    <t>TGA账户</t>
  </si>
  <si>
    <t>SOFR-OIS 基差</t>
  </si>
  <si>
    <t>CARRY TO RISK RITIO</t>
  </si>
  <si>
    <t>宏观和金融条件</t>
  </si>
  <si>
    <t>美国宏观和金融条件</t>
  </si>
  <si>
    <t>彭博美国金融条件指数</t>
  </si>
  <si>
    <t>芝加哥联储全国金融条件指数 (NFCI)</t>
  </si>
  <si>
    <t>优</t>
  </si>
  <si>
    <t>GDP Now 预测</t>
  </si>
  <si>
    <t>不做空美股，但增加标普和道琼斯的占比</t>
  </si>
  <si>
    <t>St. Louis Fed Economic News Index (STLENI)</t>
  </si>
  <si>
    <t>增加标普和道琼斯的占比</t>
  </si>
  <si>
    <t>就业</t>
  </si>
  <si>
    <t>ADS 商业景气指数(华尔街交易员股市应用稀缺的实时高频指引)</t>
  </si>
  <si>
    <t>宏观风险加剧</t>
  </si>
  <si>
    <t>Lightcast 数据</t>
  </si>
  <si>
    <t xml:space="preserve">1. 核心数值监测：2026 Q1 的“低雇、低解”僵局
根据 Lightcast 2026 年 2 月至 3 月初的最新职位发布（Job Postings）数据：
HWOL 指数 (帮助寻找在线指数)：1 月份微升至 100.4（环比增长 0.4%），但同比仍下降了 15.4%。
招聘周期延长：Lightcast 指出，目前美国企业的招聘速度正在放缓，企业变得更加挑剔（Selective Hiring），形成了“低雇佣、低解雇（Low-hire, Low-fire）”的僵局。
</t>
  </si>
  <si>
    <t>信号含义：这意味着劳动力市场并没有崩盘（支撑了 GDPNow 的 3.0%），但也没有增量动能来推动进一步的消费扩张（印证了 GDP 分项中个人消费仅 1.4% 的弱点）。</t>
  </si>
  <si>
    <t>WARN Notice裁员数据</t>
  </si>
  <si>
    <t>ADP 新增就业人数</t>
  </si>
  <si>
    <t>消费</t>
  </si>
  <si>
    <t xml:space="preserve"> RedBook 零售指数</t>
  </si>
  <si>
    <t>地产</t>
  </si>
  <si>
    <t>Redfin 房屋销售量</t>
  </si>
  <si>
    <t>房地产待售时长（4WMA）</t>
  </si>
  <si>
    <t>美国中位数房价</t>
  </si>
  <si>
    <t>工资增速跑赢房价：2026 年是自 2008 年以来首次出现工资增速（约 4.5%）显著超过房价涨幅（约 1%）。这意味着购买力正在缓慢修复，防止了房价出现断崖式下跌。
库存锁定效应减弱：随着抵押贷款利率稳定在 6.0% - 6.3% 区间，更多卖家开始接受现实并挂牌（新挂牌量增长约 10%），这增加了市场供应，但也通过“成交量回升”稳定了价格预期。
租赁市场压力：租金预计在 2026 年上涨 2%-3%，这迫使部分租房者（特别是高薪白领）重新进入买房市场。</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</si>
</sst>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rgb="FFC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6"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7" applyNumberFormat="0" applyFill="0" applyAlignment="0" applyProtection="0">
      <alignment vertical="center"/>
    </xf>
    <xf numFmtId="0" fontId="8" fillId="0" borderId="7" applyNumberFormat="0" applyFill="0" applyAlignment="0" applyProtection="0">
      <alignment vertical="center"/>
    </xf>
    <xf numFmtId="0" fontId="9" fillId="0" borderId="8" applyNumberFormat="0" applyFill="0" applyAlignment="0" applyProtection="0">
      <alignment vertical="center"/>
    </xf>
    <xf numFmtId="0" fontId="9" fillId="0" borderId="0" applyNumberFormat="0" applyFill="0" applyBorder="0" applyAlignment="0" applyProtection="0">
      <alignment vertical="center"/>
    </xf>
    <xf numFmtId="0" fontId="10" fillId="4" borderId="9" applyNumberFormat="0" applyAlignment="0" applyProtection="0">
      <alignment vertical="center"/>
    </xf>
    <xf numFmtId="0" fontId="11" fillId="5" borderId="10" applyNumberFormat="0" applyAlignment="0" applyProtection="0">
      <alignment vertical="center"/>
    </xf>
    <xf numFmtId="0" fontId="12" fillId="5" borderId="9" applyNumberFormat="0" applyAlignment="0" applyProtection="0">
      <alignment vertical="center"/>
    </xf>
    <xf numFmtId="0" fontId="13" fillId="6" borderId="11" applyNumberFormat="0" applyAlignment="0" applyProtection="0">
      <alignment vertical="center"/>
    </xf>
    <xf numFmtId="0" fontId="14" fillId="0" borderId="12" applyNumberFormat="0" applyFill="0" applyAlignment="0" applyProtection="0">
      <alignment vertical="center"/>
    </xf>
    <xf numFmtId="0" fontId="15" fillId="0" borderId="13"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12">
    <xf numFmtId="0" fontId="0" fillId="0" borderId="0" xfId="0">
      <alignment vertical="center"/>
    </xf>
    <xf numFmtId="0" fontId="1" fillId="2" borderId="1" xfId="0" applyFont="1" applyFill="1" applyBorder="1">
      <alignment vertical="center"/>
    </xf>
    <xf numFmtId="0" fontId="0" fillId="2" borderId="1" xfId="0" applyFill="1" applyBorder="1">
      <alignment vertical="center"/>
    </xf>
    <xf numFmtId="0" fontId="0" fillId="0" borderId="1" xfId="0" applyFill="1" applyBorder="1" applyAlignment="1">
      <alignment horizontal="center" vertical="center"/>
    </xf>
    <xf numFmtId="0" fontId="0" fillId="0" borderId="2" xfId="0" applyBorder="1" applyAlignment="1">
      <alignment vertical="center" wrapText="1"/>
    </xf>
    <xf numFmtId="0" fontId="0" fillId="0" borderId="1" xfId="0" applyBorder="1" applyAlignment="1">
      <alignment vertical="center" wrapText="1"/>
    </xf>
    <xf numFmtId="0" fontId="0" fillId="0" borderId="3" xfId="0" applyFill="1" applyBorder="1" applyAlignment="1">
      <alignment horizontal="center" vertical="center"/>
    </xf>
    <xf numFmtId="0" fontId="0" fillId="0" borderId="4" xfId="0" applyFill="1" applyBorder="1" applyAlignment="1">
      <alignment horizontal="center" vertical="center"/>
    </xf>
    <xf numFmtId="0" fontId="0" fillId="0" borderId="5" xfId="0" applyFill="1" applyBorder="1" applyAlignment="1">
      <alignment horizontal="center" vertical="center"/>
    </xf>
    <xf numFmtId="0" fontId="0" fillId="0" borderId="1" xfId="0"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5968;&#25454;v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总表"/>
      <sheetName val="美国宏观和金融条件"/>
      <sheetName val="股票估值和盈利"/>
    </sheetNames>
    <sheetDataSet>
      <sheetData sheetId="0"/>
      <sheetData sheetId="1">
        <row r="2">
          <cell r="E2" t="str">
            <v>1.数值：99.2；2.斜率： 98.5反弹至 99.2。</v>
          </cell>
          <cell r="F2" t="str">
            <v>警惕“再收紧”触发的估值下修高盛研究表明，FCI 的变动斜率比绝对值更重要。建议：由于过去一个月 FCI 指数从 98.5 反弹至 99.2（即环境在变紧），这通常预示着未来 3-6 个月 GDP 增速将放缓。</v>
          </cell>
        </row>
        <row r="3">
          <cell r="F3" t="str">
            <v>相比 2025 年底的 +0.66，目前的 +0.35 说明金融条件正在显著收紧，但尚未跌入负值（即尚未进入“流动性危机”状态）。规律：历史上，当 BFCI 从正数快速向 0 轴回归时，标普 500 的短期胜率会降至 40% 以下。
建议：目前 +0.35 的位置属于“温水煮青蛙”。如果未来两周 BFCI 跌破 0，说明市场进入了实质性的信用紧缩，建议将所有杠杆头寸（如之前提到的 保证金债务）清零，回归防御。</v>
          </cell>
        </row>
        <row r="4">
          <cell r="E4">
            <v>-0.56</v>
          </cell>
          <cell r="F4" t="str">
            <v>NFCI 由三个主要维度组成，通过查看子项可以发现市场压力的具体来源：
风险子指数（Risk）：读数约 -0.64。这说明目前市场波动率较低，信贷息差处于健康水平，市场情绪整体偏乐观。
信用子指数（Credit）：读数约 -0.07。信贷的可获得性处于正常偏宽松状态。
杠杆子指数（Leverage）：读数约 -0.07。说明目前金融体系的债务压力和杠杆水平并不极端。
对于美股（科技股）
目前的 -0.56 说明宏观流动性依然充裕。在这种环境下，只要企业（如 ASML 或 TSMC）的盈利（Earnings）不出现大幅下修，估值端（Multiplier）通常能获得支撑。这是一个典型的“风险偏好温和”的环境。</v>
          </cell>
        </row>
        <row r="5">
          <cell r="E5" t="str">
            <v>当前 STLENI 预测值 (2026 Q1)：2.41%。</v>
          </cell>
          <cell r="F5" t="str">
            <v>A. 警惕“过热后的下修”
目前 STLENI (2.41%) 低于 GDPNow (3.0%)，这通常说明最近公布的一些月度数据（如昨日的 ISM 制造业指数）在“新闻面”上被市场解读为弱于之前的乐观共识。
信号意义：如果这两个指数的差距进一步拉大，通常预示着美股即将进入盈利预期的下修期。你之前关注的 ERP 极低分位 将面临巨大的调整压力。
B. 监控“政策转向”的哨兵
STLENI 对通胀相关新闻非常敏感。
建议：如果 STLENI 下滑，而你发现美联储官员的讲话依然鹰派（如圣路易斯联储主席 Musalem 最近提到的通胀仍有压力），这说明**“经济在慢下来，但利息降不下来”**。这是对纳斯达克科技股最不利的组合。
C. 确定性溢价
策略：在 STLENI 低于 GDPNow 期间，市场往往会发生“从进攻转为质量”的切换。资金会离开那些依赖宏观爆发的小盘股，涌向你持有的 高 ROIC (9.5%) 且 现金流 PEG 极低 的龙头</v>
          </cell>
        </row>
        <row r="6">
          <cell r="E6" t="str">
            <v>当前预测值 (2026 Q1)：3.0%（3 月 2 日最新更新）。
近期变动：
2 月 24 日：3.1%（处于近期高位）。
3 月 2 日：受 ISM 制造业指数 发布影响，模型下修了个人消费支出（PCE）和私人投资的贡献，数值微降至 3.0%。
分项结构：
实际私人固定资产投资：贡献约 3.5%（强劲）。
实际 PCE (个人消费)：贡献下调至 1.4%（显现出疲态）。</v>
          </cell>
          <cell r="F6" t="str">
            <v>不要做空大趋势：3.0% 的增长说明经济并未崩溃。在这种背景下，单纯因为“估值贵（高 PE）”而做空大盘风险很大。
关注“制造业复苏”受益股：由于投资支出（3.5%）强于消费支出（1.4%），你应该更看好 工业自动化、能源设备和 AI 基础设施，而非传统的可选消费股。
高通胀压力常态化：既然 GDP 增速依然高达 3.0%，这意味着美联储没有理由迅速降息。你关心的 $WACC$（资本成本） 将在更长时间内保持高位，这对高估值科技股的折现率非常不利。</v>
          </cell>
        </row>
        <row r="7">
          <cell r="E7" t="str">
            <v>当前 ADS 读数：+0.15 附近。但斜率向下</v>
          </cell>
          <cell r="F7" t="str">
            <v>1.目前读数较 2026 年 1 月的 +0.45 有所下滑，但仍保持在正值区间。这说明经济正在从“过热”向“常态化增长”平稳过渡。
2.在 ADS 指数的构建中，周初请失业金人数 (Initial Claims) 是权重最高、频率最快（周频）的“硬核”指标，它通常被视为 ADS 指数的先导斜率。目前 ADS 指数从之前的 +0.45 快速回落至 +0.15，其中约 70% 的拉低作用 均来自于初请失业金人数的这个负斜率。初请失业金人数是少数几个能跑在 GDP 之前的指标。目前的斜率意味着美国企业（尤其是你关注的科技板块以外的传统行业）可能已经开始悄然缩减招聘或启动小规模裁员。</v>
          </cell>
        </row>
        <row r="9">
          <cell r="E9" t="str">
            <v>裁员规模回升：2026 年前两个月，加州科技行业的 WARN 申报人数比 2025 年同期增长了 18%。</v>
          </cell>
          <cell r="F9" t="str">
            <v>
WARN 数据告诉你：美国劳动力市场的“冰层”正在变薄。WARN 的独特价值在于它的“强制性预判”：根据联邦法律，规模在 100 人以上的企业进行 50 人以上的裁员时，必须提前 60 天（纽约州等部分地区为 90 天）向州政府申报。</v>
          </cell>
        </row>
        <row r="10">
          <cell r="E10" t="str">
            <v>1 月回顾（实际值）：2.2 万人（远低于预期的 4.8 万人）。
特征：制造业持续流失岗位，专业与商业服务显著下滑。唯一的亮点是教育与医疗（+7.4 万）。2 月预测（明天发布）：市场普遍预期为 4.3 万 - 5.0 万人。
斜率观察：根据 ADP 的周频追踪（NER Pulse），2 月前四周的招聘速度有所回升（平均每周约 1.27 万人），显示出从 1 月的极度低迷中温和复苏。
薪资增速：目前稳定在 4.5% 左右。尽管招人慢，但“留人”的成本依然很高。</v>
          </cell>
          <cell r="F10" t="str">
            <v>美国劳动力市场正处于“低速增长但薪资稳固”的僵局。</v>
          </cell>
        </row>
        <row r="11">
          <cell r="E11" t="str">
            <v>当前数值 (YoY)：6.7%（截至 2 月 28 日当周）。
趋势对比：
上周：7.2%（2 月 21 日当周）。
历史分位：处于 5% - 7% 的稳健增长区间，但较 2 月中的高点有所回落。
信号含义：零售增长依然“在线”，说明美国消费者虽然面临高利率，但并没有“收手”。</v>
          </cell>
          <cell r="F11" t="str">
            <v>A. 验证“金发姑娘”行情的韧性
指引：既然同店销售额仍有 6.7% 的增长，说明 GDPNow (3.0%) 的预测并非空穴来风。
策略：这降低了市场对“突发性衰退”的担忧。对于你持有的 高 ROIC 科技股，这意味着下游企业和消费者的购买力依然能支撑它们的软件和硬件开支。
B. 监控“通胀粘性”与降息预期
逻辑：如果零售指数长期维持在 6% 以上，而通胀目标是 2%，这通常意味着需求依然过热。
指引：这会支撑 10Y 美债收益率在 4% 附近 震荡。</v>
          </cell>
        </row>
        <row r="13">
          <cell r="E13" t="str">
            <v>房屋成交量 (Home Sales)：同比下降 3.2%。尽管由于 2 月份气温转暖导致需求略有回升，但高企的抵押贷款利率（30 年期固定利率仍在 6.7% - 6.9% 波动）依然抑制了成交动力。</v>
          </cell>
          <cell r="F13" t="str">
            <v>Redfin 最近指出，部分地区的公寓销售（Condos）跌幅远超独栋住宅。这反映了高息环境下投资者对“租金回报率”的重新审视。</v>
          </cell>
        </row>
        <row r="14">
          <cell r="E14" t="str">
            <v>当前 4WMA 数值：全美中位待售时长约为 47 - 66 天。
趋势变动：较 2026 年 1 月份的 78 天（季节性高点）有所回落，但较去年（2025 年）同期增加了约 7 - 10 天。</v>
          </cell>
          <cell r="F14" t="str">
            <v>信号含义：市场正在变慢。虽然进入了 3 月份的春季销售旺季，但买家变得比以往更加挑剔（Selective），这主要是由于 30 年期固定抵押贷款利率仍处于 6.1% - 6.8% 的相对高位，压制了购买冲动。</v>
          </cell>
        </row>
        <row r="15">
          <cell r="E15" t="str">
            <v>现有住房中位售价 (Existing-Home Median Price)：
最新数值：约 $39.68 万 - $42.30 万美元（根据 NAR 和 Redfin 的最新月度综合）。
同比变动：增长约 1.1% - 1.4%。</v>
          </cell>
        </row>
      </sheetData>
      <sheetData sheetId="2">
        <row r="6">
          <cell r="E6" t="str">
            <v>净利率：Q3 23%-24%,Q4 24.5%-25%,26Q1预计 24.8%-25.2%；
毛利率：Q3 64.2%,Q4 65.5%,26Q1预计65.5%-66.2%</v>
          </cell>
          <cell r="F6" t="str">
            <v>盈利增长动力： 根据 FactSet 的最新数据（2026 年 2 月底发布），分析师目前预计 2026 年 Q1 的盈利同比增长率约为 11.1%。虽然增速较 2025 年 Q4 的高基数略有放缓，但其利润率绝对值仍显著高于 10 年平均水平。
1.AI 投入与利润率的“拉锯”：
正面： 随着 2025 年部署的 AI 算力开始进入应用期，软件公司（如微软、ServiceNow、Adobe）的 AI 产品订阅收入开始贡献毛利。
负面： 纳斯达克 100 权重股在 2026 年的资本支出 (CapEx) 预计将继续维持在历史高位，折旧成本对营业利润率 (Operating Margin) 会产生约 100-150 个基点的潜在压力，这在一定程度上限制了净利率的爆发式增长。
2.行业表现分化：
半导体与 IT： 毛利率预计表现最强，特别是高性能计算（HPC）相关领域。
通信服务 (Meta, Google)： 广告业务利润率稳定，但在 AI 模型训练上的持续投入是主要的成本开支。</v>
          </cell>
        </row>
        <row r="7">
          <cell r="E7" t="str">
            <v>2025 Q3 (实测) ~12.2% AI 硬件需求井喷，半导体板块营收增速领跑大盘。
2025 Q4 (实测) ~13.0% 年末假日消费带动电商与广告业务，Mag-7 营收贡献显著。
2026 Q1 (预期) ~11.8% 增速小幅放缓。受高基数效应影响，虽然 AI 需求仍旺盛，但增速百分比面临挑战。</v>
          </cell>
        </row>
        <row r="8">
          <cell r="E8" t="str">
            <v>预计ROIC，预计WACC，利差 (ROIC - WACC)：2025 Q3 (实测感官) ~13.5% ~5.0% ~8.5% 科技股驱动，利差处于高位。2025 Q4 (估算) ~13.8% ~4.8% ~9.0% 盈利季节性走强，成本微降。
2026 Q1 (预测) ~14.2% ~4.5% ~9.7%</v>
          </cell>
          <cell r="F8" t="str">
            <v>1.总量：近两个季度 (2025 Q3 - 2025 Q4)，标普 500 的利差保持了意外的韧性，主要得益于 ROIC 的高位稳定抵消了WACC下行缓慢 的压力。2.结构：利差开始从科技股向传统行业（如工业、材料）扩散。随着美国 GDP 增长超预期（约 2.5%），非科技企业的资本效率改善，标普 500 整体的 ROIC小幅扩张，抵消了当时二次通胀预期带来的融资成本波动。</v>
          </cell>
        </row>
        <row r="9">
          <cell r="E9" t="str">
            <v>标普500:10 年中位数约为 2.5% 至 3.0%，分位数约前 2%- 5%的历史极低区间。</v>
          </cell>
          <cell r="F9" t="str">
            <v>在过去 10 年中，只有在 2000 年互联网泡沫顶峰时期（超出 10 年周期范围）见过比这更极端的估值结构。现在的水平预示着，一旦美债收益率反弹或财报稍逊预期，纳斯达克将承受巨大的估值下杀压力。</v>
          </cell>
        </row>
        <row r="11">
          <cell r="E11" t="str">
            <v>高位整固、结构切换。1.强力上修：ai基建、网络安全、金融服务，如 MSFT, PLTR的 AI 订阅渗透率超预期，金融中降息周期下财富管理收入上修。2.下修：能源、地产、零售</v>
          </cell>
          <cell r="F11" t="str">
            <v>1.2026 全年预期： 目前市场一致预期 2026 年 EPS 增长约为 14.3% - 14.4%，高于 2025 年底预期的 12%。2.上修幅度： 在过去的 3 个月里（2025 Q4 至 2026 Q1），分析师将 2026 年的底部 EPS 预测调高了约 2.5%。这在历史同期属于非常积极的信号，因为通常季度初分析师往往会下调预期。3.结果，与 2024-2025 年主要依赖“科技七巨头 (Mag 7)”不同，2026 年的上修动能表现出明显的广度 (Breadth) 改善。</v>
          </cell>
        </row>
        <row r="13">
          <cell r="E13" t="str">
            <v>2025四季报：76% 的胜率</v>
          </cell>
          <cell r="F13" t="str">
            <v>盈余惊喜比例： 76% 的公司实际每股收益（EPS）超过了分析师的平均预测。行业分层：1.最强行业-工业：波音、GE Vernova。 实际盈利较预期高出 28.6%，主要受全球航空复苏和能源设备需求爆发驱动；2.普遍超过-通信技术，95% - 100% 的公司都超过了预期。3.表现承压-地产和能源仅有 47% 的公司盈利超预期。</v>
          </cell>
        </row>
        <row r="15">
          <cell r="E15" t="str">
            <v>该指数目前处于 正值区间（约为 +5% 到 +8%）。这意味着上调每股收益（EPS）预期的分析师人数仍多于下调人数。</v>
          </cell>
          <cell r="F15" t="str">
            <v>趋势对比：
2025 Q3-Q4：指数曾一度冲高至 +15%，反映了市场对 AI 硬件订单的极度乐观。
2026 Q1 现状：指数开始回落但仍保持在 0 轴上方。这说明盈利增长的“最快爆发期”预期已经计入股价，现在进入了“验证期”。</v>
          </cell>
        </row>
        <row r="16">
          <cell r="E16" t="str">
            <v>2026 Q1 当前状态：由“超额强劲”回归“平庸”截至 2026 年 3 月初，美股 CESI 指数正在经历一个“高位回落”的过程。当前数值：目前处于 +5到+15之间。</v>
          </cell>
          <cell r="F16" t="str">
            <v>CESI 是用来“校准预期”的。
如果 CESI 向上：说明现实比梦想更美好，继续持股。
如果 CESI 向下：说明梦想正在透支现实，尤其在 ERP（风险溢价） 如此之低的今天，这是非常明确的离场信号。</v>
          </cell>
        </row>
        <row r="17">
          <cell r="E17" t="str">
            <v>1.Global SWF2026 Q1：主权基金对 私人抵押贷款 (Private Credit) 和基础设施的投入创 3 年新高。它们正在寻找能对抗通胀且收益率高于5%的债权类工具，作为对冲美股估值下修的盾牌。
2.SWFI记录显示，中东基金（如 PIF）在 1-2 月增加了对标普 500中必需消费品和医疗保健板块大盘股的买入。典型的防守策略。这些板块在经济意外指数（CESI）下滑时更具韧性。
3.IFSWF会议纪要强调“地缘政治韧性”，基金开始增加实物资产（实物金、战略矿产）的储备。</v>
          </cell>
          <cell r="F17" t="str">
            <v>根据 Global SWF、SWFI 以及 2026 年初最新的资金流向监测，主权财富基金（SWF）从美股科技板块流出的资金，并没有消失，而是精准地投向了具有“高确定性”和“政策红利”的特定地区。包括：日本、印度、东南亚、中东本土</v>
          </cell>
        </row>
        <row r="18">
          <cell r="E18" t="str">
            <v>标普 500为~1.85；纳斯达克 100为~1.61</v>
          </cell>
          <cell r="F18" t="str">
            <v>目前纳斯达克的现金流 PEG 低于标普 500，说明虽然纳指更贵，但它的现金流增长斜率更陡，能更好地对冲高估值压力。</v>
          </cell>
        </row>
        <row r="21">
          <cell r="E21" t="str">
            <v>标普500:1.股息率1.51%。净回购率：约1.8% - 2.1%，tsy合计 3.3% - 3.6%。10年美债约3.9%，差值-0.3%到-0.6%</v>
          </cell>
          <cell r="F21" t="str">
            <v>负向利差。 这意味着目前持有标普 500 拿到的现金回报（分红+回购），还不如持有无风险的 10 年期美债高。</v>
          </cell>
        </row>
        <row r="28">
          <cell r="E28" t="str">
            <v>2026.02.26 - 2026.03.02
净看多比例 (看多-看空) 为22.5% ，历史6.5%</v>
          </cell>
          <cell r="F28" t="str">
            <v>历史规律：当“净看多比例”持续超过 +20% 且维持数周时，通常预示着市场短期内已经严重超买。</v>
          </cell>
        </row>
        <row r="29">
          <cell r="E29" t="str">
            <v>当前看涨共识指数：约 72% - 74%
历史均值：约 55% - 60%
信号区域：极度贪婪（Extreme Optimism）</v>
          </cell>
          <cell r="F29" t="str">
            <v>在Market Vane 的体系中，当指数超过 70% 时，通常被视为市场已经“充分定价”了所有利好。反向指标效应：历史上，当 Market Vane 连续数周维持在 70% 以上，标普 500 指数在未来 4-8 周内出现中等级别回调-5%的概率高达 75%。</v>
          </cell>
        </row>
        <row r="36">
          <cell r="E36" t="str">
            <v>根据 FINRA 和纽交所（NYSE）的最新月度数据汇总：
当前保证金债务总额：约 $9,200 亿 - $9,500 亿美元（接近 2021 年的历史峰值）。
保证金债务 / 总市值 比例：目前约为 1.4% - 1.6%。
10 年分位水平：处于 前 10% 的高位。</v>
          </cell>
          <cell r="F36" t="str">
            <v>目前（2026 Q1）保证金债务/市值指标正在发出“过度挤压”的警示。 市场现在的繁荣有一部分是靠“借来的钱”撑起的。
历史崩盘的前兆：指标的“掉头”
历史证明，危险不在于保证金债务有多高，而在于它停止增长并开始萎缩的时刻：
2000 年 &amp; 2008 年 &amp; 2022 年：在股市见顶前的 1-3 个月，保证金债务通常会先于大盘见顶并掉头向下。
2026 年 3 月信号：目前该指标的增长斜率已经开始平缓。如果下个月公布的数据出现显著下降，那将是确凿无疑的见顶信号。</v>
          </cell>
        </row>
        <row r="37">
          <cell r="E37" t="str">
            <v>约 $7,800 亿 - $8,200 亿美元。战术回避：在 3 月中旬到 4 月中旬（税收回笼期），TGA 余额通常会显著飙升，这往往是美股一年中流动性最枯竭的时刻。</v>
          </cell>
          <cell r="F37" t="str">
            <v>RRP 已近枯竭：2024-2025 年 RRP 的大幅下降曾释放了大量流动性对冲了加息压力。但到 2026 年初，RRP 剩余规模已不多。
TGA 正在吸血：如果 TGA 为了应对 2026 年的财政支出计划而继续抽水，而 RRP 已经无钱可补，那么银行准备金将直接下降。
后果：这会导致你关注的 保证金债务（Margin Debt） 成本上升，引发多头撤退。</v>
          </cell>
        </row>
        <row r="38">
          <cell r="E38" t="str">
            <v>2月底-3月初，基差20bp左右，较1-2月扩大10bp</v>
          </cell>
          <cell r="F38" t="str">
            <v>过去一个月基差的走阔，印证了你之前关注的 TGA 账户回升正在产生实际影响。如果基差突破 25 bp，通常意味着美联储必须考虑放缓缩表（QT），否则股市将面临流动性引发的“闪崩”。</v>
          </cell>
        </row>
        <row r="39">
          <cell r="E39" t="str">
            <v>美联储基准利率：~5.25%日本央行（BoJ）加息后利率：~0.75%（2026 年 2 月底刚加息）利差（分子）：5.25% - 0.75% = 4.50%。预期波动率 (USD/JPY 1-Month Implied Volatility)：受日本央行鹰派表态及中东局势影响，美日隐含波动率已飙升至 15.8%。ctr结果0.28</v>
          </cell>
          <cell r="F39" t="str">
            <v>投资者承担每单位风险所获得的补偿正在迅速减少。目前的 0.28 是一个典型的“崩盘前夜”数值。
红色警报：如果 USD/JPY 跌破 142（日元升值），且隐含波动率突破 18%，CTR 将跌破 0.25。历史上，这通常伴随着纳斯达克 3% - 5% 的单日大阴线。
避险建议：在 CTR 低于 0.3 期间，应避开高贝塔（High Beta）的半导体和 AI 板块，因为它们是日元套利资金最集中的地方。</v>
          </cell>
        </row>
      </sheetData>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9"/>
  <sheetViews>
    <sheetView tabSelected="1" zoomScale="81" zoomScaleNormal="81" topLeftCell="A24" workbookViewId="0">
      <selection activeCell="D27" sqref="D27"/>
    </sheetView>
  </sheetViews>
  <sheetFormatPr defaultColWidth="9.23148148148148" defaultRowHeight="14.4" outlineLevelCol="5"/>
  <cols>
    <col min="1" max="1" width="19.7037037037037" customWidth="1"/>
    <col min="2" max="2" width="34.6111111111111" customWidth="1"/>
    <col min="3" max="3" width="38" customWidth="1"/>
    <col min="4" max="4" width="55.1296296296296" customWidth="1"/>
    <col min="5" max="5" width="27.0925925925926" customWidth="1"/>
    <col min="6" max="6" width="15.8240740740741" customWidth="1"/>
  </cols>
  <sheetData>
    <row r="1" spans="1:6">
      <c r="A1" s="1" t="s">
        <v>0</v>
      </c>
      <c r="B1" s="2" t="s">
        <v>1</v>
      </c>
      <c r="C1" s="2" t="s">
        <v>2</v>
      </c>
      <c r="D1" s="2" t="s">
        <v>3</v>
      </c>
      <c r="E1" s="2" t="s">
        <v>4</v>
      </c>
      <c r="F1" s="2" t="s">
        <v>5</v>
      </c>
    </row>
    <row r="2" ht="244.8" spans="1:6">
      <c r="A2" s="3" t="s">
        <v>6</v>
      </c>
      <c r="B2" s="4" t="s">
        <v>7</v>
      </c>
      <c r="C2" s="5" t="str">
        <f>[1]股票估值和盈利!E6</f>
        <v>净利率：Q3 23%-24%,Q4 24.5%-25%,26Q1预计 24.8%-25.2%；
毛利率：Q3 64.2%,Q4 65.5%,26Q1预计65.5%-66.2%</v>
      </c>
      <c r="D2" s="5" t="str">
        <f>[1]股票估值和盈利!F6</f>
        <v>盈利增长动力： 根据 FactSet 的最新数据（2026 年 2 月底发布），分析师目前预计 2026 年 Q1 的盈利同比增长率约为 11.1%。虽然增速较 2025 年 Q4 的高基数略有放缓，但其利润率绝对值仍显著高于 10 年平均水平。
1.AI 投入与利润率的“拉锯”：
正面： 随着 2025 年部署的 AI 算力开始进入应用期，软件公司（如微软、ServiceNow、Adobe）的 AI 产品订阅收入开始贡献毛利。
负面： 纳斯达克 100 权重股在 2026 年的资本支出 (CapEx) 预计将继续维持在历史高位，折旧成本对营业利润率 (Operating Margin) 会产生约 100-150 个基点的潜在压力，这在一定程度上限制了净利率的爆发式增长。
2.行业表现分化：
半导体与 IT： 毛利率预计表现最强，特别是高性能计算（HPC）相关领域。
通信服务 (Meta, Google)： 广告业务利润率稳定，但在 AI 模型训练上的持续投入是主要的成本开支。</v>
      </c>
      <c r="E2" s="5" t="s">
        <v>8</v>
      </c>
      <c r="F2" s="5" t="s">
        <v>9</v>
      </c>
    </row>
    <row r="3" ht="100.8" spans="1:6">
      <c r="A3" s="3"/>
      <c r="B3" s="4" t="s">
        <v>10</v>
      </c>
      <c r="C3" s="5" t="str">
        <f>[1]股票估值和盈利!E11</f>
        <v>高位整固、结构切换。1.强力上修：ai基建、网络安全、金融服务，如 MSFT, PLTR的 AI 订阅渗透率超预期，金融中降息周期下财富管理收入上修。2.下修：能源、地产、零售</v>
      </c>
      <c r="D3" s="5" t="str">
        <f>[1]股票估值和盈利!F11</f>
        <v>1.2026 全年预期： 目前市场一致预期 2026 年 EPS 增长约为 14.3% - 14.4%，高于 2025 年底预期的 12%。2.上修幅度： 在过去的 3 个月里（2025 Q4 至 2026 Q1），分析师将 2026 年的底部 EPS 预测调高了约 2.5%。这在历史同期属于非常积极的信号，因为通常季度初分析师往往会下调预期。3.结果，与 2024-2025 年主要依赖“科技七巨头 (Mag 7)”不同，2026 年的上修动能表现出明显的广度 (Breadth) 改善。</v>
      </c>
      <c r="E3" s="5" t="s">
        <v>11</v>
      </c>
      <c r="F3" s="5" t="s">
        <v>9</v>
      </c>
    </row>
    <row r="4" ht="86.4" spans="1:6">
      <c r="A4" s="3"/>
      <c r="B4" s="4" t="s">
        <v>12</v>
      </c>
      <c r="C4" s="5" t="str">
        <f>[1]股票估值和盈利!E13</f>
        <v>2025四季报：76% 的胜率</v>
      </c>
      <c r="D4" s="5" t="str">
        <f>[1]股票估值和盈利!F13</f>
        <v>盈余惊喜比例： 76% 的公司实际每股收益（EPS）超过了分析师的平均预测。行业分层：1.最强行业-工业：波音、GE Vernova。 实际盈利较预期高出 28.6%，主要受全球航空复苏和能源设备需求爆发驱动；2.普遍超过-通信技术，95% - 100% 的公司都超过了预期。3.表现承压-地产和能源仅有 47% 的公司盈利超预期。</v>
      </c>
      <c r="E4" s="5" t="s">
        <v>13</v>
      </c>
      <c r="F4" s="5" t="s">
        <v>9</v>
      </c>
    </row>
    <row r="5" ht="86.4" spans="1:6">
      <c r="A5" s="3"/>
      <c r="B5" s="4" t="s">
        <v>14</v>
      </c>
      <c r="C5" s="5" t="str">
        <f>[1]股票估值和盈利!E8</f>
        <v>预计ROIC，预计WACC，利差 (ROIC - WACC)：2025 Q3 (实测感官) ~13.5% ~5.0% ~8.5% 科技股驱动，利差处于高位。2025 Q4 (估算) ~13.8% ~4.8% ~9.0% 盈利季节性走强，成本微降。
2026 Q1 (预测) ~14.2% ~4.5% ~9.7%</v>
      </c>
      <c r="D5" s="5" t="str">
        <f>[1]股票估值和盈利!F8</f>
        <v>1.总量：近两个季度 (2025 Q3 - 2025 Q4)，标普 500 的利差保持了意外的韧性，主要得益于 ROIC 的高位稳定抵消了WACC下行缓慢 的压力。2.结构：利差开始从科技股向传统行业（如工业、材料）扩散。随着美国 GDP 增长超预期（约 2.5%），非科技企业的资本效率改善，标普 500 整体的 ROIC小幅扩张，抵消了当时二次通胀预期带来的融资成本波动。</v>
      </c>
      <c r="E5" s="5" t="s">
        <v>15</v>
      </c>
      <c r="F5" s="5" t="s">
        <v>9</v>
      </c>
    </row>
    <row r="6" ht="115.2" spans="1:6">
      <c r="A6" s="3"/>
      <c r="B6" s="4" t="s">
        <v>16</v>
      </c>
      <c r="C6" s="5" t="str">
        <f>[1]股票估值和盈利!E7</f>
        <v>2025 Q3 (实测) ~12.2% AI 硬件需求井喷，半导体板块营收增速领跑大盘。
2025 Q4 (实测) ~13.0% 年末假日消费带动电商与广告业务，Mag-7 营收贡献显著。
2026 Q1 (预期) ~11.8% 增速小幅放缓。受高基数效应影响，虽然 AI 需求仍旺盛，但增速百分比面临挑战。</v>
      </c>
      <c r="D6" s="5" t="str">
        <f>[1]股票估值和盈利!F8</f>
        <v>1.总量：近两个季度 (2025 Q3 - 2025 Q4)，标普 500 的利差保持了意外的韧性，主要得益于 ROIC 的高位稳定抵消了WACC下行缓慢 的压力。2.结构：利差开始从科技股向传统行业（如工业、材料）扩散。随着美国 GDP 增长超预期（约 2.5%），非科技企业的资本效率改善，标普 500 整体的 ROIC小幅扩张，抵消了当时二次通胀预期带来的融资成本波动。</v>
      </c>
      <c r="E6" s="5" t="s">
        <v>17</v>
      </c>
      <c r="F6" s="5" t="s">
        <v>18</v>
      </c>
    </row>
    <row r="7" ht="57.6" spans="1:6">
      <c r="A7" s="3"/>
      <c r="B7" s="4" t="s">
        <v>19</v>
      </c>
      <c r="C7" s="5" t="str">
        <f>[1]股票估值和盈利!E9</f>
        <v>标普500:10 年中位数约为 2.5% 至 3.0%，分位数约前 2%- 5%的历史极低区间。</v>
      </c>
      <c r="D7" s="5" t="str">
        <f>[1]股票估值和盈利!F9</f>
        <v>在过去 10 年中，只有在 2000 年互联网泡沫顶峰时期（超出 10 年周期范围）见过比这更极端的估值结构。现在的水平预示着，一旦美债收益率反弹或财报稍逊预期，纳斯达克将承受巨大的估值下杀压力。</v>
      </c>
      <c r="E7" s="5" t="s">
        <v>20</v>
      </c>
      <c r="F7" s="5" t="s">
        <v>21</v>
      </c>
    </row>
    <row r="8" ht="86.4" spans="1:6">
      <c r="A8" s="3"/>
      <c r="B8" s="4" t="s">
        <v>22</v>
      </c>
      <c r="C8" s="5" t="str">
        <f>[1]股票估值和盈利!E15</f>
        <v>该指数目前处于 正值区间（约为 +5% 到 +8%）。这意味着上调每股收益（EPS）预期的分析师人数仍多于下调人数。</v>
      </c>
      <c r="D8" s="5" t="str">
        <f>[1]股票估值和盈利!F15</f>
        <v>趋势对比：
2025 Q3-Q4：指数曾一度冲高至 +15%，反映了市场对 AI 硬件订单的极度乐观。
2026 Q1 现状：指数开始回落但仍保持在 0 轴上方。这说明盈利增长的“最快爆发期”预期已经计入股价，现在进入了“验证期”。</v>
      </c>
      <c r="E8" s="5" t="s">
        <v>23</v>
      </c>
      <c r="F8" s="5" t="s">
        <v>18</v>
      </c>
    </row>
    <row r="9" ht="57.6" spans="1:6">
      <c r="A9" s="3"/>
      <c r="B9" s="4" t="s">
        <v>24</v>
      </c>
      <c r="C9" s="5" t="str">
        <f>[1]股票估值和盈利!E16</f>
        <v>2026 Q1 当前状态：由“超额强劲”回归“平庸”截至 2026 年 3 月初，美股 CESI 指数正在经历一个“高位回落”的过程。当前数值：目前处于 +5到+15之间。</v>
      </c>
      <c r="D9" s="5" t="str">
        <f>[1]股票估值和盈利!F16</f>
        <v>CESI 是用来“校准预期”的。
如果 CESI 向上：说明现实比梦想更美好，继续持股。
如果 CESI 向下：说明梦想正在透支现实，尤其在 ERP（风险溢价） 如此之低的今天，这是非常明确的离场信号。</v>
      </c>
      <c r="E9" s="5" t="s">
        <v>25</v>
      </c>
      <c r="F9" s="5" t="s">
        <v>21</v>
      </c>
    </row>
    <row r="10" ht="187.2" spans="1:6">
      <c r="A10" s="3"/>
      <c r="B10" s="4" t="s">
        <v>26</v>
      </c>
      <c r="C10" s="5" t="str">
        <f>[1]股票估值和盈利!E17</f>
        <v>1.Global SWF2026 Q1：主权基金对 私人抵押贷款 (Private Credit) 和基础设施的投入创 3 年新高。它们正在寻找能对抗通胀且收益率高于5%的债权类工具，作为对冲美股估值下修的盾牌。
2.SWFI记录显示，中东基金（如 PIF）在 1-2 月增加了对标普 500中必需消费品和医疗保健板块大盘股的买入。典型的防守策略。这些板块在经济意外指数（CESI）下滑时更具韧性。
3.IFSWF会议纪要强调“地缘政治韧性”，基金开始增加实物资产（实物金、战略矿产）的储备。</v>
      </c>
      <c r="D10" s="5" t="str">
        <f>[1]股票估值和盈利!F17</f>
        <v>根据 Global SWF、SWFI 以及 2026 年初最新的资金流向监测，主权财富基金（SWF）从美股科技板块流出的资金，并没有消失，而是精准地投向了具有“高确定性”和“政策红利”的特定地区。包括：日本、印度、东南亚、中东本土</v>
      </c>
      <c r="E10" s="5" t="s">
        <v>27</v>
      </c>
      <c r="F10" s="5" t="s">
        <v>21</v>
      </c>
    </row>
    <row r="11" ht="28.8" spans="1:6">
      <c r="A11" s="3"/>
      <c r="B11" s="4" t="s">
        <v>28</v>
      </c>
      <c r="C11" s="5" t="str">
        <f>[1]股票估值和盈利!E18</f>
        <v>标普 500为~1.85；纳斯达克 100为~1.61</v>
      </c>
      <c r="D11" s="5" t="str">
        <f>[1]股票估值和盈利!F18</f>
        <v>目前纳斯达克的现金流 PEG 低于标普 500，说明虽然纳指更贵，但它的现金流增长斜率更陡，能更好地对冲高估值压力。</v>
      </c>
      <c r="E11" s="5" t="s">
        <v>29</v>
      </c>
      <c r="F11" s="5" t="s">
        <v>18</v>
      </c>
    </row>
    <row r="12" ht="43.2" spans="1:6">
      <c r="A12" s="3"/>
      <c r="B12" s="4" t="s">
        <v>30</v>
      </c>
      <c r="C12" s="5" t="str">
        <f>[1]股票估值和盈利!E21</f>
        <v>标普500:1.股息率1.51%。净回购率：约1.8% - 2.1%，tsy合计 3.3% - 3.6%。10年美债约3.9%，差值-0.3%到-0.6%</v>
      </c>
      <c r="D12" s="5" t="str">
        <f>[1]股票估值和盈利!F21</f>
        <v>负向利差。 这意味着目前持有标普 500 拿到的现金回报（分红+回购），还不如持有无风险的 10 年期美债高。</v>
      </c>
      <c r="E12" s="5" t="s">
        <v>31</v>
      </c>
      <c r="F12" s="5" t="s">
        <v>21</v>
      </c>
    </row>
    <row r="13" ht="43.2" spans="1:6">
      <c r="A13" s="3"/>
      <c r="B13" s="4" t="s">
        <v>32</v>
      </c>
      <c r="C13" s="5" t="str">
        <f>[1]股票估值和盈利!E28</f>
        <v>2026.02.26 - 2026.03.02
净看多比例 (看多-看空) 为22.5% ，历史6.5%</v>
      </c>
      <c r="D13" s="5" t="str">
        <f>[1]股票估值和盈利!F28</f>
        <v>历史规律：当“净看多比例”持续超过 +20% 且维持数周时，通常预示着市场短期内已经严重超买。</v>
      </c>
      <c r="E13" s="5" t="s">
        <v>31</v>
      </c>
      <c r="F13" s="5" t="s">
        <v>21</v>
      </c>
    </row>
    <row r="14" ht="57.6" spans="1:6">
      <c r="A14" s="3"/>
      <c r="B14" s="4" t="s">
        <v>33</v>
      </c>
      <c r="C14" s="5" t="str">
        <f>[1]股票估值和盈利!E29</f>
        <v>当前看涨共识指数：约 72% - 74%
历史均值：约 55% - 60%
信号区域：极度贪婪（Extreme Optimism）</v>
      </c>
      <c r="D14" s="5" t="str">
        <f>[1]股票估值和盈利!F29</f>
        <v>在Market Vane 的体系中，当指数超过 70% 时，通常被视为市场已经“充分定价”了所有利好。反向指标效应：历史上，当 Market Vane 连续数周维持在 70% 以上，标普 500 指数在未来 4-8 周内出现中等级别回调-5%的概率高达 75%。</v>
      </c>
      <c r="E14" s="5" t="s">
        <v>31</v>
      </c>
      <c r="F14" s="5" t="s">
        <v>21</v>
      </c>
    </row>
    <row r="15" ht="158.4" spans="1:6">
      <c r="A15" s="6" t="s">
        <v>34</v>
      </c>
      <c r="B15" s="4" t="s">
        <v>35</v>
      </c>
      <c r="C15" s="5" t="str">
        <f>[1]股票估值和盈利!E36</f>
        <v>根据 FINRA 和纽交所（NYSE）的最新月度数据汇总：
当前保证金债务总额：约 $9,200 亿 - $9,500 亿美元（接近 2021 年的历史峰值）。
保证金债务 / 总市值 比例：目前约为 1.4% - 1.6%。
10 年分位水平：处于 前 10% 的高位。</v>
      </c>
      <c r="D15" s="5" t="str">
        <f>[1]股票估值和盈利!F36</f>
        <v>目前（2026 Q1）保证金债务/市值指标正在发出“过度挤压”的警示。 市场现在的繁荣有一部分是靠“借来的钱”撑起的。
历史崩盘的前兆：指标的“掉头”
历史证明，危险不在于保证金债务有多高，而在于它停止增长并开始萎缩的时刻：
2000 年 &amp; 2008 年 &amp; 2022 年：在股市见顶前的 1-3 个月，保证金债务通常会先于大盘见顶并掉头向下。
2026 年 3 月信号：目前该指标的增长斜率已经开始平缓。如果下个月公布的数据出现显著下降，那将是确凿无疑的见顶信号。</v>
      </c>
      <c r="E15" s="5" t="s">
        <v>31</v>
      </c>
      <c r="F15" s="5" t="s">
        <v>21</v>
      </c>
    </row>
    <row r="16" ht="144" spans="1:6">
      <c r="A16" s="7"/>
      <c r="B16" s="5" t="s">
        <v>36</v>
      </c>
      <c r="C16" s="5" t="str">
        <f>[1]股票估值和盈利!E37</f>
        <v>约 $7,800 亿 - $8,200 亿美元。战术回避：在 3 月中旬到 4 月中旬（税收回笼期），TGA 余额通常会显著飙升，这往往是美股一年中流动性最枯竭的时刻。</v>
      </c>
      <c r="D16" s="5" t="str">
        <f>[1]股票估值和盈利!F37</f>
        <v>RRP 已近枯竭：2024-2025 年 RRP 的大幅下降曾释放了大量流动性对冲了加息压力。但到 2026 年初，RRP 剩余规模已不多。
TGA 正在吸血：如果 TGA 为了应对 2026 年的财政支出计划而继续抽水，而 RRP 已经无钱可补，那么银行准备金将直接下降。
后果：这会导致你关注的 保证金债务（Margin Debt） 成本上升，引发多头撤退。</v>
      </c>
      <c r="E16" s="5" t="s">
        <v>31</v>
      </c>
      <c r="F16" s="5" t="s">
        <v>21</v>
      </c>
    </row>
    <row r="17" ht="57.6" spans="1:6">
      <c r="A17" s="7"/>
      <c r="B17" s="5" t="s">
        <v>37</v>
      </c>
      <c r="C17" s="5" t="str">
        <f>[1]股票估值和盈利!E38</f>
        <v>2月底-3月初，基差20bp左右，较1-2月扩大10bp</v>
      </c>
      <c r="D17" s="5" t="str">
        <f>[1]股票估值和盈利!F38</f>
        <v>过去一个月基差的走阔，印证了你之前关注的 TGA 账户回升正在产生实际影响。如果基差突破 25 bp，通常意味着美联储必须考虑放缓缩表（QT），否则股市将面临流动性引发的“闪崩”。</v>
      </c>
      <c r="E17" s="5" t="s">
        <v>31</v>
      </c>
      <c r="F17" s="5" t="s">
        <v>21</v>
      </c>
    </row>
    <row r="18" ht="115.2" spans="1:6">
      <c r="A18" s="8"/>
      <c r="B18" s="5" t="s">
        <v>38</v>
      </c>
      <c r="C18" s="5" t="str">
        <f>[1]股票估值和盈利!E39</f>
        <v>美联储基准利率：~5.25%日本央行（BoJ）加息后利率：~0.75%（2026 年 2 月底刚加息）利差（分子）：5.25% - 0.75% = 4.50%。预期波动率 (USD/JPY 1-Month Implied Volatility)：受日本央行鹰派表态及中东局势影响，美日隐含波动率已飙升至 15.8%。ctr结果0.28</v>
      </c>
      <c r="D18" s="5" t="str">
        <f>[1]股票估值和盈利!F39</f>
        <v>投资者承担每单位风险所获得的补偿正在迅速减少。目前的 0.28 是一个典型的“崩盘前夜”数值。
红色警报：如果 USD/JPY 跌破 142（日元升值），且隐含波动率突破 18%，CTR 将跌破 0.25。历史上，这通常伴随着纳斯达克 3% - 5% 的单日大阴线。
避险建议：在 CTR 低于 0.3 期间，应避开高贝塔（High Beta）的半导体和 AI 板块，因为它们是日元套利资金最集中的地方。</v>
      </c>
      <c r="E18" s="5" t="s">
        <v>31</v>
      </c>
      <c r="F18" s="5" t="s">
        <v>21</v>
      </c>
    </row>
    <row r="19" ht="57.6" spans="1:6">
      <c r="A19" s="6" t="s">
        <v>39</v>
      </c>
      <c r="B19" s="5" t="s">
        <v>40</v>
      </c>
      <c r="C19" s="5" t="str">
        <f>[1]美国宏观和金融条件!E2</f>
        <v>1.数值：99.2；2.斜率： 98.5反弹至 99.2。</v>
      </c>
      <c r="D19" s="5" t="str">
        <f>[1]美国宏观和金融条件!F2</f>
        <v>警惕“再收紧”触发的估值下修高盛研究表明，FCI 的变动斜率比绝对值更重要。建议：由于过去一个月 FCI 指数从 98.5 反弹至 99.2（即环境在变紧），这通常预示着未来 3-6 个月 GDP 增速将放缓。</v>
      </c>
      <c r="E19" s="5" t="s">
        <v>31</v>
      </c>
      <c r="F19" s="5" t="s">
        <v>18</v>
      </c>
    </row>
    <row r="20" ht="115.2" spans="1:6">
      <c r="A20" s="7"/>
      <c r="B20" s="5" t="s">
        <v>41</v>
      </c>
      <c r="C20" s="5">
        <v>0.35</v>
      </c>
      <c r="D20" s="5" t="str">
        <f>[1]美国宏观和金融条件!F3</f>
        <v>相比 2025 年底的 +0.66，目前的 +0.35 说明金融条件正在显著收紧，但尚未跌入负值（即尚未进入“流动性危机”状态）。规律：历史上，当 BFCI 从正数快速向 0 轴回归时，标普 500 的短期胜率会降至 40% 以下。
建议：目前 +0.35 的位置属于“温水煮青蛙”。如果未来两周 BFCI 跌破 0，说明市场进入了实质性的信用紧缩，建议将所有杠杆头寸（如之前提到的 保证金债务）清零，回归防御。</v>
      </c>
      <c r="E20" s="5" t="s">
        <v>31</v>
      </c>
      <c r="F20" s="5" t="s">
        <v>18</v>
      </c>
    </row>
    <row r="21" ht="187.2" spans="1:6">
      <c r="A21" s="7"/>
      <c r="B21" s="5" t="s">
        <v>42</v>
      </c>
      <c r="C21" s="5">
        <f>[1]美国宏观和金融条件!E4</f>
        <v>-0.56</v>
      </c>
      <c r="D21" s="5" t="str">
        <f>[1]美国宏观和金融条件!F4</f>
        <v>NFCI 由三个主要维度组成，通过查看子项可以发现市场压力的具体来源：
风险子指数（Risk）：读数约 -0.64。这说明目前市场波动率较低，信贷息差处于健康水平，市场情绪整体偏乐观。
信用子指数（Credit）：读数约 -0.07。信贷的可获得性处于正常偏宽松状态。
杠杆子指数（Leverage）：读数约 -0.07。说明目前金融体系的债务压力和杠杆水平并不极端。
对于美股（科技股）
目前的 -0.56 说明宏观流动性依然充裕。在这种环境下，只要企业（如 ASML 或 TSMC）的盈利（Earnings）不出现大幅下修，估值端（Multiplier）通常能获得支撑。这是一个典型的“风险偏好温和”的环境。</v>
      </c>
      <c r="E21" s="5" t="s">
        <v>31</v>
      </c>
      <c r="F21" s="5" t="s">
        <v>43</v>
      </c>
    </row>
    <row r="22" ht="172.8" spans="1:6">
      <c r="A22" s="7"/>
      <c r="B22" s="5" t="s">
        <v>44</v>
      </c>
      <c r="C22" s="5" t="str">
        <f>[1]美国宏观和金融条件!E6</f>
        <v>当前预测值 (2026 Q1)：3.0%（3 月 2 日最新更新）。
近期变动：
2 月 24 日：3.1%（处于近期高位）。
3 月 2 日：受 ISM 制造业指数 发布影响，模型下修了个人消费支出（PCE）和私人投资的贡献，数值微降至 3.0%。
分项结构：
实际私人固定资产投资：贡献约 3.5%（强劲）。
实际 PCE (个人消费)：贡献下调至 1.4%（显现出疲态）。</v>
      </c>
      <c r="D22" s="5" t="str">
        <f>[1]美国宏观和金融条件!F6</f>
        <v>不要做空大趋势：3.0% 的增长说明经济并未崩溃。在这种背景下，单纯因为“估值贵（高 PE）”而做空大盘风险很大。
关注“制造业复苏”受益股：由于投资支出（3.5%）强于消费支出（1.4%），你应该更看好 工业自动化、能源设备和 AI 基础设施，而非传统的可选消费股。
高通胀压力常态化：既然 GDP 增速依然高达 3.0%，这意味着美联储没有理由迅速降息。你关心的 $WACC$（资本成本） 将在更长时间内保持高位，这对高估值科技股的折现率非常不利。</v>
      </c>
      <c r="E22" s="5" t="s">
        <v>45</v>
      </c>
      <c r="F22" s="5" t="s">
        <v>18</v>
      </c>
    </row>
    <row r="23" ht="259.2" spans="1:6">
      <c r="A23" s="8"/>
      <c r="B23" s="5" t="s">
        <v>46</v>
      </c>
      <c r="C23" s="5" t="str">
        <f>[1]美国宏观和金融条件!E5</f>
        <v>当前 STLENI 预测值 (2026 Q1)：2.41%。</v>
      </c>
      <c r="D23" s="5" t="str">
        <f>[1]美国宏观和金融条件!F5</f>
        <v>A. 警惕“过热后的下修”
目前 STLENI (2.41%) 低于 GDPNow (3.0%)，这通常说明最近公布的一些月度数据（如昨日的 ISM 制造业指数）在“新闻面”上被市场解读为弱于之前的乐观共识。
信号意义：如果这两个指数的差距进一步拉大，通常预示着美股即将进入盈利预期的下修期。你之前关注的 ERP 极低分位 将面临巨大的调整压力。
B. 监控“政策转向”的哨兵
STLENI 对通胀相关新闻非常敏感。
建议：如果 STLENI 下滑，而你发现美联储官员的讲话依然鹰派（如圣路易斯联储主席 Musalem 最近提到的通胀仍有压力），这说明**“经济在慢下来，但利息降不下来”**。这是对纳斯达克科技股最不利的组合。
C. 确定性溢价
策略：在 STLENI 低于 GDPNow 期间，市场往往会发生“从进攻转为质量”的切换。资金会离开那些依赖宏观爆发的小盘股，涌向你持有的 高 ROIC (9.5%) 且 现金流 PEG 极低 的龙头</v>
      </c>
      <c r="E23" s="5" t="s">
        <v>47</v>
      </c>
      <c r="F23" s="5" t="s">
        <v>18</v>
      </c>
    </row>
    <row r="24" ht="158.4" spans="1:6">
      <c r="A24" s="9" t="s">
        <v>48</v>
      </c>
      <c r="B24" s="5" t="s">
        <v>49</v>
      </c>
      <c r="C24" s="5" t="str">
        <f>[1]美国宏观和金融条件!E7</f>
        <v>当前 ADS 读数：+0.15 附近。但斜率向下</v>
      </c>
      <c r="D24" s="5" t="str">
        <f>[1]美国宏观和金融条件!F7</f>
        <v>1.目前读数较 2026 年 1 月的 +0.45 有所下滑，但仍保持在正值区间。这说明经济正在从“过热”向“常态化增长”平稳过渡。
2.在 ADS 指数的构建中，周初请失业金人数 (Initial Claims) 是权重最高、频率最快（周频）的“硬核”指标，它通常被视为 ADS 指数的先导斜率。目前 ADS 指数从之前的 +0.45 快速回落至 +0.15，其中约 70% 的拉低作用 均来自于初请失业金人数的这个负斜率。初请失业金人数是少数几个能跑在 GDP 之前的指标。目前的斜率意味着美国企业（尤其是你关注的科技板块以外的传统行业）可能已经开始悄然缩减招聘或启动小规模裁员。</v>
      </c>
      <c r="E24" s="5" t="s">
        <v>50</v>
      </c>
      <c r="F24" s="5" t="s">
        <v>18</v>
      </c>
    </row>
    <row r="25" ht="187.2" spans="1:6">
      <c r="A25" s="9"/>
      <c r="B25" s="5" t="s">
        <v>51</v>
      </c>
      <c r="C25" s="5" t="s">
        <v>52</v>
      </c>
      <c r="D25" s="5" t="s">
        <v>53</v>
      </c>
      <c r="E25" s="5" t="s">
        <v>31</v>
      </c>
      <c r="F25" s="5" t="s">
        <v>18</v>
      </c>
    </row>
    <row r="26" ht="72" spans="1:6">
      <c r="A26" s="9"/>
      <c r="B26" s="5" t="s">
        <v>54</v>
      </c>
      <c r="C26" s="5" t="str">
        <f>[1]美国宏观和金融条件!E9</f>
        <v>裁员规模回升：2026 年前两个月，加州科技行业的 WARN 申报人数比 2025 年同期增长了 18%。</v>
      </c>
      <c r="D26" s="5" t="str">
        <f>[1]美国宏观和金融条件!F9</f>
        <v>
WARN 数据告诉你：美国劳动力市场的“冰层”正在变薄。WARN 的独特价值在于它的“强制性预判”：根据联邦法律，规模在 100 人以上的企业进行 50 人以上的裁员时，必须提前 60 天（纽约州等部分地区为 90 天）向州政府申报。</v>
      </c>
      <c r="E26" s="5" t="s">
        <v>31</v>
      </c>
      <c r="F26" s="5" t="s">
        <v>21</v>
      </c>
    </row>
    <row r="27" ht="172.8" spans="1:6">
      <c r="A27" s="9"/>
      <c r="B27" s="5" t="s">
        <v>55</v>
      </c>
      <c r="C27" s="5" t="str">
        <f>[1]美国宏观和金融条件!E10</f>
        <v>1 月回顾（实际值）：2.2 万人（远低于预期的 4.8 万人）。
特征：制造业持续流失岗位，专业与商业服务显著下滑。唯一的亮点是教育与医疗（+7.4 万）。2 月预测（明天发布）：市场普遍预期为 4.3 万 - 5.0 万人。
斜率观察：根据 ADP 的周频追踪（NER Pulse），2 月前四周的招聘速度有所回升（平均每周约 1.27 万人），显示出从 1 月的极度低迷中温和复苏。
薪资增速：目前稳定在 4.5% 左右。尽管招人慢，但“留人”的成本依然很高。</v>
      </c>
      <c r="D27" s="5" t="str">
        <f>[1]美国宏观和金融条件!F10</f>
        <v>美国劳动力市场正处于“低速增长但薪资稳固”的僵局。</v>
      </c>
      <c r="E27" s="5" t="s">
        <v>31</v>
      </c>
      <c r="F27" s="5" t="s">
        <v>18</v>
      </c>
    </row>
    <row r="28" ht="144" spans="1:6">
      <c r="A28" s="10" t="s">
        <v>56</v>
      </c>
      <c r="B28" s="5" t="s">
        <v>57</v>
      </c>
      <c r="C28" s="5" t="str">
        <f>[1]美国宏观和金融条件!E11</f>
        <v>当前数值 (YoY)：6.7%（截至 2 月 28 日当周）。
趋势对比：
上周：7.2%（2 月 21 日当周）。
历史分位：处于 5% - 7% 的稳健增长区间，但较 2 月中的高点有所回落。
信号含义：零售增长依然“在线”，说明美国消费者虽然面临高利率，但并没有“收手”。</v>
      </c>
      <c r="D28" s="5" t="str">
        <f>[1]美国宏观和金融条件!F11</f>
        <v>A. 验证“金发姑娘”行情的韧性
指引：既然同店销售额仍有 6.7% 的增长，说明 GDPNow (3.0%) 的预测并非空穴来风。
策略：这降低了市场对“突发性衰退”的担忧。对于你持有的 高 ROIC 科技股，这意味着下游企业和消费者的购买力依然能支撑它们的软件和硬件开支。
B. 监控“通胀粘性”与降息预期
逻辑：如果零售指数长期维持在 6% 以上，而通胀目标是 2%，这通常意味着需求依然过热。
指引：这会支撑 10Y 美债收益率在 4% 附近 震荡。</v>
      </c>
      <c r="E28" s="5" t="s">
        <v>31</v>
      </c>
      <c r="F28" s="5" t="s">
        <v>18</v>
      </c>
    </row>
    <row r="29" ht="72" spans="1:6">
      <c r="A29" s="10" t="s">
        <v>58</v>
      </c>
      <c r="B29" s="5" t="s">
        <v>59</v>
      </c>
      <c r="C29" s="5" t="str">
        <f>[1]美国宏观和金融条件!E13</f>
        <v>房屋成交量 (Home Sales)：同比下降 3.2%。尽管由于 2 月份气温转暖导致需求略有回升，但高企的抵押贷款利率（30 年期固定利率仍在 6.7% - 6.9% 波动）依然抑制了成交动力。</v>
      </c>
      <c r="D29" s="5" t="str">
        <f>[1]美国宏观和金融条件!F13</f>
        <v>Redfin 最近指出，部分地区的公寓销售（Condos）跌幅远超独栋住宅。这反映了高息环境下投资者对“租金回报率”的重新审视。</v>
      </c>
      <c r="E29" s="5" t="s">
        <v>31</v>
      </c>
      <c r="F29" s="5" t="s">
        <v>21</v>
      </c>
    </row>
    <row r="30" ht="72" spans="1:6">
      <c r="A30" s="10"/>
      <c r="B30" s="5" t="s">
        <v>60</v>
      </c>
      <c r="C30" s="5" t="str">
        <f>[1]美国宏观和金融条件!E14</f>
        <v>当前 4WMA 数值：全美中位待售时长约为 47 - 66 天。
趋势变动：较 2026 年 1 月份的 78 天（季节性高点）有所回落，但较去年（2025 年）同期增加了约 7 - 10 天。</v>
      </c>
      <c r="D30" s="5" t="str">
        <f>[1]美国宏观和金融条件!F14</f>
        <v>信号含义：市场正在变慢。虽然进入了 3 月份的春季销售旺季，但买家变得比以往更加挑剔（Selective），这主要是由于 30 年期固定抵押贷款利率仍处于 6.1% - 6.8% 的相对高位，压制了购买冲动。</v>
      </c>
      <c r="E30" s="5" t="s">
        <v>31</v>
      </c>
      <c r="F30" s="5" t="s">
        <v>18</v>
      </c>
    </row>
    <row r="31" ht="158.4" spans="1:6">
      <c r="A31" s="10"/>
      <c r="B31" s="5" t="s">
        <v>61</v>
      </c>
      <c r="C31" s="5" t="str">
        <f>[1]美国宏观和金融条件!E15</f>
        <v>现有住房中位售价 (Existing-Home Median Price)：
最新数值：约 $39.68 万 - $42.30 万美元（根据 NAR 和 Redfin 的最新月度综合）。
同比变动：增长约 1.1% - 1.4%。</v>
      </c>
      <c r="D31" s="5" t="s">
        <v>62</v>
      </c>
      <c r="E31" s="5" t="s">
        <v>31</v>
      </c>
      <c r="F31" s="5" t="s">
        <v>18</v>
      </c>
    </row>
    <row r="32" spans="1:6">
      <c r="A32" s="11"/>
      <c r="B32" s="11"/>
      <c r="C32" s="11"/>
      <c r="D32" s="11"/>
      <c r="E32" s="11"/>
      <c r="F32" s="11"/>
    </row>
    <row r="33" spans="1:6">
      <c r="A33" s="11"/>
      <c r="B33" s="11"/>
      <c r="C33" s="11"/>
      <c r="D33" s="11"/>
      <c r="E33" s="11"/>
      <c r="F33" s="11"/>
    </row>
    <row r="34" spans="1:6">
      <c r="A34" s="11"/>
      <c r="B34" s="11"/>
      <c r="C34" s="11"/>
      <c r="D34" s="11"/>
      <c r="E34" s="11"/>
      <c r="F34" s="11"/>
    </row>
    <row r="35" spans="1:6">
      <c r="A35" s="11"/>
      <c r="B35" s="11"/>
      <c r="C35" s="11"/>
      <c r="D35" s="11"/>
      <c r="E35" s="11"/>
      <c r="F35" s="11"/>
    </row>
    <row r="36" spans="1:6">
      <c r="A36" s="11"/>
      <c r="B36" s="11"/>
      <c r="C36" s="11"/>
      <c r="D36" s="11"/>
      <c r="E36" s="11"/>
      <c r="F36" s="11"/>
    </row>
    <row r="37" spans="1:6">
      <c r="A37" s="11"/>
      <c r="B37" s="11"/>
      <c r="C37" s="11"/>
      <c r="D37" s="11"/>
      <c r="E37" s="11"/>
      <c r="F37" s="11"/>
    </row>
    <row r="38" spans="1:6">
      <c r="A38" s="11"/>
      <c r="B38" s="11"/>
      <c r="C38" s="11"/>
      <c r="D38" s="11"/>
      <c r="E38" s="11"/>
      <c r="F38" s="11"/>
    </row>
    <row r="39" spans="1:6">
      <c r="A39" s="11"/>
      <c r="B39" s="11"/>
      <c r="C39" s="11"/>
      <c r="D39" s="11"/>
      <c r="E39" s="11"/>
      <c r="F39" s="11"/>
    </row>
  </sheetData>
  <autoFilter xmlns:etc="http://www.wps.cn/officeDocument/2017/etCustomData" ref="A1:F31" etc:filterBottomFollowUsedRange="0">
    <extLst/>
  </autoFilter>
  <mergeCells count="5">
    <mergeCell ref="A2:A14"/>
    <mergeCell ref="A15:A18"/>
    <mergeCell ref="A19:A23"/>
    <mergeCell ref="A24:A27"/>
    <mergeCell ref="A29:A3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xfugm</dc:creator>
  <cp:lastModifiedBy>轩</cp:lastModifiedBy>
  <dcterms:created xsi:type="dcterms:W3CDTF">2026-03-04T05:39:15Z</dcterms:created>
  <dcterms:modified xsi:type="dcterms:W3CDTF">2026-03-04T06:22:47Z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F2CAB3D8574C4DB6B6FBFBCCAF8D2322_11</vt:lpwstr>
  </property>
  <property fmtid="{D5CDD505-2E9C-101B-9397-08002B2CF9AE}" pid="3" name="KSOProductBuildVer">
    <vt:lpwstr>2052-12.1.0.25225</vt:lpwstr>
  </property>
  <property fmtid="{D5CDD505-2E9C-101B-9397-08002B2CF9AE}" pid="4" name="CalculationRule">
    <vt:i4>1</vt:i4>
  </property>
</Properties>
</file>