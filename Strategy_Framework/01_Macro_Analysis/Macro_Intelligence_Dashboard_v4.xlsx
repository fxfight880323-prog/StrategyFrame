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charts/chart2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4.xml" ContentType="application/vnd.openxmlformats-officedocument.drawing+xml"/>
  <Override PartName="/xl/tables/table26.xml" ContentType="application/vnd.openxmlformats-officedocument.spreadsheetml.table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tables/table27.xml" ContentType="application/vnd.openxmlformats-officedocument.spreadsheetml.table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tables/table28.xml" ContentType="application/vnd.openxmlformats-officedocument.spreadsheetml.table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tables/table29.xml" ContentType="application/vnd.openxmlformats-officedocument.spreadsheetml.table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tables/table30.xml" ContentType="application/vnd.openxmlformats-officedocument.spreadsheetml.table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tables/table31.xml" ContentType="application/vnd.openxmlformats-officedocument.spreadsheetml.table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tables/table32.xml" ContentType="application/vnd.openxmlformats-officedocument.spreadsheetml.table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tables/table33.xml" ContentType="application/vnd.openxmlformats-officedocument.spreadsheetml.table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tables/table34.xml" ContentType="application/vnd.openxmlformats-officedocument.spreadsheetml.table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tables/table35.xml" ContentType="application/vnd.openxmlformats-officedocument.spreadsheetml.table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tables/table36.xml" ContentType="application/vnd.openxmlformats-officedocument.spreadsheetml.table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tables/table37.xml" ContentType="application/vnd.openxmlformats-officedocument.spreadsheetml.table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xfugm\Desktop\美股分析框架\Strategy_Framework\01_Macro_Analysis\"/>
    </mc:Choice>
  </mc:AlternateContent>
  <xr:revisionPtr revIDLastSave="0" documentId="13_ncr:1_{1A011235-7644-4B08-AF77-168C164C69EA}" xr6:coauthVersionLast="47" xr6:coauthVersionMax="47" xr10:uidLastSave="{00000000-0000-0000-0000-000000000000}"/>
  <bookViews>
    <workbookView xWindow="28680" yWindow="-120" windowWidth="38640" windowHeight="21120" activeTab="2" xr2:uid="{00000000-000D-0000-FFFF-FFFF00000000}"/>
  </bookViews>
  <sheets>
    <sheet name="README" sheetId="1" r:id="rId1"/>
    <sheet name="Controls" sheetId="2" r:id="rId2"/>
    <sheet name="Dashboard" sheetId="3" r:id="rId3"/>
    <sheet name="Indicators" sheetId="4" r:id="rId4"/>
    <sheet name="Indicator_Map" sheetId="5" r:id="rId5"/>
    <sheet name="S01_纳斯达克100毛利率五年趋势" sheetId="6" r:id="rId6"/>
    <sheet name="S02_花旗标普500盈利上修动能指标" sheetId="7" r:id="rId7"/>
    <sheet name="S03_TGA账户" sheetId="8" r:id="rId8"/>
    <sheet name="S04_标普500盈余惊喜" sheetId="9" r:id="rId9"/>
    <sheet name="S05_标普500的roic-wacc" sheetId="10" r:id="rId10"/>
    <sheet name="S06_纳斯达克营收增长" sheetId="11" r:id="rId11"/>
    <sheet name="S07_标普500的ERP" sheetId="12" r:id="rId12"/>
    <sheet name="S08_标普500的花旗盈利修正指数 (ERI)" sheetId="13" r:id="rId13"/>
    <sheet name="S09_标普500的花旗经济意外指数 (CESI US)" sheetId="14" r:id="rId14"/>
    <sheet name="S10_主权基金净流入情况" sheetId="15" r:id="rId15"/>
    <sheet name="S11_标普500的现金流 PEG" sheetId="16" r:id="rId16"/>
    <sheet name="S12_标普500的真实股东收益率（Total Shareho" sheetId="17" r:id="rId17"/>
    <sheet name="S13_AAII个人投资者净看多比例" sheetId="18" r:id="rId18"/>
    <sheet name="S14_Market Vane 股市看涨情绪" sheetId="19" r:id="rId19"/>
    <sheet name="S15_保证金债务和市值比率" sheetId="20" r:id="rId20"/>
    <sheet name="S16_TGA账户余额" sheetId="21" r:id="rId21"/>
    <sheet name="S17_SOFR-OIS 基差" sheetId="22" r:id="rId22"/>
    <sheet name="S18_CARRY TO RISK RITIO" sheetId="23" r:id="rId23"/>
    <sheet name="S19_高盛美国宏观金融指数" sheetId="24" r:id="rId24"/>
    <sheet name="S20_彭博美国金融条件指数" sheetId="25" r:id="rId25"/>
    <sheet name="S21_芝加哥联储全国金融条件指数 (NFCI)" sheetId="26" r:id="rId26"/>
    <sheet name="S22_GDP Now 预测" sheetId="27" r:id="rId27"/>
    <sheet name="S23_St. Louis Fed Economic News" sheetId="28" r:id="rId28"/>
    <sheet name="S24_ADS 商业景气指数(华尔街交易员股市应用稀缺的实时高" sheetId="29" r:id="rId29"/>
    <sheet name="S25_Lightcast 数据" sheetId="30" r:id="rId30"/>
    <sheet name="S26_WARN Notice裁员数据" sheetId="31" r:id="rId31"/>
    <sheet name="S27_ADP 新增就业人数" sheetId="32" r:id="rId32"/>
    <sheet name="S28_RedBook 零售指数" sheetId="33" r:id="rId33"/>
    <sheet name="S29_房地产待售时长（4WMA）" sheetId="34" r:id="rId34"/>
    <sheet name="S30_Redfin 房屋销售量" sheetId="35" r:id="rId35"/>
    <sheet name="S31_美国中位数房价" sheetId="36" r:id="rId36"/>
    <sheet name="S32_薪资增速 (Average Hourly Earnin" sheetId="37" r:id="rId37"/>
    <sheet name="S33_ISM 制造业和服务业价格指数" sheetId="38" r:id="rId38"/>
    <sheet name="S34_美国核心PCE物价指数" sheetId="39" r:id="rId39"/>
  </sheets>
  <calcPr calcId="191029"/>
</workbook>
</file>

<file path=xl/calcChain.xml><?xml version="1.0" encoding="utf-8"?>
<calcChain xmlns="http://schemas.openxmlformats.org/spreadsheetml/2006/main">
  <c r="M36" i="4" l="1"/>
  <c r="L36" i="4"/>
  <c r="K36" i="4"/>
  <c r="J36" i="4"/>
  <c r="I36" i="4"/>
  <c r="M35" i="4"/>
  <c r="L35" i="4"/>
  <c r="K35" i="4"/>
  <c r="J35" i="4"/>
  <c r="I35" i="4"/>
  <c r="M34" i="4"/>
  <c r="L34" i="4"/>
  <c r="K34" i="4"/>
  <c r="J34" i="4"/>
  <c r="I34" i="4"/>
  <c r="M33" i="4"/>
  <c r="L33" i="4"/>
  <c r="K33" i="4"/>
  <c r="J33" i="4"/>
  <c r="I33" i="4"/>
  <c r="M32" i="4"/>
  <c r="L32" i="4"/>
  <c r="K32" i="4"/>
  <c r="J32" i="4"/>
  <c r="I32" i="4"/>
  <c r="M31" i="4"/>
  <c r="L31" i="4"/>
  <c r="K31" i="4"/>
  <c r="J31" i="4"/>
  <c r="I31" i="4"/>
  <c r="M30" i="4"/>
  <c r="L30" i="4"/>
  <c r="K30" i="4"/>
  <c r="J30" i="4"/>
  <c r="I30" i="4"/>
  <c r="M29" i="4"/>
  <c r="L29" i="4"/>
  <c r="K29" i="4"/>
  <c r="J29" i="4"/>
  <c r="I29" i="4"/>
  <c r="M28" i="4"/>
  <c r="L28" i="4"/>
  <c r="K28" i="4"/>
  <c r="J28" i="4"/>
  <c r="I28" i="4"/>
  <c r="M27" i="4"/>
  <c r="L27" i="4"/>
  <c r="K27" i="4"/>
  <c r="J27" i="4"/>
  <c r="I27" i="4"/>
  <c r="M26" i="4"/>
  <c r="L26" i="4"/>
  <c r="K26" i="4"/>
  <c r="J26" i="4"/>
  <c r="I26" i="4"/>
  <c r="M25" i="4"/>
  <c r="L25" i="4"/>
  <c r="K25" i="4"/>
  <c r="J25" i="4"/>
  <c r="I25" i="4"/>
  <c r="I24" i="4"/>
  <c r="J24" i="4" s="1"/>
  <c r="M23" i="4"/>
  <c r="L23" i="4"/>
  <c r="K23" i="4"/>
  <c r="J23" i="4"/>
  <c r="I23" i="4"/>
  <c r="M22" i="4"/>
  <c r="L22" i="4"/>
  <c r="K22" i="4"/>
  <c r="J22" i="4"/>
  <c r="I22" i="4"/>
  <c r="M21" i="4"/>
  <c r="L21" i="4"/>
  <c r="K21" i="4"/>
  <c r="J21" i="4"/>
  <c r="I21" i="4"/>
  <c r="M20" i="4"/>
  <c r="L20" i="4"/>
  <c r="K20" i="4"/>
  <c r="J20" i="4"/>
  <c r="I20" i="4"/>
  <c r="M19" i="4"/>
  <c r="L19" i="4"/>
  <c r="K19" i="4"/>
  <c r="J19" i="4"/>
  <c r="I19" i="4"/>
  <c r="M18" i="4"/>
  <c r="L18" i="4"/>
  <c r="K18" i="4"/>
  <c r="J18" i="4"/>
  <c r="I18" i="4"/>
  <c r="M17" i="4"/>
  <c r="L17" i="4"/>
  <c r="K17" i="4"/>
  <c r="J17" i="4"/>
  <c r="I17" i="4"/>
  <c r="M16" i="4"/>
  <c r="L16" i="4"/>
  <c r="K16" i="4"/>
  <c r="J16" i="4"/>
  <c r="I16" i="4"/>
  <c r="M15" i="4"/>
  <c r="L15" i="4"/>
  <c r="K15" i="4"/>
  <c r="J15" i="4"/>
  <c r="I15" i="4"/>
  <c r="M14" i="4"/>
  <c r="L14" i="4"/>
  <c r="K14" i="4"/>
  <c r="J14" i="4"/>
  <c r="I14" i="4"/>
  <c r="M13" i="4"/>
  <c r="L13" i="4"/>
  <c r="K13" i="4"/>
  <c r="J13" i="4"/>
  <c r="I13" i="4"/>
  <c r="M12" i="4"/>
  <c r="L12" i="4"/>
  <c r="K12" i="4"/>
  <c r="J12" i="4"/>
  <c r="I12" i="4"/>
  <c r="M11" i="4"/>
  <c r="L11" i="4"/>
  <c r="K11" i="4"/>
  <c r="J11" i="4"/>
  <c r="I11" i="4"/>
  <c r="M10" i="4"/>
  <c r="L10" i="4"/>
  <c r="K10" i="4"/>
  <c r="J10" i="4"/>
  <c r="I10" i="4"/>
  <c r="M9" i="4"/>
  <c r="L9" i="4"/>
  <c r="K9" i="4"/>
  <c r="J9" i="4"/>
  <c r="I9" i="4"/>
  <c r="M8" i="4"/>
  <c r="L8" i="4"/>
  <c r="K8" i="4"/>
  <c r="J8" i="4"/>
  <c r="I8" i="4"/>
  <c r="M7" i="4"/>
  <c r="L7" i="4"/>
  <c r="K7" i="4"/>
  <c r="J7" i="4"/>
  <c r="I7" i="4"/>
  <c r="M6" i="4"/>
  <c r="L6" i="4"/>
  <c r="K6" i="4"/>
  <c r="J6" i="4"/>
  <c r="I6" i="4"/>
  <c r="M5" i="4"/>
  <c r="L5" i="4"/>
  <c r="K5" i="4"/>
  <c r="J5" i="4"/>
  <c r="I5" i="4"/>
  <c r="M4" i="4"/>
  <c r="L4" i="4"/>
  <c r="K4" i="4"/>
  <c r="J4" i="4"/>
  <c r="I4" i="4"/>
  <c r="M3" i="4"/>
  <c r="L3" i="4"/>
  <c r="K3" i="4"/>
  <c r="J3" i="4"/>
  <c r="I3" i="4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C14" i="3"/>
  <c r="B14" i="3"/>
  <c r="A14" i="3"/>
  <c r="H13" i="3"/>
  <c r="G13" i="3"/>
  <c r="F13" i="3"/>
  <c r="E13" i="3"/>
  <c r="D13" i="3"/>
  <c r="C13" i="3"/>
  <c r="B13" i="3"/>
  <c r="A13" i="3"/>
  <c r="G7" i="3"/>
  <c r="G8" i="3" s="1"/>
  <c r="F7" i="3"/>
  <c r="F8" i="3" s="1"/>
  <c r="E7" i="3"/>
  <c r="E8" i="3" s="1"/>
  <c r="D7" i="3"/>
  <c r="D8" i="3" s="1"/>
  <c r="C7" i="3"/>
  <c r="C8" i="3" s="1"/>
  <c r="K24" i="4" l="1"/>
  <c r="E14" i="3"/>
  <c r="D14" i="3"/>
  <c r="L24" i="4" l="1"/>
  <c r="F14" i="3"/>
  <c r="M24" i="4" l="1"/>
  <c r="G14" i="3"/>
  <c r="H14" i="3" l="1"/>
  <c r="B7" i="3"/>
  <c r="B8" i="3" l="1"/>
  <c r="B4" i="3"/>
  <c r="E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3" authorId="0" shapeId="0" xr:uid="{00000000-0006-0000-0300-000001000000}">
      <text>
        <r>
          <rPr>
            <sz val="10"/>
            <rFont val="Noto Sans CJK SC"/>
            <family val="1"/>
          </rPr>
          <t>重分类：质量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 xml:space="preserve">利润率改善更接近 </t>
        </r>
        <r>
          <rPr>
            <sz val="10"/>
            <rFont val="Arial"/>
            <family val="2"/>
          </rPr>
          <t>Growth / Quality</t>
        </r>
        <r>
          <rPr>
            <sz val="10"/>
            <rFont val="Noto Sans CJK SC"/>
            <family val="1"/>
          </rPr>
          <t>，而非估值过热</t>
        </r>
      </text>
    </comment>
    <comment ref="C4" authorId="0" shapeId="0" xr:uid="{00000000-0006-0000-0300-000002000000}">
      <text>
        <r>
          <rPr>
            <sz val="10"/>
            <rFont val="Noto Sans CJK SC"/>
            <family val="1"/>
          </rPr>
          <t>重分类：盈利上修动能属于盈利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>增长改善</t>
        </r>
      </text>
    </comment>
    <comment ref="C6" authorId="0" shapeId="0" xr:uid="{00000000-0006-0000-0300-000003000000}">
      <text>
        <r>
          <rPr>
            <sz val="10"/>
            <rFont val="Noto Sans CJK SC"/>
            <family val="1"/>
          </rPr>
          <t>重分类：盈余惊喜属于盈利动量</t>
        </r>
      </text>
    </comment>
    <comment ref="C7" authorId="0" shapeId="0" xr:uid="{00000000-0006-0000-0300-000004000000}">
      <text>
        <r>
          <rPr>
            <sz val="10"/>
            <rFont val="Noto Sans CJK SC"/>
            <family val="1"/>
          </rPr>
          <t>重分类：</t>
        </r>
        <r>
          <rPr>
            <sz val="10"/>
            <rFont val="Arial"/>
            <family val="2"/>
          </rPr>
          <t xml:space="preserve">ROIC-WACC </t>
        </r>
        <r>
          <rPr>
            <sz val="10"/>
            <rFont val="Noto Sans CJK SC"/>
            <family val="1"/>
          </rPr>
          <t>更接近质量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>盈利能力</t>
        </r>
      </text>
    </comment>
    <comment ref="C10" authorId="0" shapeId="0" xr:uid="{00000000-0006-0000-0300-000005000000}">
      <text>
        <r>
          <rPr>
            <sz val="10"/>
            <rFont val="Noto Sans CJK SC"/>
            <family val="1"/>
          </rPr>
          <t>重分类：</t>
        </r>
        <r>
          <rPr>
            <sz val="10"/>
            <rFont val="Arial"/>
            <family val="2"/>
          </rPr>
          <t xml:space="preserve">ERI </t>
        </r>
        <r>
          <rPr>
            <sz val="10"/>
            <rFont val="Noto Sans CJK SC"/>
            <family val="1"/>
          </rPr>
          <t>属于盈利修正动量</t>
        </r>
      </text>
    </comment>
    <comment ref="C11" authorId="0" shapeId="0" xr:uid="{00000000-0006-0000-0300-000006000000}">
      <text>
        <r>
          <rPr>
            <sz val="10"/>
            <rFont val="Noto Sans CJK SC"/>
            <family val="1"/>
          </rPr>
          <t>重分类：</t>
        </r>
        <r>
          <rPr>
            <sz val="10"/>
            <rFont val="Arial"/>
            <family val="2"/>
          </rPr>
          <t xml:space="preserve">CESI </t>
        </r>
        <r>
          <rPr>
            <sz val="10"/>
            <rFont val="Noto Sans CJK SC"/>
            <family val="1"/>
          </rPr>
          <t>属于经济意外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>增长脉冲</t>
        </r>
      </text>
    </comment>
    <comment ref="C12" authorId="0" shapeId="0" xr:uid="{00000000-0006-0000-0300-000007000000}">
      <text>
        <r>
          <rPr>
            <sz val="10"/>
            <rFont val="Noto Sans CJK SC"/>
            <family val="1"/>
          </rPr>
          <t>方向修正：净流入越强，通常代表风险偏好越热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>更拥挤</t>
        </r>
      </text>
    </comment>
    <comment ref="C21" authorId="0" shapeId="0" xr:uid="{00000000-0006-0000-0300-000008000000}">
      <text>
        <r>
          <rPr>
            <sz val="10"/>
            <rFont val="Noto Sans CJK SC"/>
            <family val="1"/>
          </rPr>
          <t>重分类：宏观金融条件指数更接近金融条件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1"/>
          </rPr>
          <t>流动性</t>
        </r>
      </text>
    </comment>
  </commentList>
</comments>
</file>

<file path=xl/sharedStrings.xml><?xml version="1.0" encoding="utf-8"?>
<sst xmlns="http://schemas.openxmlformats.org/spreadsheetml/2006/main" count="2732" uniqueCount="785">
  <si>
    <r>
      <rPr>
        <b/>
        <sz val="16"/>
        <color rgb="FFFFFFFF"/>
        <rFont val="Cambria"/>
        <family val="1"/>
      </rPr>
      <t>Macro Intelligence Dashboard v4</t>
    </r>
    <r>
      <rPr>
        <b/>
        <sz val="16"/>
        <color rgb="FFFFFFFF"/>
        <rFont val="Noto Sans CJK SC"/>
        <family val="1"/>
      </rPr>
      <t>（机构级）</t>
    </r>
  </si>
  <si>
    <t>版本说明</t>
  </si>
  <si>
    <r>
      <rPr>
        <sz val="11"/>
        <color theme="1"/>
        <rFont val="Noto Sans CJK SC"/>
        <family val="1"/>
      </rPr>
      <t>基于《基础数据</t>
    </r>
    <r>
      <rPr>
        <sz val="11"/>
        <color theme="1"/>
        <rFont val="Calibri"/>
        <family val="2"/>
      </rPr>
      <t>v2.xlsx</t>
    </r>
    <r>
      <rPr>
        <sz val="11"/>
        <color theme="1"/>
        <rFont val="Noto Sans CJK SC"/>
        <family val="1"/>
      </rPr>
      <t>》升级，统一风险方向：估值越高越危险，情绪越亢奋越危险；并将盈利</t>
    </r>
    <r>
      <rPr>
        <sz val="11"/>
        <color theme="1"/>
        <rFont val="Calibri"/>
        <family val="2"/>
      </rPr>
      <t>/</t>
    </r>
    <r>
      <rPr>
        <sz val="11"/>
        <color theme="1"/>
        <rFont val="Noto Sans CJK SC"/>
        <family val="1"/>
      </rPr>
      <t>质量</t>
    </r>
    <r>
      <rPr>
        <sz val="11"/>
        <color theme="1"/>
        <rFont val="Calibri"/>
        <family val="2"/>
      </rPr>
      <t>/</t>
    </r>
    <r>
      <rPr>
        <sz val="11"/>
        <color theme="1"/>
        <rFont val="Noto Sans CJK SC"/>
        <family val="1"/>
      </rPr>
      <t xml:space="preserve">经济意外类指标从 </t>
    </r>
    <r>
      <rPr>
        <sz val="11"/>
        <color theme="1"/>
        <rFont val="Calibri"/>
        <family val="2"/>
      </rPr>
      <t xml:space="preserve">Valuation </t>
    </r>
    <r>
      <rPr>
        <sz val="11"/>
        <color theme="1"/>
        <rFont val="Noto Sans CJK SC"/>
        <family val="1"/>
      </rPr>
      <t xml:space="preserve">重分类到 </t>
    </r>
    <r>
      <rPr>
        <sz val="11"/>
        <color theme="1"/>
        <rFont val="Calibri"/>
        <family val="2"/>
      </rPr>
      <t>Growth</t>
    </r>
    <r>
      <rPr>
        <sz val="11"/>
        <color theme="1"/>
        <rFont val="Noto Sans CJK SC"/>
        <family val="1"/>
      </rPr>
      <t xml:space="preserve">，提升 </t>
    </r>
    <r>
      <rPr>
        <sz val="11"/>
        <color theme="1"/>
        <rFont val="Calibri"/>
        <family val="2"/>
      </rPr>
      <t xml:space="preserve">Dashboard </t>
    </r>
    <r>
      <rPr>
        <sz val="11"/>
        <color theme="1"/>
        <rFont val="Noto Sans CJK SC"/>
        <family val="1"/>
      </rPr>
      <t>信号一致性。</t>
    </r>
  </si>
  <si>
    <t>本次更新</t>
  </si>
  <si>
    <r>
      <rPr>
        <sz val="11"/>
        <color theme="1"/>
        <rFont val="Calibri"/>
        <family val="2"/>
      </rPr>
      <t xml:space="preserve">1) Valuation / Sentiment </t>
    </r>
    <r>
      <rPr>
        <sz val="11"/>
        <color theme="1"/>
        <rFont val="Noto Sans CJK SC"/>
        <family val="1"/>
      </rPr>
      <t>风险方向标准化；</t>
    </r>
    <r>
      <rPr>
        <sz val="11"/>
        <color theme="1"/>
        <rFont val="Calibri"/>
        <family val="2"/>
      </rPr>
      <t xml:space="preserve">2) </t>
    </r>
    <r>
      <rPr>
        <sz val="11"/>
        <color theme="1"/>
        <rFont val="Noto Sans CJK SC"/>
        <family val="1"/>
      </rPr>
      <t>修正主权基金净流入的情绪方向；</t>
    </r>
    <r>
      <rPr>
        <sz val="11"/>
        <color theme="1"/>
        <rFont val="Calibri"/>
        <family val="2"/>
      </rPr>
      <t xml:space="preserve">3) Growth / Liquidity </t>
    </r>
    <r>
      <rPr>
        <sz val="11"/>
        <color theme="1"/>
        <rFont val="Noto Sans CJK SC"/>
        <family val="1"/>
      </rPr>
      <t>分类更贴近机构监控框架。</t>
    </r>
  </si>
  <si>
    <t>工作簿结构</t>
  </si>
  <si>
    <r>
      <rPr>
        <sz val="11"/>
        <color theme="1"/>
        <rFont val="Calibri"/>
        <family val="2"/>
      </rPr>
      <t xml:space="preserve">README / Controls / Dashboard / Indicators / Indicator_Map / </t>
    </r>
    <r>
      <rPr>
        <sz val="11"/>
        <color theme="1"/>
        <rFont val="Noto Sans CJK SC"/>
        <family val="1"/>
      </rPr>
      <t xml:space="preserve">各指标清洗数据 </t>
    </r>
    <r>
      <rPr>
        <sz val="11"/>
        <color theme="1"/>
        <rFont val="Calibri"/>
        <family val="2"/>
      </rPr>
      <t>Sheet</t>
    </r>
  </si>
  <si>
    <t>信号逻辑</t>
  </si>
  <si>
    <r>
      <rPr>
        <sz val="11"/>
        <color theme="1"/>
        <rFont val="Noto Sans CJK SC"/>
        <family val="1"/>
      </rPr>
      <t xml:space="preserve">按 </t>
    </r>
    <r>
      <rPr>
        <sz val="11"/>
        <color theme="1"/>
        <rFont val="Calibri"/>
        <family val="2"/>
      </rPr>
      <t xml:space="preserve">HigherBetter / HigherWorse / LowerBetter </t>
    </r>
    <r>
      <rPr>
        <sz val="11"/>
        <color theme="1"/>
        <rFont val="Noto Sans CJK SC"/>
        <family val="1"/>
      </rPr>
      <t xml:space="preserve">三种方向自动生成 </t>
    </r>
    <r>
      <rPr>
        <sz val="11"/>
        <color theme="1"/>
        <rFont val="Calibri"/>
        <family val="2"/>
      </rPr>
      <t>Trend</t>
    </r>
    <r>
      <rPr>
        <sz val="11"/>
        <color theme="1"/>
        <rFont val="Noto Sans CJK SC"/>
        <family val="1"/>
      </rPr>
      <t>、</t>
    </r>
    <r>
      <rPr>
        <sz val="11"/>
        <color theme="1"/>
        <rFont val="Calibri"/>
        <family val="2"/>
      </rPr>
      <t>Signal</t>
    </r>
    <r>
      <rPr>
        <sz val="11"/>
        <color theme="1"/>
        <rFont val="Noto Sans CJK SC"/>
        <family val="1"/>
      </rPr>
      <t>、</t>
    </r>
    <r>
      <rPr>
        <sz val="11"/>
        <color theme="1"/>
        <rFont val="Calibri"/>
        <family val="2"/>
      </rPr>
      <t>Score</t>
    </r>
    <r>
      <rPr>
        <sz val="11"/>
        <color theme="1"/>
        <rFont val="Noto Sans CJK SC"/>
        <family val="1"/>
      </rPr>
      <t>。</t>
    </r>
  </si>
  <si>
    <t>颜色图例</t>
  </si>
  <si>
    <r>
      <rPr>
        <sz val="11"/>
        <color theme="1"/>
        <rFont val="Noto Sans CJK SC"/>
        <family val="1"/>
      </rPr>
      <t>蓝</t>
    </r>
    <r>
      <rPr>
        <sz val="11"/>
        <color theme="1"/>
        <rFont val="Calibri"/>
        <family val="2"/>
      </rPr>
      <t>=</t>
    </r>
    <r>
      <rPr>
        <sz val="11"/>
        <color theme="1"/>
        <rFont val="Noto Sans CJK SC"/>
        <family val="1"/>
      </rPr>
      <t>结构</t>
    </r>
    <r>
      <rPr>
        <sz val="11"/>
        <color theme="1"/>
        <rFont val="Calibri"/>
        <family val="2"/>
      </rPr>
      <t>/</t>
    </r>
    <r>
      <rPr>
        <sz val="11"/>
        <color theme="1"/>
        <rFont val="Noto Sans CJK SC"/>
        <family val="1"/>
      </rPr>
      <t>输入；黑</t>
    </r>
    <r>
      <rPr>
        <sz val="11"/>
        <color theme="1"/>
        <rFont val="Calibri"/>
        <family val="2"/>
      </rPr>
      <t>=</t>
    </r>
    <r>
      <rPr>
        <sz val="11"/>
        <color theme="1"/>
        <rFont val="Noto Sans CJK SC"/>
        <family val="1"/>
      </rPr>
      <t>公式</t>
    </r>
    <r>
      <rPr>
        <sz val="11"/>
        <color theme="1"/>
        <rFont val="Calibri"/>
        <family val="2"/>
      </rPr>
      <t>/</t>
    </r>
    <r>
      <rPr>
        <sz val="11"/>
        <color theme="1"/>
        <rFont val="Noto Sans CJK SC"/>
        <family val="1"/>
      </rPr>
      <t>结果；绿</t>
    </r>
    <r>
      <rPr>
        <sz val="11"/>
        <color theme="1"/>
        <rFont val="Calibri"/>
        <family val="2"/>
      </rPr>
      <t>=</t>
    </r>
    <r>
      <rPr>
        <sz val="11"/>
        <color theme="1"/>
        <rFont val="Noto Sans CJK SC"/>
        <family val="1"/>
      </rPr>
      <t>内部链接</t>
    </r>
    <r>
      <rPr>
        <sz val="11"/>
        <color theme="1"/>
        <rFont val="Calibri"/>
        <family val="2"/>
      </rPr>
      <t>/</t>
    </r>
    <r>
      <rPr>
        <sz val="11"/>
        <color theme="1"/>
        <rFont val="Noto Sans CJK SC"/>
        <family val="1"/>
      </rPr>
      <t>引用；橙</t>
    </r>
    <r>
      <rPr>
        <sz val="11"/>
        <color theme="1"/>
        <rFont val="Calibri"/>
        <family val="2"/>
      </rPr>
      <t>=</t>
    </r>
    <r>
      <rPr>
        <sz val="11"/>
        <color theme="1"/>
        <rFont val="Noto Sans CJK SC"/>
        <family val="1"/>
      </rPr>
      <t>需关注；红</t>
    </r>
    <r>
      <rPr>
        <sz val="11"/>
        <color theme="1"/>
        <rFont val="Calibri"/>
        <family val="2"/>
      </rPr>
      <t>=</t>
    </r>
    <r>
      <rPr>
        <sz val="11"/>
        <color theme="1"/>
        <rFont val="Noto Sans CJK SC"/>
        <family val="1"/>
      </rPr>
      <t>风险。</t>
    </r>
  </si>
  <si>
    <t>建议使用顺序</t>
  </si>
  <si>
    <r>
      <rPr>
        <sz val="10"/>
        <color rgb="FF1F1F1F"/>
        <rFont val="Cambria"/>
        <family val="1"/>
      </rPr>
      <t xml:space="preserve">1) </t>
    </r>
    <r>
      <rPr>
        <sz val="10"/>
        <color rgb="FF1F1F1F"/>
        <rFont val="Noto Sans CJK SC"/>
        <family val="1"/>
      </rPr>
      <t xml:space="preserve">在 </t>
    </r>
    <r>
      <rPr>
        <sz val="10"/>
        <color rgb="FF1F1F1F"/>
        <rFont val="Cambria"/>
        <family val="1"/>
      </rPr>
      <t xml:space="preserve">Dashboard </t>
    </r>
    <r>
      <rPr>
        <sz val="10"/>
        <color rgb="FF1F1F1F"/>
        <rFont val="Noto Sans CJK SC"/>
        <family val="1"/>
      </rPr>
      <t>看总览与分类得分</t>
    </r>
  </si>
  <si>
    <r>
      <rPr>
        <sz val="10"/>
        <color rgb="FF1F1F1F"/>
        <rFont val="Cambria"/>
        <family val="1"/>
      </rPr>
      <t xml:space="preserve">2) </t>
    </r>
    <r>
      <rPr>
        <sz val="10"/>
        <color rgb="FF1F1F1F"/>
        <rFont val="Noto Sans CJK SC"/>
        <family val="1"/>
      </rPr>
      <t xml:space="preserve">在 </t>
    </r>
    <r>
      <rPr>
        <sz val="10"/>
        <color rgb="FF1F1F1F"/>
        <rFont val="Cambria"/>
        <family val="1"/>
      </rPr>
      <t xml:space="preserve">Indicators </t>
    </r>
    <r>
      <rPr>
        <sz val="10"/>
        <color rgb="FF1F1F1F"/>
        <rFont val="Noto Sans CJK SC"/>
        <family val="1"/>
      </rPr>
      <t>看逐指标趋势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信号</t>
    </r>
  </si>
  <si>
    <r>
      <rPr>
        <sz val="10"/>
        <color rgb="FF1F1F1F"/>
        <rFont val="Cambria"/>
        <family val="1"/>
      </rPr>
      <t xml:space="preserve">3) </t>
    </r>
    <r>
      <rPr>
        <sz val="10"/>
        <color rgb="FF1F1F1F"/>
        <rFont val="Noto Sans CJK SC"/>
        <family val="1"/>
      </rPr>
      <t xml:space="preserve">在 </t>
    </r>
    <r>
      <rPr>
        <sz val="10"/>
        <color rgb="FF1F1F1F"/>
        <rFont val="Cambria"/>
        <family val="1"/>
      </rPr>
      <t xml:space="preserve">Indicator_Map </t>
    </r>
    <r>
      <rPr>
        <sz val="10"/>
        <color rgb="FF1F1F1F"/>
        <rFont val="Noto Sans CJK SC"/>
        <family val="1"/>
      </rPr>
      <t>按分类跳转明细</t>
    </r>
  </si>
  <si>
    <r>
      <rPr>
        <sz val="10"/>
        <color rgb="FF1F1F1F"/>
        <rFont val="Cambria"/>
        <family val="1"/>
      </rPr>
      <t xml:space="preserve">4) </t>
    </r>
    <r>
      <rPr>
        <sz val="10"/>
        <color rgb="FF1F1F1F"/>
        <rFont val="Noto Sans CJK SC"/>
        <family val="1"/>
      </rPr>
      <t xml:space="preserve">在各数据 </t>
    </r>
    <r>
      <rPr>
        <sz val="10"/>
        <color rgb="FF1F1F1F"/>
        <rFont val="Cambria"/>
        <family val="1"/>
      </rPr>
      <t xml:space="preserve">Sheet </t>
    </r>
    <r>
      <rPr>
        <sz val="10"/>
        <color rgb="FF1F1F1F"/>
        <rFont val="Noto Sans CJK SC"/>
        <family val="1"/>
      </rPr>
      <t xml:space="preserve">看原始表格 </t>
    </r>
    <r>
      <rPr>
        <sz val="10"/>
        <color rgb="FF1F1F1F"/>
        <rFont val="Cambria"/>
        <family val="1"/>
      </rPr>
      <t xml:space="preserve">+ </t>
    </r>
    <r>
      <rPr>
        <sz val="10"/>
        <color rgb="FF1F1F1F"/>
        <rFont val="Noto Sans CJK SC"/>
        <family val="1"/>
      </rPr>
      <t>图表</t>
    </r>
  </si>
  <si>
    <r>
      <rPr>
        <b/>
        <sz val="16"/>
        <color rgb="FFFFFFFF"/>
        <rFont val="Cambria"/>
        <family val="1"/>
      </rPr>
      <t xml:space="preserve">Controls / </t>
    </r>
    <r>
      <rPr>
        <b/>
        <sz val="16"/>
        <color rgb="FFFFFFFF"/>
        <rFont val="Noto Sans CJK SC"/>
        <family val="1"/>
      </rPr>
      <t>假设参数</t>
    </r>
  </si>
  <si>
    <t>Parameter</t>
  </si>
  <si>
    <t>Value</t>
  </si>
  <si>
    <t>Description</t>
  </si>
  <si>
    <t>TrendThresholdPct</t>
  </si>
  <si>
    <r>
      <rPr>
        <sz val="10"/>
        <color rgb="FF1F1F1F"/>
        <rFont val="Noto Sans CJK SC"/>
        <family val="1"/>
      </rPr>
      <t xml:space="preserve">若 </t>
    </r>
    <r>
      <rPr>
        <sz val="10"/>
        <color rgb="FF1F1F1F"/>
        <rFont val="Cambria"/>
        <family val="1"/>
      </rPr>
      <t xml:space="preserve">Delta% </t>
    </r>
    <r>
      <rPr>
        <sz val="10"/>
        <color rgb="FF1F1F1F"/>
        <rFont val="Noto Sans CJK SC"/>
        <family val="1"/>
      </rPr>
      <t xml:space="preserve">绝对值 </t>
    </r>
    <r>
      <rPr>
        <sz val="10"/>
        <color rgb="FF1F1F1F"/>
        <rFont val="Cambria"/>
        <family val="1"/>
      </rPr>
      <t>&gt;= 3%</t>
    </r>
    <r>
      <rPr>
        <sz val="10"/>
        <color rgb="FF1F1F1F"/>
        <rFont val="Noto Sans CJK SC"/>
        <family val="1"/>
      </rPr>
      <t>，则判断为显著变化</t>
    </r>
  </si>
  <si>
    <t>PositiveScore</t>
  </si>
  <si>
    <r>
      <rPr>
        <sz val="10"/>
        <color rgb="FF1F1F1F"/>
        <rFont val="Cambria"/>
        <family val="1"/>
      </rPr>
      <t xml:space="preserve">Positive </t>
    </r>
    <r>
      <rPr>
        <sz val="10"/>
        <color rgb="FF1F1F1F"/>
        <rFont val="Noto Sans CJK SC"/>
        <family val="1"/>
      </rPr>
      <t>信号得分</t>
    </r>
  </si>
  <si>
    <t>NeutralScore</t>
  </si>
  <si>
    <r>
      <rPr>
        <sz val="10"/>
        <color rgb="FF1F1F1F"/>
        <rFont val="Cambria"/>
        <family val="1"/>
      </rPr>
      <t xml:space="preserve">Neutral </t>
    </r>
    <r>
      <rPr>
        <sz val="10"/>
        <color rgb="FF1F1F1F"/>
        <rFont val="Noto Sans CJK SC"/>
        <family val="1"/>
      </rPr>
      <t>信号得分</t>
    </r>
  </si>
  <si>
    <t>NegativeScore</t>
  </si>
  <si>
    <r>
      <rPr>
        <sz val="10"/>
        <color rgb="FF1F1F1F"/>
        <rFont val="Cambria"/>
        <family val="1"/>
      </rPr>
      <t xml:space="preserve">Negative </t>
    </r>
    <r>
      <rPr>
        <sz val="10"/>
        <color rgb="FF1F1F1F"/>
        <rFont val="Noto Sans CJK SC"/>
        <family val="1"/>
      </rPr>
      <t>信号得分</t>
    </r>
  </si>
  <si>
    <t>ValuationRiskRule</t>
  </si>
  <si>
    <t>Higher = More Dangerous</t>
  </si>
  <si>
    <t>估值越高，风险分数越偏负面</t>
  </si>
  <si>
    <t>SentimentRiskRule</t>
  </si>
  <si>
    <t>情绪越高、越拥挤，风险分数越偏负面</t>
  </si>
  <si>
    <t>MethodologyUpdate</t>
  </si>
  <si>
    <t>v4 Reclassified Metrics</t>
  </si>
  <si>
    <r>
      <rPr>
        <b/>
        <sz val="10"/>
        <color rgb="FF1F1F1F"/>
        <rFont val="Noto Sans CJK SC"/>
        <family val="1"/>
      </rPr>
      <t>将盈利修正</t>
    </r>
    <r>
      <rPr>
        <b/>
        <sz val="10"/>
        <color rgb="FF1F1F1F"/>
        <rFont val="Cambria"/>
        <family val="1"/>
      </rPr>
      <t>/</t>
    </r>
    <r>
      <rPr>
        <b/>
        <sz val="10"/>
        <color rgb="FF1F1F1F"/>
        <rFont val="Noto Sans CJK SC"/>
        <family val="1"/>
      </rPr>
      <t>经济意外</t>
    </r>
    <r>
      <rPr>
        <b/>
        <sz val="10"/>
        <color rgb="FF1F1F1F"/>
        <rFont val="Cambria"/>
        <family val="1"/>
      </rPr>
      <t>/</t>
    </r>
    <r>
      <rPr>
        <b/>
        <sz val="10"/>
        <color rgb="FF1F1F1F"/>
        <rFont val="Noto Sans CJK SC"/>
        <family val="1"/>
      </rPr>
      <t>质量指标从估值类移至增长类</t>
    </r>
  </si>
  <si>
    <t>Growth</t>
  </si>
  <si>
    <t>Equal weight by default</t>
  </si>
  <si>
    <t>Inflation</t>
  </si>
  <si>
    <t>Liquidity</t>
  </si>
  <si>
    <t>Valuation</t>
  </si>
  <si>
    <t>Sentiment</t>
  </si>
  <si>
    <t>Housing</t>
  </si>
  <si>
    <r>
      <rPr>
        <b/>
        <sz val="16"/>
        <color rgb="FFFFFFFF"/>
        <rFont val="Cambria"/>
        <family val="1"/>
      </rPr>
      <t xml:space="preserve">Macro Intelligence Dashboard v4 / </t>
    </r>
    <r>
      <rPr>
        <b/>
        <sz val="16"/>
        <color rgb="FFFFFFFF"/>
        <rFont val="Noto Sans CJK SC"/>
        <family val="1"/>
      </rPr>
      <t>机构级总览</t>
    </r>
  </si>
  <si>
    <t>Methodology update</t>
  </si>
  <si>
    <t>Valuation↑ = more dangerous; Sentiment↑ = more dangerous. Quality / earnings revision / economic surprise metrics moved out of Valuation to keep category score direction consistent.</t>
  </si>
  <si>
    <t>Overall Score</t>
  </si>
  <si>
    <t>Macro Regime</t>
  </si>
  <si>
    <t>Growth Indicators</t>
  </si>
  <si>
    <t>Indicator</t>
  </si>
  <si>
    <t>Latest</t>
  </si>
  <si>
    <t>Previous</t>
  </si>
  <si>
    <t>Delta</t>
  </si>
  <si>
    <t>DeltaPct</t>
  </si>
  <si>
    <t>Trend</t>
  </si>
  <si>
    <t>Signal</t>
  </si>
  <si>
    <t>Score</t>
  </si>
  <si>
    <t>Inflation Indicators</t>
  </si>
  <si>
    <t>Liquidity Indicators</t>
  </si>
  <si>
    <t>Valuation Indicators</t>
  </si>
  <si>
    <t>Sentiment Indicators</t>
  </si>
  <si>
    <t>Housing Indicators</t>
  </si>
  <si>
    <r>
      <rPr>
        <b/>
        <sz val="16"/>
        <color rgb="FFFFFFFF"/>
        <rFont val="Cambria"/>
        <family val="1"/>
      </rPr>
      <t xml:space="preserve">Indicators / </t>
    </r>
    <r>
      <rPr>
        <b/>
        <sz val="16"/>
        <color rgb="FFFFFFFF"/>
        <rFont val="Noto Sans CJK SC"/>
        <family val="1"/>
      </rPr>
      <t>全量指标库</t>
    </r>
  </si>
  <si>
    <t>DataSheet</t>
  </si>
  <si>
    <t>Category</t>
  </si>
  <si>
    <t>Metric</t>
  </si>
  <si>
    <t>Frequency</t>
  </si>
  <si>
    <t>Orientation</t>
  </si>
  <si>
    <t>Notes</t>
  </si>
  <si>
    <r>
      <rPr>
        <sz val="10"/>
        <color rgb="FF1F1F1F"/>
        <rFont val="Noto Sans CJK SC"/>
        <family val="1"/>
      </rPr>
      <t>纳斯达克</t>
    </r>
    <r>
      <rPr>
        <sz val="10"/>
        <color rgb="FF1F1F1F"/>
        <rFont val="Cambria"/>
        <family val="1"/>
      </rPr>
      <t>100</t>
    </r>
    <r>
      <rPr>
        <sz val="10"/>
        <color rgb="FF1F1F1F"/>
        <rFont val="Noto Sans CJK SC"/>
        <family val="1"/>
      </rPr>
      <t>毛利率五年趋势</t>
    </r>
  </si>
  <si>
    <t>S01_纳斯达克100毛利率五年趋势</t>
  </si>
  <si>
    <t>Quarterly</t>
  </si>
  <si>
    <t>HigherBetter</t>
  </si>
  <si>
    <r>
      <rPr>
        <sz val="10"/>
        <color rgb="FF1F1F1F"/>
        <rFont val="Noto Sans CJK SC"/>
        <family val="1"/>
      </rPr>
      <t>重分类：质量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 xml:space="preserve">利润率改善更接近 </t>
    </r>
    <r>
      <rPr>
        <sz val="10"/>
        <color rgb="FF1F1F1F"/>
        <rFont val="Cambria"/>
        <family val="1"/>
      </rPr>
      <t>Growth / Quality</t>
    </r>
    <r>
      <rPr>
        <sz val="10"/>
        <color rgb="FF1F1F1F"/>
        <rFont val="Noto Sans CJK SC"/>
        <family val="1"/>
      </rPr>
      <t>，而非估值过热</t>
    </r>
  </si>
  <si>
    <r>
      <rPr>
        <sz val="10"/>
        <color rgb="FF1F1F1F"/>
        <rFont val="Noto Sans CJK SC"/>
        <family val="1"/>
      </rPr>
      <t>花旗标普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 xml:space="preserve">盈利上修动能指标 </t>
    </r>
  </si>
  <si>
    <t>S02_花旗标普500盈利上修动能指标</t>
  </si>
  <si>
    <r>
      <rPr>
        <sz val="10"/>
        <color rgb="FF1F1F1F"/>
        <rFont val="Noto Sans CJK SC"/>
        <family val="1"/>
      </rPr>
      <t>花旗标普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 xml:space="preserve">盈利上修动能指标 </t>
    </r>
    <r>
      <rPr>
        <sz val="10"/>
        <color rgb="FF1F1F1F"/>
        <rFont val="Cambria"/>
        <family val="1"/>
      </rPr>
      <t>(Citi ERI)</t>
    </r>
  </si>
  <si>
    <r>
      <rPr>
        <sz val="10"/>
        <color rgb="FF1F1F1F"/>
        <rFont val="Noto Sans CJK SC"/>
        <family val="1"/>
      </rPr>
      <t>重分类：盈利上修动能属于盈利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增长改善</t>
    </r>
  </si>
  <si>
    <r>
      <rPr>
        <sz val="10"/>
        <color rgb="FF1F1F1F"/>
        <rFont val="Cambria"/>
        <family val="1"/>
      </rPr>
      <t>TGA</t>
    </r>
    <r>
      <rPr>
        <sz val="10"/>
        <color rgb="FF1F1F1F"/>
        <rFont val="Noto Sans CJK SC"/>
        <family val="1"/>
      </rPr>
      <t>账户</t>
    </r>
  </si>
  <si>
    <t>S03_TGA账户</t>
  </si>
  <si>
    <t>HigherWorse</t>
  </si>
  <si>
    <t>Auto parsed and summarized from source sheet</t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</si>
  <si>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盈余惊喜</t>
    </r>
  </si>
  <si>
    <t>S04_标普500盈余惊喜</t>
  </si>
  <si>
    <r>
      <rPr>
        <sz val="10"/>
        <color rgb="FF1F1F1F"/>
        <rFont val="Noto Sans CJK SC"/>
        <family val="1"/>
      </rPr>
      <t xml:space="preserve">盈余惊喜幅度 </t>
    </r>
    <r>
      <rPr>
        <sz val="10"/>
        <color rgb="FF1F1F1F"/>
        <rFont val="Cambria"/>
        <family val="1"/>
      </rPr>
      <t>(Surprise %)</t>
    </r>
  </si>
  <si>
    <t>重分类：盈余惊喜属于盈利动量</t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</si>
  <si>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的</t>
    </r>
    <r>
      <rPr>
        <sz val="10"/>
        <color rgb="FF1F1F1F"/>
        <rFont val="Cambria"/>
        <family val="1"/>
      </rPr>
      <t>roic-wacc</t>
    </r>
  </si>
  <si>
    <t>S05_标普500的roic-wacc</t>
  </si>
  <si>
    <t>ROIC-WACC Spread (%)</t>
  </si>
  <si>
    <r>
      <rPr>
        <sz val="10"/>
        <color rgb="FF1F1F1F"/>
        <rFont val="Noto Sans CJK SC"/>
        <family val="1"/>
      </rPr>
      <t>重分类：</t>
    </r>
    <r>
      <rPr>
        <sz val="10"/>
        <color rgb="FF1F1F1F"/>
        <rFont val="Cambria"/>
        <family val="1"/>
      </rPr>
      <t xml:space="preserve">ROIC-WACC </t>
    </r>
    <r>
      <rPr>
        <sz val="10"/>
        <color rgb="FF1F1F1F"/>
        <rFont val="Noto Sans CJK SC"/>
        <family val="1"/>
      </rPr>
      <t>更接近质量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盈利能力</t>
    </r>
  </si>
  <si>
    <t>纳斯达克营收增长</t>
  </si>
  <si>
    <t>S06_纳斯达克营收增长</t>
  </si>
  <si>
    <r>
      <rPr>
        <sz val="10"/>
        <color rgb="FF1F1F1F"/>
        <rFont val="Noto Sans CJK SC"/>
        <family val="1"/>
      </rPr>
      <t xml:space="preserve">营收同比增长率 </t>
    </r>
    <r>
      <rPr>
        <sz val="10"/>
        <color rgb="FF1F1F1F"/>
        <rFont val="Cambria"/>
        <family val="1"/>
      </rPr>
      <t>(YoY Revenue Growth)</t>
    </r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</si>
  <si>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的</t>
    </r>
    <r>
      <rPr>
        <sz val="10"/>
        <color rgb="FF1F1F1F"/>
        <rFont val="Cambria"/>
        <family val="1"/>
      </rPr>
      <t>ERP</t>
    </r>
  </si>
  <si>
    <t>S07_标普500的ERP</t>
  </si>
  <si>
    <t>ERP (%)</t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</si>
  <si>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 xml:space="preserve">的花旗盈利修正指数 </t>
    </r>
    <r>
      <rPr>
        <sz val="10"/>
        <color rgb="FF1F1F1F"/>
        <rFont val="Cambria"/>
        <family val="1"/>
      </rPr>
      <t>(ERI)</t>
    </r>
  </si>
  <si>
    <t>S08_标普500的花旗盈利修正指数 (ERI)</t>
  </si>
  <si>
    <r>
      <rPr>
        <sz val="10"/>
        <color rgb="FF1F1F1F"/>
        <rFont val="Noto Sans CJK SC"/>
        <family val="1"/>
      </rPr>
      <t xml:space="preserve">花旗盈利修正指数 </t>
    </r>
    <r>
      <rPr>
        <sz val="10"/>
        <color rgb="FF1F1F1F"/>
        <rFont val="Cambria"/>
        <family val="1"/>
      </rPr>
      <t>(Citi ERI)</t>
    </r>
  </si>
  <si>
    <r>
      <rPr>
        <sz val="10"/>
        <color rgb="FF1F1F1F"/>
        <rFont val="Noto Sans CJK SC"/>
        <family val="1"/>
      </rPr>
      <t>重分类：</t>
    </r>
    <r>
      <rPr>
        <sz val="10"/>
        <color rgb="FF1F1F1F"/>
        <rFont val="Cambria"/>
        <family val="1"/>
      </rPr>
      <t xml:space="preserve">ERI </t>
    </r>
    <r>
      <rPr>
        <sz val="10"/>
        <color rgb="FF1F1F1F"/>
        <rFont val="Noto Sans CJK SC"/>
        <family val="1"/>
      </rPr>
      <t>属于盈利修正动量</t>
    </r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</si>
  <si>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 xml:space="preserve">的花旗经济意外指数 </t>
    </r>
    <r>
      <rPr>
        <sz val="10"/>
        <color rgb="FF1F1F1F"/>
        <rFont val="Cambria"/>
        <family val="1"/>
      </rPr>
      <t>(CESI US)</t>
    </r>
  </si>
  <si>
    <t>S09_标普500的花旗经济意外指数 (CESI US)</t>
  </si>
  <si>
    <r>
      <rPr>
        <sz val="10"/>
        <color rgb="FF1F1F1F"/>
        <rFont val="Noto Sans CJK SC"/>
        <family val="1"/>
      </rPr>
      <t xml:space="preserve">花旗经济意外指数 </t>
    </r>
    <r>
      <rPr>
        <sz val="10"/>
        <color rgb="FF1F1F1F"/>
        <rFont val="Cambria"/>
        <family val="1"/>
      </rPr>
      <t>(CESI US)</t>
    </r>
  </si>
  <si>
    <r>
      <rPr>
        <sz val="10"/>
        <color rgb="FF1F1F1F"/>
        <rFont val="Noto Sans CJK SC"/>
        <family val="1"/>
      </rPr>
      <t>重分类：</t>
    </r>
    <r>
      <rPr>
        <sz val="10"/>
        <color rgb="FF1F1F1F"/>
        <rFont val="Cambria"/>
        <family val="1"/>
      </rPr>
      <t xml:space="preserve">CESI </t>
    </r>
    <r>
      <rPr>
        <sz val="10"/>
        <color rgb="FF1F1F1F"/>
        <rFont val="Noto Sans CJK SC"/>
        <family val="1"/>
      </rPr>
      <t>属于经济意外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增长脉冲</t>
    </r>
  </si>
  <si>
    <t>主权基金净流入情况</t>
  </si>
  <si>
    <t>S10_主权基金净流入情况</t>
  </si>
  <si>
    <r>
      <rPr>
        <sz val="10"/>
        <color rgb="FF1F1F1F"/>
        <rFont val="Noto Sans CJK SC"/>
        <family val="1"/>
      </rPr>
      <t xml:space="preserve">净流入估算 </t>
    </r>
    <r>
      <rPr>
        <sz val="10"/>
        <color rgb="FF1F1F1F"/>
        <rFont val="Cambria"/>
        <family val="1"/>
      </rPr>
      <t>(Est. Net Inflow)</t>
    </r>
  </si>
  <si>
    <r>
      <rPr>
        <sz val="10"/>
        <color rgb="FF1F1F1F"/>
        <rFont val="Noto Sans CJK SC"/>
        <family val="1"/>
      </rPr>
      <t>方向修正：净流入越强，通常代表风险偏好越热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更拥挤</t>
    </r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</si>
  <si>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 xml:space="preserve">的现金流 </t>
    </r>
    <r>
      <rPr>
        <sz val="10"/>
        <color rgb="FF1F1F1F"/>
        <rFont val="Cambria"/>
        <family val="1"/>
      </rPr>
      <t>PEG</t>
    </r>
  </si>
  <si>
    <t>S11_标普500的现金流 PEG</t>
  </si>
  <si>
    <r>
      <rPr>
        <sz val="10"/>
        <color rgb="FF1F1F1F"/>
        <rFont val="Noto Sans CJK SC"/>
        <family val="1"/>
      </rPr>
      <t xml:space="preserve">现金流 </t>
    </r>
    <r>
      <rPr>
        <sz val="10"/>
        <color rgb="FF1F1F1F"/>
        <rFont val="Cambria"/>
        <family val="1"/>
      </rPr>
      <t>PEG</t>
    </r>
  </si>
  <si>
    <r>
      <rPr>
        <sz val="10"/>
        <color rgb="FF1F1F1F"/>
        <rFont val="Noto Sans CJK SC"/>
        <family val="1"/>
      </rPr>
      <t>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的真实股东收益率（</t>
    </r>
    <r>
      <rPr>
        <sz val="10"/>
        <color rgb="FF1F1F1F"/>
        <rFont val="Cambria"/>
        <family val="1"/>
      </rPr>
      <t>Total Shareholder</t>
    </r>
  </si>
  <si>
    <t>S12_标普500的真实股东收益率（Total Shareho</t>
  </si>
  <si>
    <t>TSY (A+B)</t>
  </si>
  <si>
    <r>
      <rPr>
        <sz val="10"/>
        <color rgb="FF1F1F1F"/>
        <rFont val="Cambria"/>
        <family val="1"/>
      </rPr>
      <t>AAII</t>
    </r>
    <r>
      <rPr>
        <sz val="10"/>
        <color rgb="FF1F1F1F"/>
        <rFont val="Noto Sans CJK SC"/>
        <family val="1"/>
      </rPr>
      <t>个人投资者净看多比例</t>
    </r>
  </si>
  <si>
    <t>S13_AAII个人投资者净看多比例</t>
  </si>
  <si>
    <r>
      <rPr>
        <sz val="10"/>
        <color rgb="FF1F1F1F"/>
        <rFont val="Noto Sans CJK SC"/>
        <family val="1"/>
      </rPr>
      <t xml:space="preserve">净看多比例 </t>
    </r>
    <r>
      <rPr>
        <sz val="10"/>
        <color rgb="FF1F1F1F"/>
        <rFont val="Cambria"/>
        <family val="1"/>
      </rPr>
      <t>(%)</t>
    </r>
  </si>
  <si>
    <r>
      <rPr>
        <sz val="10"/>
        <color rgb="FF1F1F1F"/>
        <rFont val="Cambria"/>
        <family val="1"/>
      </rPr>
      <t xml:space="preserve">Market Vane </t>
    </r>
    <r>
      <rPr>
        <sz val="10"/>
        <color rgb="FF1F1F1F"/>
        <rFont val="Noto Sans CJK SC"/>
        <family val="1"/>
      </rPr>
      <t>股市看涨情绪</t>
    </r>
  </si>
  <si>
    <t>S14_Market Vane 股市看涨情绪</t>
  </si>
  <si>
    <r>
      <rPr>
        <sz val="10"/>
        <color rgb="FF1F1F1F"/>
        <rFont val="Noto Sans CJK SC"/>
        <family val="1"/>
      </rPr>
      <t xml:space="preserve">看涨共识指数 </t>
    </r>
    <r>
      <rPr>
        <sz val="10"/>
        <color rgb="FF1F1F1F"/>
        <rFont val="Cambria"/>
        <family val="1"/>
      </rPr>
      <t>(%)</t>
    </r>
  </si>
  <si>
    <t>保证金债务和市值比率</t>
  </si>
  <si>
    <t>S15_保证金债务和市值比率</t>
  </si>
  <si>
    <r>
      <rPr>
        <sz val="10"/>
        <color rgb="FF1F1F1F"/>
        <rFont val="Cambria"/>
        <family val="1"/>
      </rPr>
      <t>TGA</t>
    </r>
    <r>
      <rPr>
        <sz val="10"/>
        <color rgb="FF1F1F1F"/>
        <rFont val="Noto Sans CJK SC"/>
        <family val="1"/>
      </rPr>
      <t>账户余额</t>
    </r>
  </si>
  <si>
    <t>S16_TGA账户余额</t>
  </si>
  <si>
    <r>
      <rPr>
        <sz val="10"/>
        <color rgb="FF1F1F1F"/>
        <rFont val="Cambria"/>
        <family val="1"/>
      </rPr>
      <t xml:space="preserve">SOFR-OIS </t>
    </r>
    <r>
      <rPr>
        <sz val="10"/>
        <color rgb="FF1F1F1F"/>
        <rFont val="Noto Sans CJK SC"/>
        <family val="1"/>
      </rPr>
      <t>基差</t>
    </r>
  </si>
  <si>
    <t>S17_SOFR-OIS 基差</t>
  </si>
  <si>
    <r>
      <rPr>
        <sz val="10"/>
        <color rgb="FF1F1F1F"/>
        <rFont val="Noto Sans CJK SC"/>
        <family val="1"/>
      </rPr>
      <t xml:space="preserve">代表性周值 </t>
    </r>
    <r>
      <rPr>
        <sz val="10"/>
        <color rgb="FF1F1F1F"/>
        <rFont val="Cambria"/>
        <family val="1"/>
      </rPr>
      <t>(bps)</t>
    </r>
  </si>
  <si>
    <t>Mixed</t>
  </si>
  <si>
    <t>CARRY TO RISK RITIO</t>
  </si>
  <si>
    <t>S18_CARRY TO RISK RITIO</t>
  </si>
  <si>
    <t>高盛美国宏观金融指数</t>
  </si>
  <si>
    <t>S19_高盛美国宏观金融指数</t>
  </si>
  <si>
    <t>LowerBetter</t>
  </si>
  <si>
    <r>
      <rPr>
        <sz val="10"/>
        <color rgb="FF1F1F1F"/>
        <rFont val="Noto Sans CJK SC"/>
        <family val="1"/>
      </rPr>
      <t>重分类：宏观金融条件指数更接近金融条件</t>
    </r>
    <r>
      <rPr>
        <sz val="10"/>
        <color rgb="FF1F1F1F"/>
        <rFont val="Cambria"/>
        <family val="1"/>
      </rPr>
      <t>/</t>
    </r>
    <r>
      <rPr>
        <sz val="10"/>
        <color rgb="FF1F1F1F"/>
        <rFont val="Noto Sans CJK SC"/>
        <family val="1"/>
      </rPr>
      <t>流动性</t>
    </r>
  </si>
  <si>
    <t>彭博美国金融条件指数</t>
  </si>
  <si>
    <t>S20_彭博美国金融条件指数</t>
  </si>
  <si>
    <r>
      <rPr>
        <sz val="10"/>
        <color rgb="FF1F1F1F"/>
        <rFont val="Noto Sans CJK SC"/>
        <family val="1"/>
      </rPr>
      <t xml:space="preserve">芝加哥联储全国金融条件指数 </t>
    </r>
    <r>
      <rPr>
        <sz val="10"/>
        <color rgb="FF1F1F1F"/>
        <rFont val="Cambria"/>
        <family val="1"/>
      </rPr>
      <t>(NFCI)</t>
    </r>
  </si>
  <si>
    <t>S21_芝加哥联储全国金融条件指数 (NFCI)</t>
  </si>
  <si>
    <r>
      <rPr>
        <sz val="10"/>
        <color rgb="FF1F1F1F"/>
        <rFont val="Cambria"/>
        <family val="1"/>
      </rPr>
      <t xml:space="preserve">GDP Now </t>
    </r>
    <r>
      <rPr>
        <sz val="10"/>
        <color rgb="FF1F1F1F"/>
        <rFont val="Noto Sans CJK SC"/>
        <family val="1"/>
      </rPr>
      <t>预测</t>
    </r>
  </si>
  <si>
    <t>S22_GDP Now 预测</t>
  </si>
  <si>
    <r>
      <rPr>
        <sz val="10"/>
        <color rgb="FF1F1F1F"/>
        <rFont val="Noto Sans CJK SC"/>
        <family val="1"/>
      </rPr>
      <t xml:space="preserve">贡献度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估算</t>
    </r>
    <r>
      <rPr>
        <sz val="10"/>
        <color rgb="FF1F1F1F"/>
        <rFont val="Cambria"/>
        <family val="1"/>
      </rPr>
      <t>)</t>
    </r>
  </si>
  <si>
    <t>St. Louis Fed Economic News Ind</t>
  </si>
  <si>
    <t>S23_St. Louis Fed Economic News</t>
  </si>
  <si>
    <r>
      <rPr>
        <sz val="10"/>
        <color rgb="FF1F1F1F"/>
        <rFont val="Cambria"/>
        <family val="1"/>
      </rPr>
      <t xml:space="preserve">ADS </t>
    </r>
    <r>
      <rPr>
        <sz val="10"/>
        <color rgb="FF1F1F1F"/>
        <rFont val="Noto Sans CJK SC"/>
        <family val="1"/>
      </rPr>
      <t>商业景气指数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华尔街交易员股市应用稀缺的实时高频指引</t>
    </r>
    <r>
      <rPr>
        <sz val="10"/>
        <color rgb="FF1F1F1F"/>
        <rFont val="Cambria"/>
        <family val="1"/>
      </rPr>
      <t>)</t>
    </r>
  </si>
  <si>
    <t>S24_ADS 商业景气指数(华尔街交易员股市应用稀缺的实时高</t>
  </si>
  <si>
    <r>
      <rPr>
        <sz val="10"/>
        <color rgb="FF1F1F1F"/>
        <rFont val="Cambria"/>
        <family val="1"/>
      </rPr>
      <t xml:space="preserve">Lightcast </t>
    </r>
    <r>
      <rPr>
        <sz val="10"/>
        <color rgb="FF1F1F1F"/>
        <rFont val="Noto Sans CJK SC"/>
        <family val="1"/>
      </rPr>
      <t>数据</t>
    </r>
  </si>
  <si>
    <t>S25_Lightcast 数据</t>
  </si>
  <si>
    <r>
      <rPr>
        <sz val="10"/>
        <color rgb="FF1F1F1F"/>
        <rFont val="Noto Sans CJK SC"/>
        <family val="1"/>
      </rPr>
      <t xml:space="preserve">招聘广告指数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存量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</si>
  <si>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WARN Notice</t>
    </r>
    <r>
      <rPr>
        <sz val="10"/>
        <color rgb="FF1F1F1F"/>
        <rFont val="Noto Sans CJK SC"/>
        <family val="1"/>
      </rPr>
      <t>裁员数据</t>
    </r>
  </si>
  <si>
    <t>S26_WARN Notice裁员数据</t>
  </si>
  <si>
    <r>
      <rPr>
        <sz val="10"/>
        <color rgb="FF1F1F1F"/>
        <rFont val="Cambria"/>
        <family val="1"/>
      </rPr>
      <t xml:space="preserve">ADP </t>
    </r>
    <r>
      <rPr>
        <sz val="10"/>
        <color rgb="FF1F1F1F"/>
        <rFont val="Noto Sans CJK SC"/>
        <family val="1"/>
      </rPr>
      <t>新增就业人数</t>
    </r>
  </si>
  <si>
    <t>S27_ADP 新增就业人数</t>
  </si>
  <si>
    <r>
      <rPr>
        <sz val="10"/>
        <color rgb="FF1F1F1F"/>
        <rFont val="Cambria"/>
        <family val="1"/>
      </rPr>
      <t xml:space="preserve"> RedBook </t>
    </r>
    <r>
      <rPr>
        <sz val="10"/>
        <color rgb="FF1F1F1F"/>
        <rFont val="Noto Sans CJK SC"/>
        <family val="1"/>
      </rPr>
      <t>零售指数</t>
    </r>
  </si>
  <si>
    <t>S28_RedBook 零售指数</t>
  </si>
  <si>
    <r>
      <rPr>
        <sz val="10"/>
        <color rgb="FF1F1F1F"/>
        <rFont val="Noto Sans CJK SC"/>
        <family val="1"/>
      </rPr>
      <t>房地产待售时长（</t>
    </r>
    <r>
      <rPr>
        <sz val="10"/>
        <color rgb="FF1F1F1F"/>
        <rFont val="Cambria"/>
        <family val="1"/>
      </rPr>
      <t>4WMA</t>
    </r>
    <r>
      <rPr>
        <sz val="10"/>
        <color rgb="FF1F1F1F"/>
        <rFont val="Noto Sans CJK SC"/>
        <family val="1"/>
      </rPr>
      <t>）</t>
    </r>
  </si>
  <si>
    <t>S29_房地产待售时长（4WMA）</t>
  </si>
  <si>
    <r>
      <rPr>
        <sz val="10"/>
        <color rgb="FF1F1F1F"/>
        <rFont val="Cambria"/>
        <family val="1"/>
      </rPr>
      <t xml:space="preserve">Redfin </t>
    </r>
    <r>
      <rPr>
        <sz val="10"/>
        <color rgb="FF1F1F1F"/>
        <rFont val="Noto Sans CJK SC"/>
        <family val="1"/>
      </rPr>
      <t>房屋销售量</t>
    </r>
  </si>
  <si>
    <t>S30_Redfin 房屋销售量</t>
  </si>
  <si>
    <t>美国中位数房价</t>
  </si>
  <si>
    <t>S31_美国中位数房价</t>
  </si>
  <si>
    <r>
      <rPr>
        <sz val="10"/>
        <color rgb="FF1F1F1F"/>
        <rFont val="Noto Sans CJK SC"/>
        <family val="1"/>
      </rPr>
      <t xml:space="preserve">薪资增速 </t>
    </r>
    <r>
      <rPr>
        <sz val="10"/>
        <color rgb="FF1F1F1F"/>
        <rFont val="Cambria"/>
        <family val="1"/>
      </rPr>
      <t>(Average Hourly Earnings)</t>
    </r>
  </si>
  <si>
    <t>S32_薪资增速 (Average Hourly Earnin</t>
  </si>
  <si>
    <t>Monthly</t>
  </si>
  <si>
    <r>
      <rPr>
        <sz val="10"/>
        <color rgb="FF1F1F1F"/>
        <rFont val="Cambria"/>
        <family val="1"/>
      </rPr>
      <t xml:space="preserve">ISM </t>
    </r>
    <r>
      <rPr>
        <sz val="10"/>
        <color rgb="FF1F1F1F"/>
        <rFont val="Noto Sans CJK SC"/>
        <family val="1"/>
      </rPr>
      <t>制造业和服务业价格指数</t>
    </r>
  </si>
  <si>
    <t>S33_ISM 制造业和服务业价格指数</t>
  </si>
  <si>
    <r>
      <rPr>
        <sz val="10"/>
        <color rgb="FF1F1F1F"/>
        <rFont val="Noto Sans CJK SC"/>
        <family val="1"/>
      </rPr>
      <t>美国核心</t>
    </r>
    <r>
      <rPr>
        <sz val="10"/>
        <color rgb="FF1F1F1F"/>
        <rFont val="Cambria"/>
        <family val="1"/>
      </rPr>
      <t>PCE</t>
    </r>
    <r>
      <rPr>
        <sz val="10"/>
        <color rgb="FF1F1F1F"/>
        <rFont val="Noto Sans CJK SC"/>
        <family val="1"/>
      </rPr>
      <t>物价指数</t>
    </r>
  </si>
  <si>
    <t>S34_美国核心PCE物价指数</t>
  </si>
  <si>
    <r>
      <rPr>
        <b/>
        <sz val="16"/>
        <color rgb="FFFFFFFF"/>
        <rFont val="Cambria"/>
        <family val="1"/>
      </rPr>
      <t xml:space="preserve">Indicator Map / </t>
    </r>
    <r>
      <rPr>
        <b/>
        <sz val="16"/>
        <color rgb="FFFFFFFF"/>
        <rFont val="Noto Sans CJK SC"/>
        <family val="1"/>
      </rPr>
      <t>分类与跳转</t>
    </r>
  </si>
  <si>
    <t>PrimaryMetric</t>
  </si>
  <si>
    <t>ObsCount</t>
  </si>
  <si>
    <r>
      <rPr>
        <b/>
        <sz val="16"/>
        <color rgb="FFFFFFFF"/>
        <rFont val="Noto Sans CJK SC"/>
        <family val="1"/>
      </rPr>
      <t>纳斯达克</t>
    </r>
    <r>
      <rPr>
        <b/>
        <sz val="16"/>
        <color rgb="FFFFFFFF"/>
        <rFont val="Cambria"/>
        <family val="1"/>
      </rPr>
      <t>100</t>
    </r>
    <r>
      <rPr>
        <b/>
        <sz val="16"/>
        <color rgb="FFFFFFFF"/>
        <rFont val="Noto Sans CJK SC"/>
        <family val="1"/>
      </rPr>
      <t>毛利率五年趋势</t>
    </r>
  </si>
  <si>
    <t>Primary Metric</t>
  </si>
  <si>
    <t>Back to Dashboard</t>
  </si>
  <si>
    <t>年份</t>
  </si>
  <si>
    <r>
      <rPr>
        <b/>
        <sz val="10"/>
        <color rgb="FF1F1F1F"/>
        <rFont val="Noto Sans CJK SC"/>
        <family val="1"/>
      </rPr>
      <t xml:space="preserve">第一季度 </t>
    </r>
    <r>
      <rPr>
        <b/>
        <sz val="10"/>
        <color rgb="FF1F1F1F"/>
        <rFont val="Cambria"/>
        <family val="1"/>
      </rPr>
      <t>(Q1)</t>
    </r>
  </si>
  <si>
    <r>
      <rPr>
        <b/>
        <sz val="10"/>
        <color rgb="FF1F1F1F"/>
        <rFont val="Noto Sans CJK SC"/>
        <family val="1"/>
      </rPr>
      <t xml:space="preserve">第二季度 </t>
    </r>
    <r>
      <rPr>
        <b/>
        <sz val="10"/>
        <color rgb="FF1F1F1F"/>
        <rFont val="Cambria"/>
        <family val="1"/>
      </rPr>
      <t>(Q2)</t>
    </r>
  </si>
  <si>
    <r>
      <rPr>
        <b/>
        <sz val="10"/>
        <color rgb="FF1F1F1F"/>
        <rFont val="Noto Sans CJK SC"/>
        <family val="1"/>
      </rPr>
      <t xml:space="preserve">第三季度 </t>
    </r>
    <r>
      <rPr>
        <b/>
        <sz val="10"/>
        <color rgb="FF1F1F1F"/>
        <rFont val="Cambria"/>
        <family val="1"/>
      </rPr>
      <t>(Q3)</t>
    </r>
  </si>
  <si>
    <r>
      <rPr>
        <b/>
        <sz val="10"/>
        <color rgb="FF1F1F1F"/>
        <rFont val="Noto Sans CJK SC"/>
        <family val="1"/>
      </rPr>
      <t xml:space="preserve">第四季度 </t>
    </r>
    <r>
      <rPr>
        <b/>
        <sz val="10"/>
        <color rgb="FF1F1F1F"/>
        <rFont val="Cambria"/>
        <family val="1"/>
      </rPr>
      <t>(Q4)</t>
    </r>
  </si>
  <si>
    <t>年度趋势说明</t>
  </si>
  <si>
    <t>TimePoint</t>
  </si>
  <si>
    <t>Series</t>
  </si>
  <si>
    <t>疫情期间云服务和电子产品需求爆发，毛利稳步扩张。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</si>
  <si>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</si>
  <si>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t>受高通胀、供应链中断及加息影响，硬件成本上升，毛利探底。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</si>
  <si>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</si>
  <si>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Noto Sans CJK SC"/>
        <family val="1"/>
      </rPr>
      <t>科技行业“效率之年”，通过裁员降本，且</t>
    </r>
    <r>
      <rPr>
        <sz val="10"/>
        <color rgb="FF1F1F1F"/>
        <rFont val="Cambria"/>
        <family val="1"/>
      </rPr>
      <t>AI</t>
    </r>
    <r>
      <rPr>
        <sz val="10"/>
        <color rgb="FF1F1F1F"/>
        <rFont val="Noto Sans CJK SC"/>
        <family val="1"/>
      </rPr>
      <t>算力需求开始起量。</t>
    </r>
  </si>
  <si>
    <t>Data Source</t>
  </si>
  <si>
    <r>
      <rPr>
        <sz val="10"/>
        <color rgb="FF1F1F1F"/>
        <rFont val="Cambria"/>
        <family val="1"/>
      </rPr>
      <t xml:space="preserve">Uploaded file: </t>
    </r>
    <r>
      <rPr>
        <sz val="10"/>
        <color rgb="FF1F1F1F"/>
        <rFont val="Noto Sans CJK SC"/>
        <family val="1"/>
      </rPr>
      <t>基础数据</t>
    </r>
    <r>
      <rPr>
        <sz val="10"/>
        <color rgb="FF1F1F1F"/>
        <rFont val="Cambria"/>
        <family val="1"/>
      </rPr>
      <t>v2.xlsx</t>
    </r>
  </si>
  <si>
    <r>
      <rPr>
        <sz val="10"/>
        <color rgb="FF1F1F1F"/>
        <rFont val="Cambria"/>
        <family val="1"/>
      </rPr>
      <t>AI</t>
    </r>
    <r>
      <rPr>
        <sz val="10"/>
        <color rgb="FF1F1F1F"/>
        <rFont val="Noto Sans CJK SC"/>
        <family val="1"/>
      </rPr>
      <t>爆发期。英伟达、博通等高毛利芯片股权重影响力激增。</t>
    </r>
  </si>
  <si>
    <t>Transform</t>
  </si>
  <si>
    <t>Zero removed; numeric-like text parsed for analytics</t>
  </si>
  <si>
    <r>
      <rPr>
        <sz val="10"/>
        <color rgb="FF1F1F1F"/>
        <rFont val="Noto Sans CJK SC"/>
        <family val="1"/>
      </rPr>
      <t>软件</t>
    </r>
    <r>
      <rPr>
        <sz val="10"/>
        <color rgb="FF1F1F1F"/>
        <rFont val="Cambria"/>
        <family val="1"/>
      </rPr>
      <t>AI</t>
    </r>
    <r>
      <rPr>
        <sz val="10"/>
        <color rgb="FF1F1F1F"/>
        <rFont val="Noto Sans CJK SC"/>
        <family val="1"/>
      </rPr>
      <t>化转型提升边际利润，指数整体毛利率处于历史高点。</t>
    </r>
  </si>
  <si>
    <r>
      <rPr>
        <sz val="10"/>
        <color rgb="FF1F1F1F"/>
        <rFont val="Cambria"/>
        <family val="1"/>
      </rPr>
      <t>2022-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</si>
  <si>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2022-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</si>
  <si>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2022-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</si>
  <si>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2022-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</si>
  <si>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</si>
  <si>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</si>
  <si>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</si>
  <si>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</si>
  <si>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</si>
  <si>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</si>
  <si>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</si>
  <si>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</si>
  <si>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</si>
  <si>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</si>
  <si>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</si>
  <si>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</si>
  <si>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b/>
        <sz val="16"/>
        <color rgb="FFFFFFFF"/>
        <rFont val="Noto Sans CJK SC"/>
        <family val="1"/>
      </rPr>
      <t>花旗标普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 xml:space="preserve">盈利上修动能指标 </t>
    </r>
  </si>
  <si>
    <r>
      <rPr>
        <b/>
        <sz val="10"/>
        <color rgb="FF1F1F1F"/>
        <rFont val="Noto Sans CJK SC"/>
        <family val="1"/>
      </rPr>
      <t xml:space="preserve">季度 </t>
    </r>
    <r>
      <rPr>
        <b/>
        <sz val="10"/>
        <color rgb="FF1F1F1F"/>
        <rFont val="Cambria"/>
        <family val="1"/>
      </rPr>
      <t>(Quarter)</t>
    </r>
  </si>
  <si>
    <r>
      <rPr>
        <b/>
        <sz val="10"/>
        <color rgb="FF1F1F1F"/>
        <rFont val="Noto Sans CJK SC"/>
        <family val="1"/>
      </rPr>
      <t>花旗标普</t>
    </r>
    <r>
      <rPr>
        <b/>
        <sz val="10"/>
        <color rgb="FF1F1F1F"/>
        <rFont val="Cambria"/>
        <family val="1"/>
      </rPr>
      <t>500</t>
    </r>
    <r>
      <rPr>
        <b/>
        <sz val="10"/>
        <color rgb="FF1F1F1F"/>
        <rFont val="Noto Sans CJK SC"/>
        <family val="1"/>
      </rPr>
      <t xml:space="preserve">盈利上修动能指标 </t>
    </r>
    <r>
      <rPr>
        <b/>
        <sz val="10"/>
        <color rgb="FF1F1F1F"/>
        <rFont val="Cambria"/>
        <family val="1"/>
      </rPr>
      <t>(Citi ERI)</t>
    </r>
  </si>
  <si>
    <r>
      <rPr>
        <b/>
        <sz val="10"/>
        <color rgb="FF1F1F1F"/>
        <rFont val="Noto Sans CJK SC"/>
        <family val="1"/>
      </rPr>
      <t>市场阶段</t>
    </r>
    <r>
      <rPr>
        <b/>
        <sz val="10"/>
        <color rgb="FF1F1F1F"/>
        <rFont val="Cambria"/>
        <family val="1"/>
      </rPr>
      <t>/</t>
    </r>
    <r>
      <rPr>
        <b/>
        <sz val="10"/>
        <color rgb="FF1F1F1F"/>
        <rFont val="Noto Sans CJK SC"/>
        <family val="1"/>
      </rPr>
      <t>主要事件</t>
    </r>
  </si>
  <si>
    <t>2021 Q1-Q2</t>
  </si>
  <si>
    <t>+0.42 ~ +0.55</t>
  </si>
  <si>
    <t>疫情后强劲复苏，由于低基数和财政刺激，盈测大幅上修。</t>
  </si>
  <si>
    <t>1</t>
  </si>
  <si>
    <t>2022 Q2-Q4</t>
  </si>
  <si>
    <t>-0.18 ~ -0.45</t>
  </si>
  <si>
    <t>通胀高企与激进加息，能源以外行业盈测被显著下调，衰退担忧加剧。</t>
  </si>
  <si>
    <t>2</t>
  </si>
  <si>
    <t>2023 Q2</t>
  </si>
  <si>
    <r>
      <rPr>
        <sz val="10"/>
        <color rgb="FF1F1F1F"/>
        <rFont val="Cambria"/>
        <family val="1"/>
      </rPr>
      <t>AI</t>
    </r>
    <r>
      <rPr>
        <sz val="10"/>
        <color rgb="FF1F1F1F"/>
        <rFont val="Noto Sans CJK SC"/>
        <family val="1"/>
      </rPr>
      <t>浪潮开启，以英伟达为首的科技股带动盈测动能止跌回升。</t>
    </r>
  </si>
  <si>
    <t>2024 Q3</t>
  </si>
  <si>
    <r>
      <rPr>
        <sz val="10"/>
        <color rgb="FF1F1F1F"/>
        <rFont val="Noto Sans CJK SC"/>
        <family val="1"/>
      </rPr>
      <t>动能峰值，</t>
    </r>
    <r>
      <rPr>
        <sz val="10"/>
        <color rgb="FF1F1F1F"/>
        <rFont val="Cambria"/>
        <family val="1"/>
      </rPr>
      <t>AI</t>
    </r>
    <r>
      <rPr>
        <sz val="10"/>
        <color rgb="FF1F1F1F"/>
        <rFont val="Noto Sans CJK SC"/>
        <family val="1"/>
      </rPr>
      <t>基础设施支出爆发，头部科技股（</t>
    </r>
    <r>
      <rPr>
        <sz val="10"/>
        <color rgb="FF1F1F1F"/>
        <rFont val="Cambria"/>
        <family val="1"/>
      </rPr>
      <t>Mag 7</t>
    </r>
    <r>
      <rPr>
        <sz val="10"/>
        <color rgb="FF1F1F1F"/>
        <rFont val="Noto Sans CJK SC"/>
        <family val="1"/>
      </rPr>
      <t>）盈测密集上修。</t>
    </r>
  </si>
  <si>
    <t>2025 Q2</t>
  </si>
  <si>
    <r>
      <rPr>
        <sz val="10"/>
        <color rgb="FF1F1F1F"/>
        <rFont val="Noto Sans CJK SC"/>
        <family val="1"/>
      </rPr>
      <t>政策冲击，受</t>
    </r>
    <r>
      <rPr>
        <sz val="10"/>
        <color rgb="FF1F1F1F"/>
        <rFont val="Cambria"/>
        <family val="1"/>
      </rPr>
      <t>4</t>
    </r>
    <r>
      <rPr>
        <sz val="10"/>
        <color rgb="FF1F1F1F"/>
        <rFont val="Noto Sans CJK SC"/>
        <family val="1"/>
      </rPr>
      <t>月初关税预期影响，盈测出现阶段性剧烈下修，后随政策缓解回升。</t>
    </r>
  </si>
  <si>
    <t>5</t>
  </si>
  <si>
    <t>2026 Q1</t>
  </si>
  <si>
    <r>
      <rPr>
        <sz val="10"/>
        <color rgb="FF1F1F1F"/>
        <rFont val="Noto Sans CJK SC"/>
        <family val="1"/>
      </rPr>
      <t>平稳期，当前盈测动能处于中性偏正向，市场关注重点转向</t>
    </r>
    <r>
      <rPr>
        <sz val="10"/>
        <color rgb="FF1F1F1F"/>
        <rFont val="Cambria"/>
        <family val="1"/>
      </rPr>
      <t>2026</t>
    </r>
    <r>
      <rPr>
        <sz val="10"/>
        <color rgb="FF1F1F1F"/>
        <rFont val="Noto Sans CJK SC"/>
        <family val="1"/>
      </rPr>
      <t>年业绩增长。</t>
    </r>
  </si>
  <si>
    <t>6</t>
  </si>
  <si>
    <r>
      <rPr>
        <b/>
        <sz val="16"/>
        <color rgb="FFFFFFFF"/>
        <rFont val="Cambria"/>
        <family val="1"/>
      </rPr>
      <t>TGA</t>
    </r>
    <r>
      <rPr>
        <b/>
        <sz val="16"/>
        <color rgb="FFFFFFFF"/>
        <rFont val="Noto Sans CJK SC"/>
        <family val="1"/>
      </rPr>
      <t>账户</t>
    </r>
  </si>
  <si>
    <t>$325*</t>
  </si>
  <si>
    <r>
      <rPr>
        <sz val="10"/>
        <color rgb="FF1F1F1F"/>
        <rFont val="Cambria"/>
        <family val="1"/>
      </rPr>
      <t>$871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</si>
  <si>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t>-</t>
  </si>
  <si>
    <r>
      <rPr>
        <sz val="10"/>
        <color rgb="FF1F1F1F"/>
        <rFont val="Cambria"/>
        <family val="1"/>
      </rPr>
      <t>2026-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</si>
  <si>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>盈余惊喜</t>
    </r>
  </si>
  <si>
    <r>
      <rPr>
        <b/>
        <sz val="10"/>
        <color rgb="FF1F1F1F"/>
        <rFont val="Noto Sans CJK SC"/>
        <family val="1"/>
      </rPr>
      <t xml:space="preserve">盈余惊喜幅度 </t>
    </r>
    <r>
      <rPr>
        <b/>
        <sz val="10"/>
        <color rgb="FF1F1F1F"/>
        <rFont val="Cambria"/>
        <family val="1"/>
      </rPr>
      <t>(Surprise %)</t>
    </r>
  </si>
  <si>
    <r>
      <rPr>
        <b/>
        <sz val="10"/>
        <color rgb="FF1F1F1F"/>
        <rFont val="Noto Sans CJK SC"/>
        <family val="1"/>
      </rPr>
      <t xml:space="preserve">超预期公司占比 </t>
    </r>
    <r>
      <rPr>
        <b/>
        <sz val="10"/>
        <color rgb="FF1F1F1F"/>
        <rFont val="Cambria"/>
        <family val="1"/>
      </rPr>
      <t>(Beat Rate %)</t>
    </r>
  </si>
  <si>
    <t>2025 Q4</t>
  </si>
  <si>
    <t>2025 Q3</t>
  </si>
  <si>
    <t>2025 Q1</t>
  </si>
  <si>
    <t>2024 Q4</t>
  </si>
  <si>
    <t>2024 Q2</t>
  </si>
  <si>
    <t>7</t>
  </si>
  <si>
    <t>2024 Q1</t>
  </si>
  <si>
    <t>8</t>
  </si>
  <si>
    <t>2023 Q4</t>
  </si>
  <si>
    <t>9</t>
  </si>
  <si>
    <t>2023 Q3</t>
  </si>
  <si>
    <t>10</t>
  </si>
  <si>
    <t>11</t>
  </si>
  <si>
    <t>2023 Q1</t>
  </si>
  <si>
    <t>12</t>
  </si>
  <si>
    <t>2022 Q4</t>
  </si>
  <si>
    <t>13</t>
  </si>
  <si>
    <t>2022 Q3</t>
  </si>
  <si>
    <t>14</t>
  </si>
  <si>
    <t>2022 Q2</t>
  </si>
  <si>
    <t>15</t>
  </si>
  <si>
    <t>2022 Q1</t>
  </si>
  <si>
    <t>16</t>
  </si>
  <si>
    <t>2021 Q4</t>
  </si>
  <si>
    <t>17</t>
  </si>
  <si>
    <t>2021 Q3</t>
  </si>
  <si>
    <t>18</t>
  </si>
  <si>
    <t>2021 Q2</t>
  </si>
  <si>
    <t>19</t>
  </si>
  <si>
    <t>2021 Q1</t>
  </si>
  <si>
    <t>20</t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</si>
  <si>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>的</t>
    </r>
    <r>
      <rPr>
        <b/>
        <sz val="16"/>
        <color rgb="FFFFFFFF"/>
        <rFont val="Cambria"/>
        <family val="1"/>
      </rPr>
      <t>roic-wacc</t>
    </r>
  </si>
  <si>
    <r>
      <rPr>
        <b/>
        <sz val="10"/>
        <color rgb="FF1F1F1F"/>
        <rFont val="Noto Sans CJK SC"/>
        <family val="1"/>
      </rPr>
      <t xml:space="preserve">平均 </t>
    </r>
    <r>
      <rPr>
        <b/>
        <sz val="10"/>
        <color rgb="FF1F1F1F"/>
        <rFont val="Cambria"/>
        <family val="1"/>
      </rPr>
      <t>ROIC (%)</t>
    </r>
  </si>
  <si>
    <r>
      <rPr>
        <b/>
        <sz val="10"/>
        <color rgb="FF1F1F1F"/>
        <rFont val="Noto Sans CJK SC"/>
        <family val="1"/>
      </rPr>
      <t xml:space="preserve">平均 </t>
    </r>
    <r>
      <rPr>
        <b/>
        <sz val="10"/>
        <color rgb="FF1F1F1F"/>
        <rFont val="Cambria"/>
        <family val="1"/>
      </rPr>
      <t>WACC (%)</t>
    </r>
  </si>
  <si>
    <r>
      <rPr>
        <b/>
        <sz val="10"/>
        <color rgb="FF1F1F1F"/>
        <rFont val="Noto Sans CJK SC"/>
        <family val="1"/>
      </rPr>
      <t xml:space="preserve">营收同比增长率 </t>
    </r>
    <r>
      <rPr>
        <b/>
        <sz val="10"/>
        <color rgb="FF1F1F1F"/>
        <rFont val="Cambria"/>
        <family val="1"/>
      </rPr>
      <t>(YoY Revenue Growth)</t>
    </r>
  </si>
  <si>
    <r>
      <rPr>
        <b/>
        <sz val="10"/>
        <color rgb="FF1F1F1F"/>
        <rFont val="Noto Sans CJK SC"/>
        <family val="1"/>
      </rPr>
      <t xml:space="preserve">备注 </t>
    </r>
    <r>
      <rPr>
        <b/>
        <sz val="10"/>
        <color rgb="FF1F1F1F"/>
        <rFont val="Cambria"/>
        <family val="1"/>
      </rPr>
      <t xml:space="preserve">/ </t>
    </r>
    <r>
      <rPr>
        <b/>
        <sz val="10"/>
        <color rgb="FF1F1F1F"/>
        <rFont val="Noto Sans CJK SC"/>
        <family val="1"/>
      </rPr>
      <t>驱动因素</t>
    </r>
  </si>
  <si>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 xml:space="preserve">基础设施需求与 </t>
    </r>
    <r>
      <rPr>
        <sz val="10"/>
        <color rgb="FF1F1F1F"/>
        <rFont val="Cambria"/>
        <family val="1"/>
      </rPr>
      <t xml:space="preserve">SaaS </t>
    </r>
    <r>
      <rPr>
        <sz val="10"/>
        <color rgb="FF1F1F1F"/>
        <rFont val="Noto Sans CJK SC"/>
        <family val="1"/>
      </rPr>
      <t>订阅增长</t>
    </r>
  </si>
  <si>
    <t>云计算服务反弹及半导体板块走强</t>
  </si>
  <si>
    <r>
      <rPr>
        <sz val="10"/>
        <color rgb="FF1F1F1F"/>
        <rFont val="Noto Sans CJK SC"/>
        <family val="1"/>
      </rPr>
      <t xml:space="preserve">企业端 </t>
    </r>
    <r>
      <rPr>
        <sz val="10"/>
        <color rgb="FF1F1F1F"/>
        <rFont val="Cambria"/>
        <family val="1"/>
      </rPr>
      <t xml:space="preserve">IT </t>
    </r>
    <r>
      <rPr>
        <sz val="10"/>
        <color rgb="FF1F1F1F"/>
        <rFont val="Noto Sans CJK SC"/>
        <family val="1"/>
      </rPr>
      <t>支出回暖</t>
    </r>
  </si>
  <si>
    <t>宏观经济软着陆预期下的消费电子复苏</t>
  </si>
  <si>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 xml:space="preserve">硬件（如 </t>
    </r>
    <r>
      <rPr>
        <sz val="10"/>
        <color rgb="FF1F1F1F"/>
        <rFont val="Cambria"/>
        <family val="1"/>
      </rPr>
      <t>GPU</t>
    </r>
    <r>
      <rPr>
        <sz val="10"/>
        <color rgb="FF1F1F1F"/>
        <rFont val="Noto Sans CJK SC"/>
        <family val="1"/>
      </rPr>
      <t>）开始大幅贡献营收</t>
    </r>
  </si>
  <si>
    <t>软件行业受高利率压制，增长略有放缓</t>
  </si>
  <si>
    <r>
      <rPr>
        <sz val="10"/>
        <color rgb="FF1F1F1F"/>
        <rFont val="Noto Sans CJK SC"/>
        <family val="1"/>
      </rPr>
      <t>广告市场（</t>
    </r>
    <r>
      <rPr>
        <sz val="10"/>
        <color rgb="FF1F1F1F"/>
        <rFont val="Cambria"/>
        <family val="1"/>
      </rPr>
      <t>Meta/Alphabet</t>
    </r>
    <r>
      <rPr>
        <sz val="10"/>
        <color rgb="FF1F1F1F"/>
        <rFont val="Noto Sans CJK SC"/>
        <family val="1"/>
      </rPr>
      <t>）稳步回升</t>
    </r>
  </si>
  <si>
    <t>后疫情时代高基数压力减轻</t>
  </si>
  <si>
    <t>经济衰退担忧下的企业支出紧缩期</t>
  </si>
  <si>
    <r>
      <rPr>
        <sz val="10"/>
        <color rgb="FF1F1F1F"/>
        <rFont val="Noto Sans CJK SC"/>
        <family val="1"/>
      </rPr>
      <t>过去</t>
    </r>
    <r>
      <rPr>
        <sz val="10"/>
        <color rgb="FF1F1F1F"/>
        <rFont val="Cambria"/>
        <family val="1"/>
      </rPr>
      <t>5</t>
    </r>
    <r>
      <rPr>
        <sz val="10"/>
        <color rgb="FF1F1F1F"/>
        <rFont val="Noto Sans CJK SC"/>
        <family val="1"/>
      </rPr>
      <t>年低点，高利率环境影响深远</t>
    </r>
  </si>
  <si>
    <t>消费者支出从商品向服务转移</t>
  </si>
  <si>
    <t>硅谷银行危机后的短期市场波动</t>
  </si>
  <si>
    <t>通胀见顶，美联储激进加息初期</t>
  </si>
  <si>
    <t>供应链问题缓解，硬件交付加快</t>
  </si>
  <si>
    <t>能源价格上涨与美元走强干扰增长</t>
  </si>
  <si>
    <t>疫情红利逐渐消退的过渡期</t>
  </si>
  <si>
    <t>线上消费与数字化转型的巅峰期</t>
  </si>
  <si>
    <t>全球经济全面重启</t>
  </si>
  <si>
    <r>
      <rPr>
        <sz val="10"/>
        <color rgb="FF1F1F1F"/>
        <rFont val="Noto Sans CJK SC"/>
        <family val="1"/>
      </rPr>
      <t>过去</t>
    </r>
    <r>
      <rPr>
        <sz val="10"/>
        <color rgb="FF1F1F1F"/>
        <rFont val="Cambria"/>
        <family val="1"/>
      </rPr>
      <t>5</t>
    </r>
    <r>
      <rPr>
        <sz val="10"/>
        <color rgb="FF1F1F1F"/>
        <rFont val="Noto Sans CJK SC"/>
        <family val="1"/>
      </rPr>
      <t xml:space="preserve">年高点，受 </t>
    </r>
    <r>
      <rPr>
        <sz val="10"/>
        <color rgb="FF1F1F1F"/>
        <rFont val="Cambria"/>
        <family val="1"/>
      </rPr>
      <t xml:space="preserve">2020 </t>
    </r>
    <r>
      <rPr>
        <sz val="10"/>
        <color rgb="FF1F1F1F"/>
        <rFont val="Noto Sans CJK SC"/>
        <family val="1"/>
      </rPr>
      <t>年极低基数驱动</t>
    </r>
  </si>
  <si>
    <t>远程办公硬件与软件需求激增</t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</si>
  <si>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>的</t>
    </r>
    <r>
      <rPr>
        <b/>
        <sz val="16"/>
        <color rgb="FFFFFFFF"/>
        <rFont val="Cambria"/>
        <family val="1"/>
      </rPr>
      <t>ERP</t>
    </r>
  </si>
  <si>
    <r>
      <rPr>
        <b/>
        <sz val="10"/>
        <color rgb="FF1F1F1F"/>
        <rFont val="Noto Sans CJK SC"/>
        <family val="1"/>
      </rPr>
      <t>标普</t>
    </r>
    <r>
      <rPr>
        <b/>
        <sz val="10"/>
        <color rgb="FF1F1F1F"/>
        <rFont val="Cambria"/>
        <family val="1"/>
      </rPr>
      <t>500 PE (Forward)</t>
    </r>
  </si>
  <si>
    <r>
      <rPr>
        <b/>
        <sz val="10"/>
        <color rgb="FF1F1F1F"/>
        <rFont val="Cambria"/>
        <family val="1"/>
      </rPr>
      <t xml:space="preserve">10Y </t>
    </r>
    <r>
      <rPr>
        <b/>
        <sz val="10"/>
        <color rgb="FF1F1F1F"/>
        <rFont val="Noto Sans CJK SC"/>
        <family val="1"/>
      </rPr>
      <t xml:space="preserve">国债收益率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</si>
  <si>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Cambria"/>
        <family val="1"/>
      </rPr>
      <t>10</t>
    </r>
    <r>
      <rPr>
        <b/>
        <sz val="10"/>
        <color rgb="FF1F1F1F"/>
        <rFont val="Noto Sans CJK SC"/>
        <family val="1"/>
      </rPr>
      <t xml:space="preserve">年历史分位数 </t>
    </r>
    <r>
      <rPr>
        <b/>
        <sz val="10"/>
        <color rgb="FF1F1F1F"/>
        <rFont val="Cambria"/>
        <family val="1"/>
      </rPr>
      <t>(%)</t>
    </r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</si>
  <si>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 xml:space="preserve">的花旗盈利修正指数 </t>
    </r>
    <r>
      <rPr>
        <b/>
        <sz val="16"/>
        <color rgb="FFFFFFFF"/>
        <rFont val="Cambria"/>
        <family val="1"/>
      </rPr>
      <t>(ERI)</t>
    </r>
  </si>
  <si>
    <r>
      <rPr>
        <b/>
        <sz val="10"/>
        <color rgb="FF1F1F1F"/>
        <rFont val="Noto Sans CJK SC"/>
        <family val="1"/>
      </rPr>
      <t xml:space="preserve">花旗盈利修正指数 </t>
    </r>
    <r>
      <rPr>
        <b/>
        <sz val="10"/>
        <color rgb="FF1F1F1F"/>
        <rFont val="Cambria"/>
        <family val="1"/>
      </rPr>
      <t>(Citi ERI)</t>
    </r>
  </si>
  <si>
    <r>
      <rPr>
        <b/>
        <sz val="10"/>
        <color rgb="FF1F1F1F"/>
        <rFont val="Noto Sans CJK SC"/>
        <family val="1"/>
      </rPr>
      <t xml:space="preserve">修正趋势 </t>
    </r>
    <r>
      <rPr>
        <b/>
        <sz val="10"/>
        <color rgb="FF1F1F1F"/>
        <rFont val="Cambria"/>
        <family val="1"/>
      </rPr>
      <t>(Market Sentiment)</t>
    </r>
  </si>
  <si>
    <r>
      <rPr>
        <sz val="10"/>
        <color rgb="FF1F1F1F"/>
        <rFont val="Noto Sans CJK SC"/>
        <family val="1"/>
      </rPr>
      <t xml:space="preserve">小幅上修 </t>
    </r>
    <r>
      <rPr>
        <sz val="10"/>
        <color rgb="FF1F1F1F"/>
        <rFont val="Cambria"/>
        <family val="1"/>
      </rPr>
      <t xml:space="preserve">(AI </t>
    </r>
    <r>
      <rPr>
        <sz val="10"/>
        <color rgb="FF1F1F1F"/>
        <rFont val="Noto Sans CJK SC"/>
        <family val="1"/>
      </rPr>
      <t>相关板块情绪企稳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</si>
  <si>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周期性板块担忧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</si>
  <si>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利润率扩张超预期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</si>
  <si>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开年预期普遍乐观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</si>
  <si>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持平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多空修正相抵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</si>
  <si>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受软件行业财报低迷拖累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</si>
  <si>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大型科技股盈利强劲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</si>
  <si>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典型季节性审慎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</si>
  <si>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明显下修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对衰退风险的最后担忧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</si>
  <si>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三季度财报表现韧性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</si>
  <si>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持平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银行业危机后的观察期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</si>
  <si>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明显下修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地区性银行危机冲击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</si>
  <si>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极度下修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能源价格及高通胀压力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</si>
  <si>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明显下修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加息周期全速开启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</si>
  <si>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下修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库存积压及成本上升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</si>
  <si>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疫情后复苏余温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</si>
  <si>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强劲上修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供应链压力缓解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</si>
  <si>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强劲上修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报复性消费驱动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</si>
  <si>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巅峰上修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历史上最强劲的盈利回升期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</si>
  <si>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强劲上修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政策刺激与低基数效应</t>
    </r>
    <r>
      <rPr>
        <sz val="10"/>
        <color rgb="FF1F1F1F"/>
        <rFont val="Cambria"/>
        <family val="1"/>
      </rPr>
      <t>)</t>
    </r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</si>
  <si>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 xml:space="preserve">的花旗经济意外指数 </t>
    </r>
    <r>
      <rPr>
        <b/>
        <sz val="16"/>
        <color rgb="FFFFFFFF"/>
        <rFont val="Cambria"/>
        <family val="1"/>
      </rPr>
      <t>(CESI US)</t>
    </r>
  </si>
  <si>
    <r>
      <rPr>
        <b/>
        <sz val="10"/>
        <color rgb="FF1F1F1F"/>
        <rFont val="Noto Sans CJK SC"/>
        <family val="1"/>
      </rPr>
      <t xml:space="preserve">花旗经济意外指数 </t>
    </r>
    <r>
      <rPr>
        <b/>
        <sz val="10"/>
        <color rgb="FF1F1F1F"/>
        <rFont val="Cambria"/>
        <family val="1"/>
      </rPr>
      <t>(CESI US)</t>
    </r>
  </si>
  <si>
    <r>
      <rPr>
        <b/>
        <sz val="10"/>
        <color rgb="FF1F1F1F"/>
        <rFont val="Noto Sans CJK SC"/>
        <family val="1"/>
      </rPr>
      <t xml:space="preserve">经济数据 </t>
    </r>
    <r>
      <rPr>
        <b/>
        <sz val="10"/>
        <color rgb="FF1F1F1F"/>
        <rFont val="Cambria"/>
        <family val="1"/>
      </rPr>
      <t xml:space="preserve">vs </t>
    </r>
    <r>
      <rPr>
        <b/>
        <sz val="10"/>
        <color rgb="FF1F1F1F"/>
        <rFont val="Noto Sans CJK SC"/>
        <family val="1"/>
      </rPr>
      <t>预期表现</t>
    </r>
  </si>
  <si>
    <r>
      <rPr>
        <sz val="10"/>
        <color rgb="FF1F1F1F"/>
        <rFont val="Noto Sans CJK SC"/>
        <family val="1"/>
      </rPr>
      <t xml:space="preserve">小幅好于预期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经济软着陆迹象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</si>
  <si>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基本持平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政策切换期的观望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</si>
  <si>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稳健好于预期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制造业回暖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</si>
  <si>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超预期增长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开年消费强劲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</si>
  <si>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稳步好于预期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就业市场韧性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</si>
  <si>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不及预期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高利率对消费的滞后打击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</si>
  <si>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明显不及预期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二季度宏观数据集体走弱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</si>
  <si>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通胀降温速度快于预期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</si>
  <si>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假日零售季表现平稳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</si>
  <si>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大幅超预期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美国经济表现出惊人韧性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</si>
  <si>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衰退预言再次落空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</si>
  <si>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一月非农数据引发的巨震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</si>
  <si>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小幅不及预期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加息压力显现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</si>
  <si>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企业支出保持稳健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</si>
  <si>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明显不及预期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通胀爆表及经济增长放缓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</si>
  <si>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奥密克戎疫情后复苏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</si>
  <si>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强劲的节前消费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</si>
  <si>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大幅不及预期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德尔塔病毒及供应链危机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</si>
  <si>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小幅好于预期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全面重启初期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</si>
  <si>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好于预期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新一轮财政刺激落地</t>
    </r>
    <r>
      <rPr>
        <sz val="10"/>
        <color rgb="FF1F1F1F"/>
        <rFont val="Cambria"/>
        <family val="1"/>
      </rPr>
      <t>)</t>
    </r>
  </si>
  <si>
    <r>
      <rPr>
        <b/>
        <sz val="10"/>
        <color rgb="FF1F1F1F"/>
        <rFont val="Noto Sans CJK SC"/>
        <family val="1"/>
      </rPr>
      <t xml:space="preserve">净流入估算 </t>
    </r>
    <r>
      <rPr>
        <b/>
        <sz val="10"/>
        <color rgb="FF1F1F1F"/>
        <rFont val="Cambria"/>
        <family val="1"/>
      </rPr>
      <t>(Est. Net Inflow)</t>
    </r>
  </si>
  <si>
    <r>
      <rPr>
        <b/>
        <sz val="10"/>
        <color rgb="FF1F1F1F"/>
        <rFont val="Noto Sans CJK SC"/>
        <family val="1"/>
      </rPr>
      <t xml:space="preserve">主要资金来源 </t>
    </r>
    <r>
      <rPr>
        <b/>
        <sz val="10"/>
        <color rgb="FF1F1F1F"/>
        <rFont val="Cambria"/>
        <family val="1"/>
      </rPr>
      <t xml:space="preserve">/ </t>
    </r>
    <r>
      <rPr>
        <b/>
        <sz val="10"/>
        <color rgb="FF1F1F1F"/>
        <rFont val="Noto Sans CJK SC"/>
        <family val="1"/>
      </rPr>
      <t>动向</t>
    </r>
  </si>
  <si>
    <t>数据参考源</t>
  </si>
  <si>
    <r>
      <rPr>
        <sz val="10"/>
        <color rgb="FF1F1F1F"/>
        <rFont val="Noto Sans CJK SC"/>
        <family val="1"/>
      </rPr>
      <t>中东基金（</t>
    </r>
    <r>
      <rPr>
        <sz val="10"/>
        <color rgb="FF1F1F1F"/>
        <rFont val="Cambria"/>
        <family val="1"/>
      </rPr>
      <t>PIF, ADIA</t>
    </r>
    <r>
      <rPr>
        <sz val="10"/>
        <color rgb="FF1F1F1F"/>
        <rFont val="Noto Sans CJK SC"/>
        <family val="1"/>
      </rPr>
      <t xml:space="preserve">）加大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与半导体配置</t>
    </r>
  </si>
  <si>
    <t>Global SWF</t>
  </si>
  <si>
    <r>
      <rPr>
        <sz val="10"/>
        <color rgb="FF1F1F1F"/>
        <rFont val="Noto Sans CJK SC"/>
        <family val="1"/>
      </rPr>
      <t xml:space="preserve">挪威 </t>
    </r>
    <r>
      <rPr>
        <sz val="10"/>
        <color rgb="FF1F1F1F"/>
        <rFont val="Cambria"/>
        <family val="1"/>
      </rPr>
      <t xml:space="preserve">NBIM </t>
    </r>
    <r>
      <rPr>
        <sz val="10"/>
        <color rgb="FF1F1F1F"/>
        <rFont val="Noto Sans CJK SC"/>
        <family val="1"/>
      </rPr>
      <t xml:space="preserve">增持科技股；新加坡 </t>
    </r>
    <r>
      <rPr>
        <sz val="10"/>
        <color rgb="FF1F1F1F"/>
        <rFont val="Cambria"/>
        <family val="1"/>
      </rPr>
      <t xml:space="preserve">GIC </t>
    </r>
    <r>
      <rPr>
        <sz val="10"/>
        <color rgb="FF1F1F1F"/>
        <rFont val="Noto Sans CJK SC"/>
        <family val="1"/>
      </rPr>
      <t>保持稳定</t>
    </r>
  </si>
  <si>
    <t>SWFI</t>
  </si>
  <si>
    <t>资本重组需求下的美股成长股增持</t>
  </si>
  <si>
    <t>IFSWF</t>
  </si>
  <si>
    <r>
      <rPr>
        <sz val="10"/>
        <color rgb="FF1F1F1F"/>
        <rFont val="Noto Sans CJK SC"/>
        <family val="1"/>
      </rPr>
      <t xml:space="preserve">开年全球主权基金重新平衡权重 </t>
    </r>
    <r>
      <rPr>
        <sz val="10"/>
        <color rgb="FF1F1F1F"/>
        <rFont val="Cambria"/>
        <family val="1"/>
      </rPr>
      <t>(Rebalancing)</t>
    </r>
  </si>
  <si>
    <t>大选后波动率下降，资金回流大盘股</t>
  </si>
  <si>
    <r>
      <rPr>
        <sz val="10"/>
        <color rgb="FF1F1F1F"/>
        <rFont val="Noto Sans CJK SC"/>
        <family val="1"/>
      </rPr>
      <t>大选后波动率下降，资金回流大盘股</t>
    </r>
    <r>
      <rPr>
        <sz val="10"/>
        <color rgb="FF1F1F1F"/>
        <rFont val="Cambria"/>
        <family val="1"/>
      </rPr>
      <t>-SWFI</t>
    </r>
  </si>
  <si>
    <t>避险情绪升温，流入速度放缓</t>
  </si>
  <si>
    <r>
      <rPr>
        <sz val="10"/>
        <color rgb="FF1F1F1F"/>
        <rFont val="Noto Sans CJK SC"/>
        <family val="1"/>
      </rPr>
      <t>避险情绪升温，流入速度放缓</t>
    </r>
    <r>
      <rPr>
        <sz val="10"/>
        <color rgb="FF1F1F1F"/>
        <rFont val="Cambria"/>
        <family val="1"/>
      </rPr>
      <t>-Global SWF</t>
    </r>
  </si>
  <si>
    <t>加大对数据中心相关房地产及基础设施证券化投资</t>
  </si>
  <si>
    <r>
      <rPr>
        <sz val="10"/>
        <color rgb="FF1F1F1F"/>
        <rFont val="Noto Sans CJK SC"/>
        <family val="1"/>
      </rPr>
      <t xml:space="preserve">追逐“美股卓越七巨头” </t>
    </r>
    <r>
      <rPr>
        <sz val="10"/>
        <color rgb="FF1F1F1F"/>
        <rFont val="Cambria"/>
        <family val="1"/>
      </rPr>
      <t xml:space="preserve">(Mag 7) </t>
    </r>
    <r>
      <rPr>
        <sz val="10"/>
        <color rgb="FF1F1F1F"/>
        <rFont val="Noto Sans CJK SC"/>
        <family val="1"/>
      </rPr>
      <t>浪潮</t>
    </r>
  </si>
  <si>
    <t>利率见顶预期明确，主权基金从债市回流股市</t>
  </si>
  <si>
    <r>
      <rPr>
        <sz val="10"/>
        <color rgb="FF1F1F1F"/>
        <rFont val="Noto Sans CJK SC"/>
        <family val="1"/>
      </rPr>
      <t>利率见顶预期明确，主权基金从债市回流股市</t>
    </r>
    <r>
      <rPr>
        <sz val="10"/>
        <color rgb="FF1F1F1F"/>
        <rFont val="Cambria"/>
        <family val="1"/>
      </rPr>
      <t>-Global SWF</t>
    </r>
  </si>
  <si>
    <t>低点：受高利率打击，对美股持谨慎态度</t>
  </si>
  <si>
    <r>
      <rPr>
        <sz val="10"/>
        <color rgb="FF1F1F1F"/>
        <rFont val="Noto Sans CJK SC"/>
        <family val="1"/>
      </rPr>
      <t>低点：受高利率打击，对美股持谨慎态度</t>
    </r>
    <r>
      <rPr>
        <sz val="10"/>
        <color rgb="FF1F1F1F"/>
        <rFont val="Cambria"/>
        <family val="1"/>
      </rPr>
      <t>-SWFI</t>
    </r>
  </si>
  <si>
    <r>
      <rPr>
        <sz val="10"/>
        <color rgb="FF1F1F1F"/>
        <rFont val="Noto Sans CJK SC"/>
        <family val="1"/>
      </rPr>
      <t xml:space="preserve">沙特 </t>
    </r>
    <r>
      <rPr>
        <sz val="10"/>
        <color rgb="FF1F1F1F"/>
        <rFont val="Cambria"/>
        <family val="1"/>
      </rPr>
      <t xml:space="preserve">PIF </t>
    </r>
    <r>
      <rPr>
        <sz val="10"/>
        <color rgb="FF1F1F1F"/>
        <rFont val="Noto Sans CJK SC"/>
        <family val="1"/>
      </rPr>
      <t>逆势加仓美股科技及游戏板块</t>
    </r>
  </si>
  <si>
    <r>
      <rPr>
        <sz val="10"/>
        <color rgb="FF1F1F1F"/>
        <rFont val="Noto Sans CJK SC"/>
        <family val="1"/>
      </rPr>
      <t xml:space="preserve">沙特 </t>
    </r>
    <r>
      <rPr>
        <sz val="10"/>
        <color rgb="FF1F1F1F"/>
        <rFont val="Cambria"/>
        <family val="1"/>
      </rPr>
      <t xml:space="preserve">PIF </t>
    </r>
    <r>
      <rPr>
        <sz val="10"/>
        <color rgb="FF1F1F1F"/>
        <rFont val="Noto Sans CJK SC"/>
        <family val="1"/>
      </rPr>
      <t>逆势加仓美股科技及游戏板块</t>
    </r>
    <r>
      <rPr>
        <sz val="10"/>
        <color rgb="FF1F1F1F"/>
        <rFont val="Cambria"/>
        <family val="1"/>
      </rPr>
      <t>-Global SWF</t>
    </r>
  </si>
  <si>
    <t>银行危机期间的战术性回避</t>
  </si>
  <si>
    <r>
      <rPr>
        <sz val="10"/>
        <color rgb="FF1F1F1F"/>
        <rFont val="Noto Sans CJK SC"/>
        <family val="1"/>
      </rPr>
      <t>银行危机期间的战术性回避</t>
    </r>
    <r>
      <rPr>
        <sz val="10"/>
        <color rgb="FF1F1F1F"/>
        <rFont val="Cambria"/>
        <family val="1"/>
      </rPr>
      <t>-IFSWF</t>
    </r>
  </si>
  <si>
    <r>
      <rPr>
        <sz val="10"/>
        <color rgb="FF1F1F1F"/>
        <rFont val="Noto Sans CJK SC"/>
        <family val="1"/>
      </rPr>
      <t xml:space="preserve">趁低估值进行“底部钓鱼” </t>
    </r>
    <r>
      <rPr>
        <sz val="10"/>
        <color rgb="FF1F1F1F"/>
        <rFont val="Cambria"/>
        <family val="1"/>
      </rPr>
      <t>(Bottom Fishing)</t>
    </r>
  </si>
  <si>
    <r>
      <rPr>
        <sz val="10"/>
        <color rgb="FF1F1F1F"/>
        <rFont val="Noto Sans CJK SC"/>
        <family val="1"/>
      </rPr>
      <t xml:space="preserve">极低点：美联储连续加息 </t>
    </r>
    <r>
      <rPr>
        <sz val="10"/>
        <color rgb="FF1F1F1F"/>
        <rFont val="Cambria"/>
        <family val="1"/>
      </rPr>
      <t>75BP</t>
    </r>
    <r>
      <rPr>
        <sz val="10"/>
        <color rgb="FF1F1F1F"/>
        <rFont val="Noto Sans CJK SC"/>
        <family val="1"/>
      </rPr>
      <t>，资金回笼现金</t>
    </r>
  </si>
  <si>
    <t>能源价格暴涨，海湾国家基金流动性极其充沛</t>
  </si>
  <si>
    <r>
      <rPr>
        <sz val="10"/>
        <color rgb="FF1F1F1F"/>
        <rFont val="Noto Sans CJK SC"/>
        <family val="1"/>
      </rPr>
      <t>能源价格暴涨，海湾国家基金流动性极其充沛</t>
    </r>
    <r>
      <rPr>
        <sz val="10"/>
        <color rgb="FF1F1F1F"/>
        <rFont val="Cambria"/>
        <family val="1"/>
      </rPr>
      <t>-IFSWF</t>
    </r>
  </si>
  <si>
    <t>俄乌冲突初期引发的全球资产配置重新审视</t>
  </si>
  <si>
    <r>
      <rPr>
        <sz val="10"/>
        <color rgb="FF1F1F1F"/>
        <rFont val="Noto Sans CJK SC"/>
        <family val="1"/>
      </rPr>
      <t>俄乌冲突初期引发的全球资产配置重新审视</t>
    </r>
    <r>
      <rPr>
        <sz val="10"/>
        <color rgb="FF1F1F1F"/>
        <rFont val="Cambria"/>
        <family val="1"/>
      </rPr>
      <t>-SWFI</t>
    </r>
  </si>
  <si>
    <t>高点：后疫情时代全球流动性泛滥顶峰</t>
  </si>
  <si>
    <r>
      <rPr>
        <sz val="10"/>
        <color rgb="FF1F1F1F"/>
        <rFont val="Noto Sans CJK SC"/>
        <family val="1"/>
      </rPr>
      <t>高点：后疫情时代全球流动性泛滥顶峰</t>
    </r>
    <r>
      <rPr>
        <sz val="10"/>
        <color rgb="FF1F1F1F"/>
        <rFont val="Cambria"/>
        <family val="1"/>
      </rPr>
      <t>-Global SWF</t>
    </r>
  </si>
  <si>
    <r>
      <rPr>
        <sz val="10"/>
        <color rgb="FF1F1F1F"/>
        <rFont val="Noto Sans CJK SC"/>
        <family val="1"/>
      </rPr>
      <t xml:space="preserve">阿布扎比与卡塔尔基金积极参与美股 </t>
    </r>
    <r>
      <rPr>
        <sz val="10"/>
        <color rgb="FF1F1F1F"/>
        <rFont val="Cambria"/>
        <family val="1"/>
      </rPr>
      <t>IPO</t>
    </r>
  </si>
  <si>
    <r>
      <rPr>
        <sz val="10"/>
        <color rgb="FF1F1F1F"/>
        <rFont val="Noto Sans CJK SC"/>
        <family val="1"/>
      </rPr>
      <t xml:space="preserve">阿布扎比与卡塔尔基金积极参与美股 </t>
    </r>
    <r>
      <rPr>
        <sz val="10"/>
        <color rgb="FF1F1F1F"/>
        <rFont val="Cambria"/>
        <family val="1"/>
      </rPr>
      <t>IPO-Global SWF</t>
    </r>
  </si>
  <si>
    <t>历史峰值：全球经济重启带来的强劲资金流</t>
  </si>
  <si>
    <r>
      <rPr>
        <sz val="10"/>
        <color rgb="FF1F1F1F"/>
        <rFont val="Noto Sans CJK SC"/>
        <family val="1"/>
      </rPr>
      <t>历史峰值：全球经济重启带来的强劲资金流</t>
    </r>
    <r>
      <rPr>
        <sz val="10"/>
        <color rgb="FF1F1F1F"/>
        <rFont val="Cambria"/>
        <family val="1"/>
      </rPr>
      <t>-SWFI</t>
    </r>
  </si>
  <si>
    <t>对拜登政府财政刺激计划的信心投票</t>
  </si>
  <si>
    <r>
      <rPr>
        <sz val="10"/>
        <color rgb="FF1F1F1F"/>
        <rFont val="Noto Sans CJK SC"/>
        <family val="1"/>
      </rPr>
      <t>对拜登政府财政刺激计划的信心投票</t>
    </r>
    <r>
      <rPr>
        <sz val="10"/>
        <color rgb="FF1F1F1F"/>
        <rFont val="Cambria"/>
        <family val="1"/>
      </rPr>
      <t>-IFSWF</t>
    </r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</si>
  <si>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 xml:space="preserve">的现金流 </t>
    </r>
    <r>
      <rPr>
        <b/>
        <sz val="16"/>
        <color rgb="FFFFFFFF"/>
        <rFont val="Cambria"/>
        <family val="1"/>
      </rPr>
      <t>PEG</t>
    </r>
  </si>
  <si>
    <r>
      <rPr>
        <b/>
        <sz val="10"/>
        <color rgb="FF1F1F1F"/>
        <rFont val="Noto Sans CJK SC"/>
        <family val="1"/>
      </rPr>
      <t xml:space="preserve">平均 </t>
    </r>
    <r>
      <rPr>
        <b/>
        <sz val="10"/>
        <color rgb="FF1F1F1F"/>
        <rFont val="Cambria"/>
        <family val="1"/>
      </rPr>
      <t>P/CF (</t>
    </r>
    <r>
      <rPr>
        <b/>
        <sz val="10"/>
        <color rgb="FF1F1F1F"/>
        <rFont val="Noto Sans CJK SC"/>
        <family val="1"/>
      </rPr>
      <t>倍</t>
    </r>
    <r>
      <rPr>
        <b/>
        <sz val="10"/>
        <color rgb="FF1F1F1F"/>
        <rFont val="Cambria"/>
        <family val="1"/>
      </rPr>
      <t>)</t>
    </r>
  </si>
  <si>
    <r>
      <rPr>
        <b/>
        <sz val="10"/>
        <color rgb="FF1F1F1F"/>
        <rFont val="Noto Sans CJK SC"/>
        <family val="1"/>
      </rPr>
      <t xml:space="preserve">预期现金流增长率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</si>
  <si>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现金流 </t>
    </r>
    <r>
      <rPr>
        <b/>
        <sz val="10"/>
        <color rgb="FF1F1F1F"/>
        <rFont val="Cambria"/>
        <family val="1"/>
      </rPr>
      <t>PEG</t>
    </r>
  </si>
  <si>
    <t>估值评判</t>
  </si>
  <si>
    <t>偏高</t>
  </si>
  <si>
    <t>中性偏高</t>
  </si>
  <si>
    <t>中性</t>
  </si>
  <si>
    <t>略高</t>
  </si>
  <si>
    <r>
      <rPr>
        <sz val="10"/>
        <color rgb="FF1F1F1F"/>
        <rFont val="Noto Sans CJK SC"/>
        <family val="1"/>
      </rPr>
      <t xml:space="preserve">偏高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增长预期低迷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</si>
  <si>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低估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性价比极高</t>
    </r>
    <r>
      <rPr>
        <sz val="10"/>
        <color rgb="FF1F1F1F"/>
        <rFont val="Cambria"/>
        <family val="1"/>
      </rPr>
      <t>)</t>
    </r>
  </si>
  <si>
    <t>较低</t>
  </si>
  <si>
    <r>
      <rPr>
        <sz val="10"/>
        <color rgb="FF1F1F1F"/>
        <rFont val="Noto Sans CJK SC"/>
        <family val="1"/>
      </rPr>
      <t xml:space="preserve">低估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增长极强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</si>
  <si>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极度低估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黄金期</t>
    </r>
    <r>
      <rPr>
        <sz val="10"/>
        <color rgb="FF1F1F1F"/>
        <rFont val="Cambria"/>
        <family val="1"/>
      </rPr>
      <t>)</t>
    </r>
  </si>
  <si>
    <t>极度低估</t>
  </si>
  <si>
    <r>
      <rPr>
        <b/>
        <sz val="16"/>
        <color rgb="FFFFFFFF"/>
        <rFont val="Noto Sans CJK SC"/>
        <family val="1"/>
      </rPr>
      <t>标普</t>
    </r>
    <r>
      <rPr>
        <b/>
        <sz val="16"/>
        <color rgb="FFFFFFFF"/>
        <rFont val="Cambria"/>
        <family val="1"/>
      </rPr>
      <t>500</t>
    </r>
    <r>
      <rPr>
        <b/>
        <sz val="16"/>
        <color rgb="FFFFFFFF"/>
        <rFont val="Noto Sans CJK SC"/>
        <family val="1"/>
      </rPr>
      <t>的真实股东收益率（</t>
    </r>
    <r>
      <rPr>
        <b/>
        <sz val="16"/>
        <color rgb="FFFFFFFF"/>
        <rFont val="Cambria"/>
        <family val="1"/>
      </rPr>
      <t>Total Shareholder</t>
    </r>
  </si>
  <si>
    <r>
      <rPr>
        <b/>
        <sz val="10"/>
        <color rgb="FF1F1F1F"/>
        <rFont val="Noto Sans CJK SC"/>
        <family val="1"/>
      </rPr>
      <t xml:space="preserve">股息收益率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</si>
  <si>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净回购收益率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</si>
  <si>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Cambria"/>
        <family val="1"/>
      </rPr>
      <t xml:space="preserve">10Y </t>
    </r>
    <r>
      <rPr>
        <b/>
        <sz val="10"/>
        <color rgb="FF1F1F1F"/>
        <rFont val="Noto Sans CJK SC"/>
        <family val="1"/>
      </rPr>
      <t xml:space="preserve">国债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</si>
  <si>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利差 </t>
    </r>
    <r>
      <rPr>
        <b/>
        <sz val="10"/>
        <color rgb="FF1F1F1F"/>
        <rFont val="Cambria"/>
        <family val="1"/>
      </rPr>
      <t>(TSY - 10Y)</t>
    </r>
  </si>
  <si>
    <r>
      <rPr>
        <b/>
        <sz val="16"/>
        <color rgb="FFFFFFFF"/>
        <rFont val="Cambria"/>
        <family val="1"/>
      </rPr>
      <t>AAII</t>
    </r>
    <r>
      <rPr>
        <b/>
        <sz val="16"/>
        <color rgb="FFFFFFFF"/>
        <rFont val="Noto Sans CJK SC"/>
        <family val="1"/>
      </rPr>
      <t>个人投资者净看多比例</t>
    </r>
  </si>
  <si>
    <r>
      <rPr>
        <b/>
        <sz val="10"/>
        <color rgb="FF1F1F1F"/>
        <rFont val="Noto Sans CJK SC"/>
        <family val="1"/>
      </rPr>
      <t xml:space="preserve">看多比例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</si>
  <si>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看空比例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</si>
  <si>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净看多比例 </t>
    </r>
    <r>
      <rPr>
        <b/>
        <sz val="10"/>
        <color rgb="FF1F1F1F"/>
        <rFont val="Cambria"/>
        <family val="1"/>
      </rPr>
      <t>(%)</t>
    </r>
  </si>
  <si>
    <t>市场情绪评价</t>
  </si>
  <si>
    <r>
      <rPr>
        <sz val="10"/>
        <color rgb="FF1F1F1F"/>
        <rFont val="Noto Sans CJK SC"/>
        <family val="1"/>
      </rPr>
      <t xml:space="preserve">极度乐观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贪婪</t>
    </r>
    <r>
      <rPr>
        <sz val="10"/>
        <color rgb="FF1F1F1F"/>
        <rFont val="Cambria"/>
        <family val="1"/>
      </rPr>
      <t>)</t>
    </r>
  </si>
  <si>
    <t>乐观</t>
  </si>
  <si>
    <t>极度乐观</t>
  </si>
  <si>
    <t>中性偏乐观</t>
  </si>
  <si>
    <t>忧虑</t>
  </si>
  <si>
    <t>显著悲观</t>
  </si>
  <si>
    <r>
      <rPr>
        <sz val="10"/>
        <color rgb="FF1F1F1F"/>
        <rFont val="Noto Sans CJK SC"/>
        <family val="1"/>
      </rPr>
      <t xml:space="preserve">极度悲观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恐慌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</si>
  <si>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极度悲观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底部区</t>
    </r>
    <r>
      <rPr>
        <sz val="10"/>
        <color rgb="FF1F1F1F"/>
        <rFont val="Cambria"/>
        <family val="1"/>
      </rPr>
      <t>)</t>
    </r>
  </si>
  <si>
    <t>悲观</t>
  </si>
  <si>
    <t>极度贪婪</t>
  </si>
  <si>
    <r>
      <rPr>
        <b/>
        <sz val="16"/>
        <color rgb="FFFFFFFF"/>
        <rFont val="Cambria"/>
        <family val="1"/>
      </rPr>
      <t xml:space="preserve">Market Vane </t>
    </r>
    <r>
      <rPr>
        <b/>
        <sz val="16"/>
        <color rgb="FFFFFFFF"/>
        <rFont val="Noto Sans CJK SC"/>
        <family val="1"/>
      </rPr>
      <t>股市看涨情绪</t>
    </r>
  </si>
  <si>
    <r>
      <rPr>
        <b/>
        <sz val="10"/>
        <color rgb="FF1F1F1F"/>
        <rFont val="Noto Sans CJK SC"/>
        <family val="1"/>
      </rPr>
      <t xml:space="preserve">看涨共识指数 </t>
    </r>
    <r>
      <rPr>
        <b/>
        <sz val="10"/>
        <color rgb="FF1F1F1F"/>
        <rFont val="Cambria"/>
        <family val="1"/>
      </rPr>
      <t>(%)</t>
    </r>
  </si>
  <si>
    <r>
      <rPr>
        <b/>
        <sz val="10"/>
        <color rgb="FF1F1F1F"/>
        <rFont val="Noto Sans CJK SC"/>
        <family val="1"/>
      </rPr>
      <t xml:space="preserve">情绪水位 </t>
    </r>
    <r>
      <rPr>
        <b/>
        <sz val="10"/>
        <color rgb="FF1F1F1F"/>
        <rFont val="Cambria"/>
        <family val="1"/>
      </rPr>
      <t>(Sentiment Level)</t>
    </r>
  </si>
  <si>
    <t>市场背景提示</t>
  </si>
  <si>
    <r>
      <rPr>
        <sz val="10"/>
        <color rgb="FF1F1F1F"/>
        <rFont val="Noto Sans CJK SC"/>
        <family val="1"/>
      </rPr>
      <t xml:space="preserve">偏高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贪婪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</si>
  <si>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市场定价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商业化全面落地</t>
    </r>
  </si>
  <si>
    <r>
      <rPr>
        <sz val="10"/>
        <color rgb="FF1F1F1F"/>
        <rFont val="Noto Sans CJK SC"/>
        <family val="1"/>
      </rPr>
      <t xml:space="preserve">偏高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贪婪</t>
    </r>
    <r>
      <rPr>
        <sz val="10"/>
        <color rgb="FF1F1F1F"/>
        <rFont val="Cambria"/>
        <family val="1"/>
      </rPr>
      <t>)-</t>
    </r>
    <r>
      <rPr>
        <sz val="10"/>
        <color rgb="FF1F1F1F"/>
        <rFont val="Noto Sans CJK SC"/>
        <family val="1"/>
      </rPr>
      <t xml:space="preserve">市场定价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商业化全面落地</t>
    </r>
  </si>
  <si>
    <t>降息预期后的震荡上行</t>
  </si>
  <si>
    <r>
      <rPr>
        <sz val="10"/>
        <color rgb="FF1F1F1F"/>
        <rFont val="Noto Sans CJK SC"/>
        <family val="1"/>
      </rPr>
      <t>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降息预期后的震荡上行</t>
    </r>
  </si>
  <si>
    <r>
      <rPr>
        <sz val="10"/>
        <color rgb="FF1F1F1F"/>
        <rFont val="Noto Sans CJK SC"/>
        <family val="1"/>
      </rPr>
      <t xml:space="preserve">极度乐观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警戒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</si>
  <si>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标普 </t>
    </r>
    <r>
      <rPr>
        <sz val="10"/>
        <color rgb="FF1F1F1F"/>
        <rFont val="Cambria"/>
        <family val="1"/>
      </rPr>
      <t xml:space="preserve">500 </t>
    </r>
    <r>
      <rPr>
        <sz val="10"/>
        <color rgb="FF1F1F1F"/>
        <rFont val="Noto Sans CJK SC"/>
        <family val="1"/>
      </rPr>
      <t>突破关键整数关口</t>
    </r>
  </si>
  <si>
    <t>机构资金持续流入大盘股</t>
  </si>
  <si>
    <t>软着陆预期成为市场共识</t>
  </si>
  <si>
    <r>
      <rPr>
        <sz val="10"/>
        <color rgb="FF1F1F1F"/>
        <rFont val="Noto Sans CJK SC"/>
        <family val="1"/>
      </rPr>
      <t>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软着陆预期成为市场共识</t>
    </r>
  </si>
  <si>
    <t>季末出现获利回吐压力</t>
  </si>
  <si>
    <r>
      <rPr>
        <sz val="10"/>
        <color rgb="FF1F1F1F"/>
        <rFont val="Noto Sans CJK SC"/>
        <family val="1"/>
      </rPr>
      <t>中性偏乐观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季末出现获利回吐压力</t>
    </r>
  </si>
  <si>
    <t>财报季表现稳健支撑情绪</t>
  </si>
  <si>
    <r>
      <rPr>
        <sz val="10"/>
        <color rgb="FF1F1F1F"/>
        <rFont val="Noto Sans CJK SC"/>
        <family val="1"/>
      </rPr>
      <t>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财报季表现稳健支撑情绪</t>
    </r>
  </si>
  <si>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硬件股（</t>
    </r>
    <r>
      <rPr>
        <sz val="10"/>
        <color rgb="FF1F1F1F"/>
        <rFont val="Cambria"/>
        <family val="1"/>
      </rPr>
      <t>NVDA</t>
    </r>
    <r>
      <rPr>
        <sz val="10"/>
        <color rgb="FF1F1F1F"/>
        <rFont val="Noto Sans CJK SC"/>
        <family val="1"/>
      </rPr>
      <t>等）暴涨引发</t>
    </r>
  </si>
  <si>
    <r>
      <rPr>
        <sz val="10"/>
        <color rgb="FF1F1F1F"/>
        <rFont val="Noto Sans CJK SC"/>
        <family val="1"/>
      </rPr>
      <t>偏高</t>
    </r>
    <r>
      <rPr>
        <sz val="10"/>
        <color rgb="FF1F1F1F"/>
        <rFont val="Cambria"/>
        <family val="1"/>
      </rPr>
      <t xml:space="preserve">-AI </t>
    </r>
    <r>
      <rPr>
        <sz val="10"/>
        <color rgb="FF1F1F1F"/>
        <rFont val="Noto Sans CJK SC"/>
        <family val="1"/>
      </rPr>
      <t>硬件股（</t>
    </r>
    <r>
      <rPr>
        <sz val="10"/>
        <color rgb="FF1F1F1F"/>
        <rFont val="Cambria"/>
        <family val="1"/>
      </rPr>
      <t>NVDA</t>
    </r>
    <r>
      <rPr>
        <sz val="10"/>
        <color rgb="FF1F1F1F"/>
        <rFont val="Noto Sans CJK SC"/>
        <family val="1"/>
      </rPr>
      <t>等）暴涨引发</t>
    </r>
  </si>
  <si>
    <t>利率转向讨论开始升温</t>
  </si>
  <si>
    <r>
      <rPr>
        <sz val="10"/>
        <color rgb="FF1F1F1F"/>
        <rFont val="Noto Sans CJK SC"/>
        <family val="1"/>
      </rPr>
      <t>中性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利率转向讨论开始升温</t>
    </r>
  </si>
  <si>
    <t>中性偏悲观</t>
  </si>
  <si>
    <r>
      <rPr>
        <sz val="10"/>
        <color rgb="FF1F1F1F"/>
        <rFont val="Noto Sans CJK SC"/>
        <family val="1"/>
      </rPr>
      <t>重要低点：对“</t>
    </r>
    <r>
      <rPr>
        <sz val="10"/>
        <color rgb="FF1F1F1F"/>
        <rFont val="Cambria"/>
        <family val="1"/>
      </rPr>
      <t>Higher for Longer”</t>
    </r>
    <r>
      <rPr>
        <sz val="10"/>
        <color rgb="FF1F1F1F"/>
        <rFont val="Noto Sans CJK SC"/>
        <family val="1"/>
      </rPr>
      <t>的恐惧</t>
    </r>
  </si>
  <si>
    <t>银行业压力后的情绪修复</t>
  </si>
  <si>
    <r>
      <rPr>
        <sz val="10"/>
        <color rgb="FF1F1F1F"/>
        <rFont val="Noto Sans CJK SC"/>
        <family val="1"/>
      </rPr>
      <t>中性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银行业压力后的情绪修复</t>
    </r>
  </si>
  <si>
    <t>硅谷银行事件引发系统性担忧</t>
  </si>
  <si>
    <r>
      <rPr>
        <sz val="10"/>
        <color rgb="FF1F1F1F"/>
        <rFont val="Noto Sans CJK SC"/>
        <family val="1"/>
      </rPr>
      <t>悲观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硅谷银行事件引发系统性担忧</t>
    </r>
  </si>
  <si>
    <t>极度悲观</t>
  </si>
  <si>
    <t>通胀数据居高不下后的绝望期</t>
  </si>
  <si>
    <r>
      <rPr>
        <sz val="10"/>
        <color rgb="FF1F1F1F"/>
        <rFont val="Noto Sans CJK SC"/>
        <family val="1"/>
      </rPr>
      <t>极度悲观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通胀数据居高不下后的绝望期</t>
    </r>
  </si>
  <si>
    <r>
      <rPr>
        <sz val="10"/>
        <color rgb="FF1F1F1F"/>
        <rFont val="Cambria"/>
        <family val="1"/>
      </rPr>
      <t>5</t>
    </r>
    <r>
      <rPr>
        <sz val="10"/>
        <color rgb="FF1F1F1F"/>
        <rFont val="Noto Sans CJK SC"/>
        <family val="1"/>
      </rPr>
      <t>年最低点：加息缩表双重重压</t>
    </r>
  </si>
  <si>
    <r>
      <rPr>
        <sz val="10"/>
        <color rgb="FF1F1F1F"/>
        <rFont val="Noto Sans CJK SC"/>
        <family val="1"/>
      </rPr>
      <t xml:space="preserve">极度悲观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底部区</t>
    </r>
    <r>
      <rPr>
        <sz val="10"/>
        <color rgb="FF1F1F1F"/>
        <rFont val="Cambria"/>
        <family val="1"/>
      </rPr>
      <t>)-5</t>
    </r>
    <r>
      <rPr>
        <sz val="10"/>
        <color rgb="FF1F1F1F"/>
        <rFont val="Noto Sans CJK SC"/>
        <family val="1"/>
      </rPr>
      <t>年最低点：加息缩表双重重压</t>
    </r>
  </si>
  <si>
    <t>市场进入技术性熊市确认期</t>
  </si>
  <si>
    <r>
      <rPr>
        <sz val="10"/>
        <color rgb="FF1F1F1F"/>
        <rFont val="Noto Sans CJK SC"/>
        <family val="1"/>
      </rPr>
      <t>极度悲观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市场进入技术性熊市确认期</t>
    </r>
  </si>
  <si>
    <t>俄乌冲突爆发后的初次冲击</t>
  </si>
  <si>
    <r>
      <rPr>
        <sz val="10"/>
        <color rgb="FF1F1F1F"/>
        <rFont val="Noto Sans CJK SC"/>
        <family val="1"/>
      </rPr>
      <t>中性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俄乌冲突爆发后的初次冲击</t>
    </r>
  </si>
  <si>
    <t>估值巅峰，流动性最后的狂欢</t>
  </si>
  <si>
    <r>
      <rPr>
        <sz val="10"/>
        <color rgb="FF1F1F1F"/>
        <rFont val="Noto Sans CJK SC"/>
        <family val="1"/>
      </rPr>
      <t>极度乐观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估值巅峰，流动性最后的狂欢</t>
    </r>
  </si>
  <si>
    <t>盈利增速见顶前的最后推升</t>
  </si>
  <si>
    <r>
      <rPr>
        <sz val="10"/>
        <color rgb="FF1F1F1F"/>
        <rFont val="Noto Sans CJK SC"/>
        <family val="1"/>
      </rPr>
      <t>极度乐观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盈利增速见顶前的最后推升</t>
    </r>
  </si>
  <si>
    <r>
      <rPr>
        <sz val="10"/>
        <color rgb="FF1F1F1F"/>
        <rFont val="Noto Sans CJK SC"/>
        <family val="1"/>
      </rPr>
      <t xml:space="preserve">极度贪婪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警戒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</si>
  <si>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5</t>
    </r>
    <r>
      <rPr>
        <sz val="10"/>
        <color rgb="FF1F1F1F"/>
        <rFont val="Noto Sans CJK SC"/>
        <family val="1"/>
      </rPr>
      <t>年最高点：财政刺激释放最高峰</t>
    </r>
  </si>
  <si>
    <r>
      <rPr>
        <sz val="10"/>
        <color rgb="FF1F1F1F"/>
        <rFont val="Noto Sans CJK SC"/>
        <family val="1"/>
      </rPr>
      <t xml:space="preserve">极度贪婪 </t>
    </r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警戒</t>
    </r>
    <r>
      <rPr>
        <sz val="10"/>
        <color rgb="FF1F1F1F"/>
        <rFont val="Cambria"/>
        <family val="1"/>
      </rPr>
      <t>)-5</t>
    </r>
    <r>
      <rPr>
        <sz val="10"/>
        <color rgb="FF1F1F1F"/>
        <rFont val="Noto Sans CJK SC"/>
        <family val="1"/>
      </rPr>
      <t>年最高点：财政刺激释放最高峰</t>
    </r>
  </si>
  <si>
    <t>经济全面重启的强劲预期</t>
  </si>
  <si>
    <r>
      <rPr>
        <sz val="10"/>
        <color rgb="FF1F1F1F"/>
        <rFont val="Noto Sans CJK SC"/>
        <family val="1"/>
      </rPr>
      <t>极度乐观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>经济全面重启的强劲预期</t>
    </r>
  </si>
  <si>
    <r>
      <rPr>
        <b/>
        <sz val="16"/>
        <color rgb="FFFFFFFF"/>
        <rFont val="Cambria"/>
        <family val="1"/>
      </rPr>
      <t>TGA</t>
    </r>
    <r>
      <rPr>
        <b/>
        <sz val="16"/>
        <color rgb="FFFFFFFF"/>
        <rFont val="Noto Sans CJK SC"/>
        <family val="1"/>
      </rPr>
      <t>账户余额</t>
    </r>
  </si>
  <si>
    <r>
      <rPr>
        <b/>
        <sz val="16"/>
        <color rgb="FFFFFFFF"/>
        <rFont val="Cambria"/>
        <family val="1"/>
      </rPr>
      <t xml:space="preserve">SOFR-OIS </t>
    </r>
    <r>
      <rPr>
        <b/>
        <sz val="16"/>
        <color rgb="FFFFFFFF"/>
        <rFont val="Noto Sans CJK SC"/>
        <family val="1"/>
      </rPr>
      <t>基差</t>
    </r>
  </si>
  <si>
    <t>时间段</t>
  </si>
  <si>
    <r>
      <rPr>
        <b/>
        <sz val="10"/>
        <color rgb="FF1F1F1F"/>
        <rFont val="Noto Sans CJK SC"/>
        <family val="1"/>
      </rPr>
      <t xml:space="preserve">主要分布区间 </t>
    </r>
    <r>
      <rPr>
        <b/>
        <sz val="10"/>
        <color rgb="FF1F1F1F"/>
        <rFont val="Cambria"/>
        <family val="1"/>
      </rPr>
      <t>(bps)</t>
    </r>
  </si>
  <si>
    <r>
      <rPr>
        <b/>
        <sz val="10"/>
        <color rgb="FF1F1F1F"/>
        <rFont val="Noto Sans CJK SC"/>
        <family val="1"/>
      </rPr>
      <t xml:space="preserve">代表性周值 </t>
    </r>
    <r>
      <rPr>
        <b/>
        <sz val="10"/>
        <color rgb="FF1F1F1F"/>
        <rFont val="Cambria"/>
        <family val="1"/>
      </rPr>
      <t>(bps)</t>
    </r>
  </si>
  <si>
    <t>关键事件与市场背景</t>
  </si>
  <si>
    <r>
      <rPr>
        <sz val="10"/>
        <color rgb="FF1F1F1F"/>
        <rFont val="Cambria"/>
        <family val="1"/>
      </rPr>
      <t>2021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(Q1-Q4)</t>
    </r>
  </si>
  <si>
    <r>
      <rPr>
        <sz val="10"/>
        <color rgb="FF1F1F1F"/>
        <rFont val="Cambria"/>
        <family val="1"/>
      </rPr>
      <t xml:space="preserve">-10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-2</t>
    </r>
  </si>
  <si>
    <r>
      <rPr>
        <sz val="10"/>
        <color rgb="FF1F1F1F"/>
        <rFont val="Noto Sans CJK SC"/>
        <family val="1"/>
      </rPr>
      <t xml:space="preserve">流动性泛滥：回购利率跌至 </t>
    </r>
    <r>
      <rPr>
        <sz val="10"/>
        <color rgb="FF1F1F1F"/>
        <rFont val="Cambria"/>
        <family val="1"/>
      </rPr>
      <t>0</t>
    </r>
    <r>
      <rPr>
        <sz val="10"/>
        <color rgb="FF1F1F1F"/>
        <rFont val="Noto Sans CJK SC"/>
        <family val="1"/>
      </rPr>
      <t>，</t>
    </r>
    <r>
      <rPr>
        <sz val="10"/>
        <color rgb="FF1F1F1F"/>
        <rFont val="Cambria"/>
        <family val="1"/>
      </rPr>
      <t xml:space="preserve">TGA </t>
    </r>
    <r>
      <rPr>
        <sz val="10"/>
        <color rgb="FF1F1F1F"/>
        <rFont val="Noto Sans CJK SC"/>
        <family val="1"/>
      </rPr>
      <t>资金大量投放，利差一度深度倒挂。</t>
    </r>
  </si>
  <si>
    <r>
      <rPr>
        <sz val="10"/>
        <color rgb="FF1F1F1F"/>
        <rFont val="Cambria"/>
        <family val="1"/>
      </rPr>
      <t>2022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(Q1-Q4)</t>
    </r>
  </si>
  <si>
    <r>
      <rPr>
        <sz val="10"/>
        <color rgb="FF1F1F1F"/>
        <rFont val="Cambria"/>
        <family val="1"/>
      </rPr>
      <t xml:space="preserve">-2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+3</t>
    </r>
  </si>
  <si>
    <r>
      <rPr>
        <sz val="10"/>
        <color rgb="FF1F1F1F"/>
        <rFont val="Noto Sans CJK SC"/>
        <family val="1"/>
      </rPr>
      <t>美联储加息周期开启：</t>
    </r>
    <r>
      <rPr>
        <sz val="10"/>
        <color rgb="FF1F1F1F"/>
        <rFont val="Cambria"/>
        <family val="1"/>
      </rPr>
      <t xml:space="preserve">QT </t>
    </r>
    <r>
      <rPr>
        <sz val="10"/>
        <color rgb="FF1F1F1F"/>
        <rFont val="Noto Sans CJK SC"/>
        <family val="1"/>
      </rPr>
      <t>开始，流动性溢价回归正值，波动逐渐增加。</t>
    </r>
  </si>
  <si>
    <r>
      <rPr>
        <sz val="10"/>
        <color rgb="FF1F1F1F"/>
        <rFont val="Cambria"/>
        <family val="1"/>
      </rPr>
      <t>2023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(Q1-Q2)</t>
    </r>
  </si>
  <si>
    <r>
      <rPr>
        <sz val="10"/>
        <color rgb="FF1F1F1F"/>
        <rFont val="Cambria"/>
        <family val="1"/>
      </rPr>
      <t xml:space="preserve">-5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+10</t>
    </r>
  </si>
  <si>
    <r>
      <rPr>
        <sz val="10"/>
        <color rgb="FF1F1F1F"/>
        <rFont val="Noto Sans CJK SC"/>
        <family val="1"/>
      </rPr>
      <t xml:space="preserve">银行业动荡 </t>
    </r>
    <r>
      <rPr>
        <sz val="10"/>
        <color rgb="FF1F1F1F"/>
        <rFont val="Cambria"/>
        <family val="1"/>
      </rPr>
      <t>(SVB)</t>
    </r>
    <r>
      <rPr>
        <sz val="10"/>
        <color rgb="FF1F1F1F"/>
        <rFont val="Noto Sans CJK SC"/>
        <family val="1"/>
      </rPr>
      <t>：市场对担保融资需求增加，利差显著走宽。</t>
    </r>
  </si>
  <si>
    <r>
      <rPr>
        <sz val="10"/>
        <color rgb="FF1F1F1F"/>
        <rFont val="Cambria"/>
        <family val="1"/>
      </rPr>
      <t>2023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(Q3-Q4)</t>
    </r>
  </si>
  <si>
    <r>
      <rPr>
        <sz val="10"/>
        <color rgb="FF1F1F1F"/>
        <rFont val="Cambria"/>
        <family val="1"/>
      </rPr>
      <t xml:space="preserve">+2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+12</t>
    </r>
  </si>
  <si>
    <r>
      <rPr>
        <sz val="10"/>
        <color rgb="FF1F1F1F"/>
        <rFont val="Noto Sans CJK SC"/>
        <family val="1"/>
      </rPr>
      <t xml:space="preserve">债务上限解决后大量发债：财政部回补 </t>
    </r>
    <r>
      <rPr>
        <sz val="10"/>
        <color rgb="FF1F1F1F"/>
        <rFont val="Cambria"/>
        <family val="1"/>
      </rPr>
      <t>TGA</t>
    </r>
    <r>
      <rPr>
        <sz val="10"/>
        <color rgb="FF1F1F1F"/>
        <rFont val="Noto Sans CJK SC"/>
        <family val="1"/>
      </rPr>
      <t>，私人部门融资成本上升。</t>
    </r>
  </si>
  <si>
    <r>
      <rPr>
        <sz val="10"/>
        <color rgb="FF1F1F1F"/>
        <rFont val="Cambria"/>
        <family val="1"/>
      </rPr>
      <t>2024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(Q1-Q2)</t>
    </r>
  </si>
  <si>
    <r>
      <rPr>
        <sz val="10"/>
        <color rgb="FF1F1F1F"/>
        <rFont val="Cambria"/>
        <family val="1"/>
      </rPr>
      <t xml:space="preserve">0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+8</t>
    </r>
  </si>
  <si>
    <r>
      <rPr>
        <sz val="10"/>
        <color rgb="FF1F1F1F"/>
        <rFont val="Noto Sans CJK SC"/>
        <family val="1"/>
      </rPr>
      <t>中性期：逆回购（</t>
    </r>
    <r>
      <rPr>
        <sz val="10"/>
        <color rgb="FF1F1F1F"/>
        <rFont val="Cambria"/>
        <family val="1"/>
      </rPr>
      <t>ON RRP</t>
    </r>
    <r>
      <rPr>
        <sz val="10"/>
        <color rgb="FF1F1F1F"/>
        <rFont val="Noto Sans CJK SC"/>
        <family val="1"/>
      </rPr>
      <t>）规模下降，流动性由极度充裕转为均衡。</t>
    </r>
  </si>
  <si>
    <r>
      <rPr>
        <sz val="10"/>
        <color rgb="FF1F1F1F"/>
        <rFont val="Cambria"/>
        <family val="1"/>
      </rPr>
      <t>2024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(Q3-Q4)</t>
    </r>
  </si>
  <si>
    <r>
      <rPr>
        <sz val="10"/>
        <color rgb="FF1F1F1F"/>
        <rFont val="Cambria"/>
        <family val="1"/>
      </rPr>
      <t xml:space="preserve">+3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+15</t>
    </r>
  </si>
  <si>
    <t>波动加剧：季末、年末效应明显，回购利率因短期国债供应量大而上行。</t>
  </si>
  <si>
    <r>
      <rPr>
        <sz val="10"/>
        <color rgb="FF1F1F1F"/>
        <rFont val="Cambria"/>
        <family val="1"/>
      </rPr>
      <t>2025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(Q1-Q2)</t>
    </r>
  </si>
  <si>
    <r>
      <rPr>
        <sz val="10"/>
        <color rgb="FF1F1F1F"/>
        <rFont val="Cambria"/>
        <family val="1"/>
      </rPr>
      <t xml:space="preserve">-1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+7</t>
    </r>
  </si>
  <si>
    <t>预期降息：美联储政策转向预期升温，融资市场相对平稳。</t>
  </si>
  <si>
    <r>
      <rPr>
        <sz val="10"/>
        <color rgb="FF1F1F1F"/>
        <rFont val="Cambria"/>
        <family val="1"/>
      </rPr>
      <t>2025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>(Q3-Q4)</t>
    </r>
  </si>
  <si>
    <r>
      <rPr>
        <sz val="10"/>
        <color rgb="FF1F1F1F"/>
        <rFont val="Cambria"/>
        <family val="1"/>
      </rPr>
      <t xml:space="preserve">+5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+18</t>
    </r>
  </si>
  <si>
    <t>流动性摩擦：准备金余额下降至关键阈值，回购市场资金紧张加剧。</t>
  </si>
  <si>
    <r>
      <rPr>
        <sz val="10"/>
        <color rgb="FF1F1F1F"/>
        <rFont val="Cambria"/>
        <family val="1"/>
      </rPr>
      <t>2026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 xml:space="preserve">1 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</si>
  <si>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 xml:space="preserve">+8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+20</t>
    </r>
  </si>
  <si>
    <t>紧缩尾声效应：流动性分布不均，利差在季末节点大幅跳升。</t>
  </si>
  <si>
    <r>
      <rPr>
        <sz val="10"/>
        <color rgb="FF1F1F1F"/>
        <rFont val="Cambria"/>
        <family val="1"/>
      </rPr>
      <t>2026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 xml:space="preserve">2 </t>
    </r>
    <r>
      <rPr>
        <sz val="10"/>
        <color rgb="FF1F1F1F"/>
        <rFont val="Noto Sans CJK SC"/>
        <family val="1"/>
      </rPr>
      <t>月至今</t>
    </r>
  </si>
  <si>
    <r>
      <rPr>
        <sz val="10"/>
        <color rgb="FF1F1F1F"/>
        <rFont val="Cambria"/>
        <family val="1"/>
      </rPr>
      <t xml:space="preserve">+10 </t>
    </r>
    <r>
      <rPr>
        <sz val="10"/>
        <color rgb="FF1F1F1F"/>
        <rFont val="Noto Sans CJK SC"/>
        <family val="1"/>
      </rPr>
      <t xml:space="preserve">至 </t>
    </r>
    <r>
      <rPr>
        <sz val="10"/>
        <color rgb="FF1F1F1F"/>
        <rFont val="Cambria"/>
        <family val="1"/>
      </rPr>
      <t>+22</t>
    </r>
  </si>
  <si>
    <t>当前水平：近期回购市场压力持续，基差维持在多年高位。</t>
  </si>
  <si>
    <t>市场环境背景</t>
  </si>
  <si>
    <t>低息差、低波动环境，套利空间极小。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</si>
  <si>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低息差、低波动环境，套利空间极小。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</si>
  <si>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Noto Sans CJK SC"/>
        <family val="1"/>
      </rPr>
      <t>美联储猛烈加息，利差走阔，</t>
    </r>
    <r>
      <rPr>
        <sz val="10"/>
        <color rgb="FF1F1F1F"/>
        <rFont val="Cambria"/>
        <family val="1"/>
      </rPr>
      <t xml:space="preserve">CTR </t>
    </r>
    <r>
      <rPr>
        <sz val="10"/>
        <color rgb="FF1F1F1F"/>
        <rFont val="Noto Sans CJK SC"/>
        <family val="1"/>
      </rPr>
      <t>快速爬升。</t>
    </r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</si>
  <si>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低息差、低波动环境，套利空间极小。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</si>
  <si>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Noto Sans CJK SC"/>
        <family val="1"/>
      </rPr>
      <t>套利黄金期：利差封顶但波动受限，</t>
    </r>
    <r>
      <rPr>
        <sz val="10"/>
        <color rgb="FF1F1F1F"/>
        <rFont val="Cambria"/>
        <family val="1"/>
      </rPr>
      <t xml:space="preserve">CTR </t>
    </r>
    <r>
      <rPr>
        <sz val="10"/>
        <color rgb="FF1F1F1F"/>
        <rFont val="Noto Sans CJK SC"/>
        <family val="1"/>
      </rPr>
      <t>触及高位。</t>
    </r>
  </si>
  <si>
    <r>
      <rPr>
        <sz val="10"/>
        <color rgb="FF1F1F1F"/>
        <rFont val="Noto Sans CJK SC"/>
        <family val="1"/>
      </rPr>
      <t xml:space="preserve">日元干预风险增加，隐含波动率上升导致 </t>
    </r>
    <r>
      <rPr>
        <sz val="10"/>
        <color rgb="FF1F1F1F"/>
        <rFont val="Cambria"/>
        <family val="1"/>
      </rPr>
      <t xml:space="preserve">CTR </t>
    </r>
    <r>
      <rPr>
        <sz val="10"/>
        <color rgb="FF1F1F1F"/>
        <rFont val="Noto Sans CJK SC"/>
        <family val="1"/>
      </rPr>
      <t>回落。</t>
    </r>
  </si>
  <si>
    <r>
      <rPr>
        <sz val="10"/>
        <color rgb="FF1F1F1F"/>
        <rFont val="Noto Sans CJK SC"/>
        <family val="1"/>
      </rPr>
      <t>日本央行加息预期</t>
    </r>
    <r>
      <rPr>
        <sz val="10"/>
        <color rgb="FF1F1F1F"/>
        <rFont val="Cambria"/>
        <family val="1"/>
      </rPr>
      <t>+</t>
    </r>
    <r>
      <rPr>
        <sz val="10"/>
        <color rgb="FF1F1F1F"/>
        <rFont val="Noto Sans CJK SC"/>
        <family val="1"/>
      </rPr>
      <t>美联储降息，利差收窄。</t>
    </r>
  </si>
  <si>
    <t>当前：利差进一步收缩，日元波动率高企。</t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</si>
  <si>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>日本央行加息预期</t>
    </r>
    <r>
      <rPr>
        <sz val="10"/>
        <color rgb="FF1F1F1F"/>
        <rFont val="Cambria"/>
        <family val="1"/>
      </rPr>
      <t>+</t>
    </r>
    <r>
      <rPr>
        <sz val="10"/>
        <color rgb="FF1F1F1F"/>
        <rFont val="Noto Sans CJK SC"/>
        <family val="1"/>
      </rPr>
      <t>美联储降息，利差收窄。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</si>
  <si>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>日本央行加息预期</t>
    </r>
    <r>
      <rPr>
        <sz val="10"/>
        <color rgb="FF1F1F1F"/>
        <rFont val="Cambria"/>
        <family val="1"/>
      </rPr>
      <t>+</t>
    </r>
    <r>
      <rPr>
        <sz val="10"/>
        <color rgb="FF1F1F1F"/>
        <rFont val="Noto Sans CJK SC"/>
        <family val="1"/>
      </rPr>
      <t>美联储降息，利差收窄。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</si>
  <si>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>日本央行加息预期</t>
    </r>
    <r>
      <rPr>
        <sz val="10"/>
        <color rgb="FF1F1F1F"/>
        <rFont val="Cambria"/>
        <family val="1"/>
      </rPr>
      <t>+</t>
    </r>
    <r>
      <rPr>
        <sz val="10"/>
        <color rgb="FF1F1F1F"/>
        <rFont val="Noto Sans CJK SC"/>
        <family val="1"/>
      </rPr>
      <t>美联储降息，利差收窄。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</si>
  <si>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2025-</t>
    </r>
    <r>
      <rPr>
        <sz val="10"/>
        <color rgb="FF1F1F1F"/>
        <rFont val="Noto Sans CJK SC"/>
        <family val="1"/>
      </rPr>
      <t>日本央行加息预期</t>
    </r>
    <r>
      <rPr>
        <sz val="10"/>
        <color rgb="FF1F1F1F"/>
        <rFont val="Cambria"/>
        <family val="1"/>
      </rPr>
      <t>+</t>
    </r>
    <r>
      <rPr>
        <sz val="10"/>
        <color rgb="FF1F1F1F"/>
        <rFont val="Noto Sans CJK SC"/>
        <family val="1"/>
      </rPr>
      <t>美联储降息，利差收窄。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</si>
  <si>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2026-</t>
    </r>
    <r>
      <rPr>
        <sz val="10"/>
        <color rgb="FF1F1F1F"/>
        <rFont val="Noto Sans CJK SC"/>
        <family val="1"/>
      </rPr>
      <t>当前：利差进一步收缩，日元波动率高企。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</si>
  <si>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t>宏观环境逻辑</t>
  </si>
  <si>
    <t>历史最松水平：极低利率与股市繁荣，对经济增长提供极大支撑。</t>
  </si>
  <si>
    <r>
      <rPr>
        <sz val="10"/>
        <color rgb="FF1F1F1F"/>
        <rFont val="Noto Sans CJK SC"/>
        <family val="1"/>
      </rPr>
      <t>剧烈收紧：美联储暴力加息，标普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进入熊市，</t>
    </r>
    <r>
      <rPr>
        <sz val="10"/>
        <color rgb="FF1F1F1F"/>
        <rFont val="Cambria"/>
        <family val="1"/>
      </rPr>
      <t xml:space="preserve">FCI </t>
    </r>
    <r>
      <rPr>
        <sz val="10"/>
        <color rgb="FF1F1F1F"/>
        <rFont val="Noto Sans CJK SC"/>
        <family val="1"/>
      </rPr>
      <t xml:space="preserve">迅速回升至 </t>
    </r>
    <r>
      <rPr>
        <sz val="10"/>
        <color rgb="FF1F1F1F"/>
        <rFont val="Cambria"/>
        <family val="1"/>
      </rPr>
      <t xml:space="preserve">100 </t>
    </r>
    <r>
      <rPr>
        <sz val="10"/>
        <color rgb="FF1F1F1F"/>
        <rFont val="Noto Sans CJK SC"/>
        <family val="1"/>
      </rPr>
      <t>以上。</t>
    </r>
  </si>
  <si>
    <r>
      <rPr>
        <sz val="10"/>
        <color rgb="FF1F1F1F"/>
        <rFont val="Noto Sans CJK SC"/>
        <family val="1"/>
      </rPr>
      <t>先紧后松：</t>
    </r>
    <r>
      <rPr>
        <sz val="10"/>
        <color rgb="FF1F1F1F"/>
        <rFont val="Cambria"/>
        <family val="1"/>
      </rPr>
      <t xml:space="preserve">Q4 </t>
    </r>
    <r>
      <rPr>
        <sz val="10"/>
        <color rgb="FF1F1F1F"/>
        <rFont val="Noto Sans CJK SC"/>
        <family val="1"/>
      </rPr>
      <t>随着通胀数据超预期下行，市场提前交易降息，</t>
    </r>
    <r>
      <rPr>
        <sz val="10"/>
        <color rgb="FF1F1F1F"/>
        <rFont val="Cambria"/>
        <family val="1"/>
      </rPr>
      <t xml:space="preserve">FCI </t>
    </r>
    <r>
      <rPr>
        <sz val="10"/>
        <color rgb="FF1F1F1F"/>
        <rFont val="Noto Sans CJK SC"/>
        <family val="1"/>
      </rPr>
      <t>大幅松动。</t>
    </r>
  </si>
  <si>
    <r>
      <rPr>
        <sz val="10"/>
        <color rgb="FF1F1F1F"/>
        <rFont val="Noto Sans CJK SC"/>
        <family val="1"/>
      </rPr>
      <t xml:space="preserve">稳步改善：虽然利率仍高，但信贷利差收窄和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驱动的股市反弹抵消了高利率。</t>
    </r>
  </si>
  <si>
    <t>加速转向：美联储降息周期兑现，税收预期及财政刺激预期进一步改善了金融环境。</t>
  </si>
  <si>
    <r>
      <rPr>
        <sz val="10"/>
        <color rgb="FF1F1F1F"/>
        <rFont val="Noto Sans CJK SC"/>
        <family val="1"/>
      </rPr>
      <t>当前：进入“容易（</t>
    </r>
    <r>
      <rPr>
        <sz val="10"/>
        <color rgb="FF1F1F1F"/>
        <rFont val="Cambria"/>
        <family val="1"/>
      </rPr>
      <t>Easier</t>
    </r>
    <r>
      <rPr>
        <sz val="10"/>
        <color rgb="FF1F1F1F"/>
        <rFont val="Noto Sans CJK SC"/>
        <family val="1"/>
      </rPr>
      <t xml:space="preserve">）”区间，高盛预计 </t>
    </r>
    <r>
      <rPr>
        <sz val="10"/>
        <color rgb="FF1F1F1F"/>
        <rFont val="Cambria"/>
        <family val="1"/>
      </rPr>
      <t xml:space="preserve">2026 </t>
    </r>
    <r>
      <rPr>
        <sz val="10"/>
        <color rgb="FF1F1F1F"/>
        <rFont val="Noto Sans CJK SC"/>
        <family val="1"/>
      </rPr>
      <t>年金融条件将持续对增长有利。</t>
    </r>
  </si>
  <si>
    <t>核心驱动因素</t>
  </si>
  <si>
    <r>
      <rPr>
        <sz val="10"/>
        <color rgb="FF1F1F1F"/>
        <rFont val="Noto Sans CJK SC"/>
        <family val="1"/>
      </rPr>
      <t xml:space="preserve">流动性顶峰：超低利率与强劲股市带动 </t>
    </r>
    <r>
      <rPr>
        <sz val="10"/>
        <color rgb="FF1F1F1F"/>
        <rFont val="Cambria"/>
        <family val="1"/>
      </rPr>
      <t xml:space="preserve">Z-Score </t>
    </r>
    <r>
      <rPr>
        <sz val="10"/>
        <color rgb="FF1F1F1F"/>
        <rFont val="Noto Sans CJK SC"/>
        <family val="1"/>
      </rPr>
      <t>处于极高水平。</t>
    </r>
  </si>
  <si>
    <t>快速入冬：加息开启，股市与债市双杀，指数跌入负值（紧张）。</t>
  </si>
  <si>
    <r>
      <rPr>
        <sz val="10"/>
        <color rgb="FF1F1F1F"/>
        <rFont val="Noto Sans CJK SC"/>
        <family val="1"/>
      </rPr>
      <t>修复期：</t>
    </r>
    <r>
      <rPr>
        <sz val="10"/>
        <color rgb="FF1F1F1F"/>
        <rFont val="Cambria"/>
        <family val="1"/>
      </rPr>
      <t xml:space="preserve">Q4 </t>
    </r>
    <r>
      <rPr>
        <sz val="10"/>
        <color rgb="FF1F1F1F"/>
        <rFont val="Noto Sans CJK SC"/>
        <family val="1"/>
      </rPr>
      <t>随着通胀放缓，市场预期转鸽，指数重回正值区间。</t>
    </r>
  </si>
  <si>
    <t>均衡宽松：信贷利差收窄，股市创下新高，条件持续改善。</t>
  </si>
  <si>
    <r>
      <rPr>
        <sz val="10"/>
        <color rgb="FF1F1F1F"/>
        <rFont val="Noto Sans CJK SC"/>
        <family val="1"/>
      </rPr>
      <t>政策驱动：美联储降息周期启动，标普</t>
    </r>
    <r>
      <rPr>
        <sz val="10"/>
        <color rgb="FF1F1F1F"/>
        <rFont val="Cambria"/>
        <family val="1"/>
      </rPr>
      <t>500</t>
    </r>
    <r>
      <rPr>
        <sz val="10"/>
        <color rgb="FF1F1F1F"/>
        <rFont val="Noto Sans CJK SC"/>
        <family val="1"/>
      </rPr>
      <t>上涨，支撑了宽松环境。</t>
    </r>
  </si>
  <si>
    <t>当前：虽有地缘波动，但仍处于历史偏松区间。</t>
  </si>
  <si>
    <r>
      <rPr>
        <b/>
        <sz val="16"/>
        <color rgb="FFFFFFFF"/>
        <rFont val="Noto Sans CJK SC"/>
        <family val="1"/>
      </rPr>
      <t xml:space="preserve">芝加哥联储全国金融条件指数 </t>
    </r>
    <r>
      <rPr>
        <b/>
        <sz val="16"/>
        <color rgb="FFFFFFFF"/>
        <rFont val="Cambria"/>
        <family val="1"/>
      </rPr>
      <t>(NFCI)</t>
    </r>
  </si>
  <si>
    <t>宏观环境说明</t>
  </si>
  <si>
    <r>
      <rPr>
        <sz val="10"/>
        <color rgb="FF1F1F1F"/>
        <rFont val="Noto Sans CJK SC"/>
        <family val="1"/>
      </rPr>
      <t xml:space="preserve">历史极度宽松：无限量 </t>
    </r>
    <r>
      <rPr>
        <sz val="10"/>
        <color rgb="FF1F1F1F"/>
        <rFont val="Cambria"/>
        <family val="1"/>
      </rPr>
      <t xml:space="preserve">QE </t>
    </r>
    <r>
      <rPr>
        <sz val="10"/>
        <color rgb="FF1F1F1F"/>
        <rFont val="Noto Sans CJK SC"/>
        <family val="1"/>
      </rPr>
      <t>和零利率，金融系统“水满为患”。</t>
    </r>
  </si>
  <si>
    <r>
      <rPr>
        <sz val="10"/>
        <color rgb="FF1F1F1F"/>
        <rFont val="Noto Sans CJK SC"/>
        <family val="1"/>
      </rPr>
      <t>紧缩震荡：加息周期开启，波动率（</t>
    </r>
    <r>
      <rPr>
        <sz val="10"/>
        <color rgb="FF1F1F1F"/>
        <rFont val="Cambria"/>
        <family val="1"/>
      </rPr>
      <t>VIX</t>
    </r>
    <r>
      <rPr>
        <sz val="10"/>
        <color rgb="FF1F1F1F"/>
        <rFont val="Noto Sans CJK SC"/>
        <family val="1"/>
      </rPr>
      <t>）上升，信贷利差走阔。</t>
    </r>
  </si>
  <si>
    <r>
      <rPr>
        <sz val="10"/>
        <color rgb="FF1F1F1F"/>
        <rFont val="Noto Sans CJK SC"/>
        <family val="1"/>
      </rPr>
      <t xml:space="preserve">先收后放：经历了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月银行业风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</si>
  <si>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先收后放：经历了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月银行业风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</si>
  <si>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先收后放：经历了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月银行业风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</si>
  <si>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先收后放：经历了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月银行业风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</si>
  <si>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2023-</t>
    </r>
    <r>
      <rPr>
        <sz val="10"/>
        <color rgb="FF1F1F1F"/>
        <rFont val="Noto Sans CJK SC"/>
        <family val="1"/>
      </rPr>
      <t xml:space="preserve">先收后放：经历了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月银行业风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</si>
  <si>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b/>
        <sz val="16"/>
        <color rgb="FFFFFFFF"/>
        <rFont val="Cambria"/>
        <family val="1"/>
      </rPr>
      <t xml:space="preserve">GDP Now </t>
    </r>
    <r>
      <rPr>
        <b/>
        <sz val="16"/>
        <color rgb="FFFFFFFF"/>
        <rFont val="Noto Sans CJK SC"/>
        <family val="1"/>
      </rPr>
      <t>预测</t>
    </r>
  </si>
  <si>
    <t>主要贡献项</t>
  </si>
  <si>
    <r>
      <rPr>
        <b/>
        <sz val="10"/>
        <color rgb="FF1F1F1F"/>
        <rFont val="Noto Sans CJK SC"/>
        <family val="1"/>
      </rPr>
      <t xml:space="preserve">贡献度 </t>
    </r>
    <r>
      <rPr>
        <b/>
        <sz val="10"/>
        <color rgb="FF1F1F1F"/>
        <rFont val="Cambria"/>
        <family val="1"/>
      </rPr>
      <t>(</t>
    </r>
    <r>
      <rPr>
        <b/>
        <sz val="10"/>
        <color rgb="FF1F1F1F"/>
        <rFont val="Noto Sans CJK SC"/>
        <family val="1"/>
      </rPr>
      <t>估算</t>
    </r>
    <r>
      <rPr>
        <b/>
        <sz val="10"/>
        <color rgb="FF1F1F1F"/>
        <rFont val="Cambria"/>
        <family val="1"/>
      </rPr>
      <t>)</t>
    </r>
  </si>
  <si>
    <t>趋势观察</t>
  </si>
  <si>
    <r>
      <rPr>
        <sz val="10"/>
        <color rgb="FF1F1F1F"/>
        <rFont val="Noto Sans CJK SC"/>
        <family val="1"/>
      </rPr>
      <t xml:space="preserve">个人消费支出 </t>
    </r>
    <r>
      <rPr>
        <sz val="10"/>
        <color rgb="FF1F1F1F"/>
        <rFont val="Cambria"/>
        <family val="1"/>
      </rPr>
      <t>(PCE)</t>
    </r>
  </si>
  <si>
    <t>韧性十足：劳动力市场表现稳健，零售额增长支撑了这一大头。</t>
  </si>
  <si>
    <t>国内私人总投资</t>
  </si>
  <si>
    <r>
      <rPr>
        <sz val="10"/>
        <color rgb="FF1F1F1F"/>
        <rFont val="Noto Sans CJK SC"/>
        <family val="1"/>
      </rPr>
      <t xml:space="preserve">资本开支回暖：受益于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基础设施投入及宽松金融条件。</t>
    </r>
  </si>
  <si>
    <t>政府支出</t>
  </si>
  <si>
    <t>财政扩张：在大选后的政策执行期，政府支出保持在稳健水平。</t>
  </si>
  <si>
    <t>净出口与库存变动</t>
  </si>
  <si>
    <t>轻微拖累：库存积压有所放缓，出口受美元走强影响略显乏力。</t>
  </si>
  <si>
    <t>GDP Now 预测</t>
  </si>
  <si>
    <t>time</t>
  </si>
  <si>
    <t>预测值</t>
  </si>
  <si>
    <t>宏观环境解读</t>
  </si>
  <si>
    <t>超常规增长：疫苗普及后的报复性消费与复工推动。</t>
  </si>
  <si>
    <r>
      <rPr>
        <sz val="10"/>
        <color rgb="FF1F1F1F"/>
        <rFont val="Noto Sans CJK SC"/>
        <family val="1"/>
      </rPr>
      <t xml:space="preserve">增速换挡：虽然通胀飙升，但 </t>
    </r>
    <r>
      <rPr>
        <sz val="10"/>
        <color rgb="FF1F1F1F"/>
        <rFont val="Cambria"/>
        <family val="1"/>
      </rPr>
      <t xml:space="preserve">Q2 </t>
    </r>
    <r>
      <rPr>
        <sz val="10"/>
        <color rgb="FF1F1F1F"/>
        <rFont val="Noto Sans CJK SC"/>
        <family val="1"/>
      </rPr>
      <t>出现了一次意外的经济脉冲。</t>
    </r>
  </si>
  <si>
    <r>
      <rPr>
        <sz val="10"/>
        <color rgb="FF1F1F1F"/>
        <rFont val="Noto Sans CJK SC"/>
        <family val="1"/>
      </rPr>
      <t xml:space="preserve">软着陆过渡：受银行业危机扰动 </t>
    </r>
    <r>
      <rPr>
        <sz val="10"/>
        <color rgb="FF1F1F1F"/>
        <rFont val="Cambria"/>
        <family val="1"/>
      </rPr>
      <t xml:space="preserve">Q1 </t>
    </r>
    <r>
      <rPr>
        <sz val="10"/>
        <color rgb="FF1F1F1F"/>
        <rFont val="Noto Sans CJK SC"/>
        <family val="1"/>
      </rPr>
      <t>偏弱，随后逐步回升。</t>
    </r>
  </si>
  <si>
    <t>稳健韧性：在限制性利率下，经济新闻持续释放温和增长信号。</t>
  </si>
  <si>
    <r>
      <rPr>
        <sz val="10"/>
        <color rgb="FF1F1F1F"/>
        <rFont val="Noto Sans CJK SC"/>
        <family val="1"/>
      </rPr>
      <t>波动起伏：</t>
    </r>
    <r>
      <rPr>
        <sz val="10"/>
        <color rgb="FF1F1F1F"/>
        <rFont val="Cambria"/>
        <family val="1"/>
      </rPr>
      <t xml:space="preserve">2025 </t>
    </r>
    <r>
      <rPr>
        <sz val="10"/>
        <color rgb="FF1F1F1F"/>
        <rFont val="Noto Sans CJK SC"/>
        <family val="1"/>
      </rPr>
      <t>年下半年增长数据显著放缓，反映紧缩滞后效应。</t>
    </r>
  </si>
  <si>
    <r>
      <rPr>
        <sz val="10"/>
        <color rgb="FF1F1F1F"/>
        <rFont val="Cambria"/>
        <family val="1"/>
      </rPr>
      <t>2.41%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</si>
  <si>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当前：截至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 xml:space="preserve">月初，指数从 </t>
    </r>
    <r>
      <rPr>
        <sz val="10"/>
        <color rgb="FF1F1F1F"/>
        <rFont val="Cambria"/>
        <family val="1"/>
      </rPr>
      <t xml:space="preserve">Q4 </t>
    </r>
    <r>
      <rPr>
        <sz val="10"/>
        <color rgb="FF1F1F1F"/>
        <rFont val="Noto Sans CJK SC"/>
        <family val="1"/>
      </rPr>
      <t>的低谷显著反弹。</t>
    </r>
  </si>
  <si>
    <r>
      <rPr>
        <b/>
        <sz val="16"/>
        <color rgb="FFFFFFFF"/>
        <rFont val="Cambria"/>
        <family val="1"/>
      </rPr>
      <t xml:space="preserve">ADS </t>
    </r>
    <r>
      <rPr>
        <b/>
        <sz val="16"/>
        <color rgb="FFFFFFFF"/>
        <rFont val="Noto Sans CJK SC"/>
        <family val="1"/>
      </rPr>
      <t>商业景气指数</t>
    </r>
    <r>
      <rPr>
        <b/>
        <sz val="16"/>
        <color rgb="FFFFFFFF"/>
        <rFont val="Cambria"/>
        <family val="1"/>
      </rPr>
      <t>(</t>
    </r>
    <r>
      <rPr>
        <b/>
        <sz val="16"/>
        <color rgb="FFFFFFFF"/>
        <rFont val="Noto Sans CJK SC"/>
        <family val="1"/>
      </rPr>
      <t>华尔街交易员股市应用稀缺的实时高频指引</t>
    </r>
    <r>
      <rPr>
        <b/>
        <sz val="16"/>
        <color rgb="FFFFFFFF"/>
        <rFont val="Cambria"/>
        <family val="1"/>
      </rPr>
      <t>)</t>
    </r>
  </si>
  <si>
    <t>交易员视角的宏观解读</t>
  </si>
  <si>
    <t>疫后激增：数据在极高位震荡，反映经济强劲复苏。</t>
  </si>
  <si>
    <r>
      <rPr>
        <sz val="10"/>
        <color rgb="FF1F1F1F"/>
        <rFont val="Noto Sans CJK SC"/>
        <family val="1"/>
      </rPr>
      <t xml:space="preserve">滞胀阴影：指数跌破 </t>
    </r>
    <r>
      <rPr>
        <sz val="10"/>
        <color rgb="FF1F1F1F"/>
        <rFont val="Cambria"/>
        <family val="1"/>
      </rPr>
      <t xml:space="preserve">0 </t>
    </r>
    <r>
      <rPr>
        <sz val="10"/>
        <color rgb="FF1F1F1F"/>
        <rFont val="Noto Sans CJK SC"/>
        <family val="1"/>
      </rPr>
      <t>轴，高通胀与加息开始压制商业活力。</t>
    </r>
  </si>
  <si>
    <r>
      <rPr>
        <sz val="10"/>
        <color rgb="FF1F1F1F"/>
        <rFont val="Noto Sans CJK SC"/>
        <family val="1"/>
      </rPr>
      <t xml:space="preserve">韧性测试：经历了 </t>
    </r>
    <r>
      <rPr>
        <sz val="10"/>
        <color rgb="FF1F1F1F"/>
        <rFont val="Cambria"/>
        <family val="1"/>
      </rPr>
      <t xml:space="preserve">Q1 </t>
    </r>
    <r>
      <rPr>
        <sz val="10"/>
        <color rgb="FF1F1F1F"/>
        <rFont val="Noto Sans CJK SC"/>
        <family val="1"/>
      </rPr>
      <t>的低迷后，下半年因服务业强劲意外回升。</t>
    </r>
  </si>
  <si>
    <r>
      <rPr>
        <sz val="10"/>
        <color rgb="FF1F1F1F"/>
        <rFont val="Noto Sans CJK SC"/>
        <family val="1"/>
      </rPr>
      <t xml:space="preserve">稳健扩张：指数稳定在 </t>
    </r>
    <r>
      <rPr>
        <sz val="10"/>
        <color rgb="FF1F1F1F"/>
        <rFont val="Cambria"/>
        <family val="1"/>
      </rPr>
      <t xml:space="preserve">0 </t>
    </r>
    <r>
      <rPr>
        <sz val="10"/>
        <color rgb="FF1F1F1F"/>
        <rFont val="Noto Sans CJK SC"/>
        <family val="1"/>
      </rPr>
      <t>轴上方，确认了经济“软着陆”预期。</t>
    </r>
  </si>
  <si>
    <t>放缓迹象：下半年受紧缩政策累积效应影响，再次试探负值区间。</t>
  </si>
  <si>
    <r>
      <rPr>
        <sz val="10"/>
        <color rgb="FF1F1F1F"/>
        <rFont val="Cambria"/>
        <family val="1"/>
      </rPr>
      <t>+0.32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</si>
  <si>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>当前反弹：</t>
    </r>
    <r>
      <rPr>
        <sz val="10"/>
        <color rgb="FF1F1F1F"/>
        <rFont val="Cambria"/>
        <family val="1"/>
      </rPr>
      <t xml:space="preserve">2026 </t>
    </r>
    <r>
      <rPr>
        <sz val="10"/>
        <color rgb="FF1F1F1F"/>
        <rFont val="Noto Sans CJK SC"/>
        <family val="1"/>
      </rPr>
      <t xml:space="preserve">年初数据显著回升，消除了 </t>
    </r>
    <r>
      <rPr>
        <sz val="10"/>
        <color rgb="FF1F1F1F"/>
        <rFont val="Cambria"/>
        <family val="1"/>
      </rPr>
      <t xml:space="preserve">25 </t>
    </r>
    <r>
      <rPr>
        <sz val="10"/>
        <color rgb="FF1F1F1F"/>
        <rFont val="Noto Sans CJK SC"/>
        <family val="1"/>
      </rPr>
      <t>年底的衰退担忧。</t>
    </r>
  </si>
  <si>
    <r>
      <rPr>
        <b/>
        <sz val="16"/>
        <color rgb="FFFFFFFF"/>
        <rFont val="Cambria"/>
        <family val="1"/>
      </rPr>
      <t xml:space="preserve">Lightcast </t>
    </r>
    <r>
      <rPr>
        <b/>
        <sz val="16"/>
        <color rgb="FFFFFFFF"/>
        <rFont val="Noto Sans CJK SC"/>
        <family val="1"/>
      </rPr>
      <t>数据</t>
    </r>
  </si>
  <si>
    <t>季度</t>
  </si>
  <si>
    <r>
      <rPr>
        <b/>
        <sz val="10"/>
        <color rgb="FF1F1F1F"/>
        <rFont val="Noto Sans CJK SC"/>
        <family val="1"/>
      </rPr>
      <t xml:space="preserve">招聘广告指数 </t>
    </r>
    <r>
      <rPr>
        <b/>
        <sz val="10"/>
        <color rgb="FF1F1F1F"/>
        <rFont val="Cambria"/>
        <family val="1"/>
      </rPr>
      <t>(</t>
    </r>
    <r>
      <rPr>
        <b/>
        <sz val="10"/>
        <color rgb="FF1F1F1F"/>
        <rFont val="Noto Sans CJK SC"/>
        <family val="1"/>
      </rPr>
      <t>存量</t>
    </r>
    <r>
      <rPr>
        <b/>
        <sz val="10"/>
        <color rgb="FF1F1F1F"/>
        <rFont val="Cambria"/>
        <family val="1"/>
      </rPr>
      <t>)</t>
    </r>
  </si>
  <si>
    <t>新发岗位环比变化</t>
  </si>
  <si>
    <t>核心驱动行业与技能趋势</t>
  </si>
  <si>
    <t>Q1-Q4</t>
  </si>
  <si>
    <t>115 → 128</t>
  </si>
  <si>
    <t>大辞职潮：服务业、物流业疯狂抢人，薪资通胀起点。</t>
  </si>
  <si>
    <t>Q1-Q2</t>
  </si>
  <si>
    <t>需求见顶：科技与医疗招聘处于历史高位。</t>
  </si>
  <si>
    <t>Q3-Q4</t>
  </si>
  <si>
    <r>
      <rPr>
        <sz val="10"/>
        <color rgb="FF1F1F1F"/>
        <rFont val="Noto Sans CJK SC"/>
        <family val="1"/>
      </rPr>
      <t>加息冲击：大厂（</t>
    </r>
    <r>
      <rPr>
        <sz val="10"/>
        <color rgb="FF1F1F1F"/>
        <rFont val="Cambria"/>
        <family val="1"/>
      </rPr>
      <t>Big Tech</t>
    </r>
    <r>
      <rPr>
        <sz val="10"/>
        <color rgb="FF1F1F1F"/>
        <rFont val="Noto Sans CJK SC"/>
        <family val="1"/>
      </rPr>
      <t>）开始冻结招聘，指数回落。</t>
    </r>
  </si>
  <si>
    <t>软着陆过渡：蓝领需求坚挺，白领招聘持续萎缩。</t>
  </si>
  <si>
    <r>
      <rPr>
        <sz val="10"/>
        <color rgb="FF1F1F1F"/>
        <rFont val="Noto Sans CJK SC"/>
        <family val="1"/>
      </rPr>
      <t xml:space="preserve">技能洗牌：生成式 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 xml:space="preserve">相关岗位需求同比暴增 </t>
    </r>
    <r>
      <rPr>
        <sz val="10"/>
        <color rgb="FF1F1F1F"/>
        <rFont val="Cambria"/>
        <family val="1"/>
      </rPr>
      <t xml:space="preserve">60% </t>
    </r>
    <r>
      <rPr>
        <sz val="10"/>
        <color rgb="FF1F1F1F"/>
        <rFont val="Noto Sans CJK SC"/>
        <family val="1"/>
      </rPr>
      <t>以上。</t>
    </r>
  </si>
  <si>
    <t>效率优先：企业招聘变得极度谨慎，强调“技能匹配”。</t>
  </si>
  <si>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部署期：非技术岗位（如市场、法律）招聘持续低迷。</t>
    </r>
  </si>
  <si>
    <t>周期性反弹：美联储降息预期带动房地产与制造业温和回暖。</t>
  </si>
  <si>
    <t>结构性短缺：尽管广告减少，但由于老龄化，缺工依然严重。</t>
  </si>
  <si>
    <t>Q1 (E)</t>
  </si>
  <si>
    <r>
      <rPr>
        <sz val="10"/>
        <color rgb="FF1F1F1F"/>
        <rFont val="Noto Sans CJK SC"/>
        <family val="1"/>
      </rPr>
      <t>当前：</t>
    </r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与医疗行业招聘强劲反弹，抵消了零售业的疲态。</t>
    </r>
  </si>
  <si>
    <r>
      <rPr>
        <b/>
        <sz val="16"/>
        <color rgb="FFFFFFFF"/>
        <rFont val="Cambria"/>
        <family val="1"/>
      </rPr>
      <t>WARN Notice</t>
    </r>
    <r>
      <rPr>
        <b/>
        <sz val="16"/>
        <color rgb="FFFFFFFF"/>
        <rFont val="Noto Sans CJK SC"/>
        <family val="1"/>
      </rPr>
      <t>裁员数据</t>
    </r>
  </si>
  <si>
    <r>
      <rPr>
        <b/>
        <sz val="10"/>
        <color rgb="FF1F1F1F"/>
        <rFont val="Noto Sans CJK SC"/>
        <family val="1"/>
      </rPr>
      <t>核心行业</t>
    </r>
    <r>
      <rPr>
        <b/>
        <sz val="10"/>
        <color rgb="FF1F1F1F"/>
        <rFont val="Cambria"/>
        <family val="1"/>
      </rPr>
      <t>/</t>
    </r>
    <r>
      <rPr>
        <b/>
        <sz val="10"/>
        <color rgb="FF1F1F1F"/>
        <rFont val="Noto Sans CJK SC"/>
        <family val="1"/>
      </rPr>
      <t>背景描述</t>
    </r>
  </si>
  <si>
    <t>疫后企稳：裁员降至低位，招聘是主题。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</si>
  <si>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疫后企稳：裁员降至低位，招聘是主题。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</si>
  <si>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Noto Sans CJK SC"/>
        <family val="1"/>
      </rPr>
      <t>科技寒冬开启：年底大厂（</t>
    </r>
    <r>
      <rPr>
        <sz val="10"/>
        <color rgb="FF1F1F1F"/>
        <rFont val="Cambria"/>
        <family val="1"/>
      </rPr>
      <t>Meta, Amazon</t>
    </r>
    <r>
      <rPr>
        <sz val="10"/>
        <color rgb="FF1F1F1F"/>
        <rFont val="Noto Sans CJK SC"/>
        <family val="1"/>
      </rPr>
      <t>）密集裁员。</t>
    </r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</si>
  <si>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疫后企稳：裁员降至低位，招聘是主题。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</si>
  <si>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t>全面紧缩：科技、金融、零售业普遍缩减编制。</t>
  </si>
  <si>
    <r>
      <rPr>
        <sz val="10"/>
        <color rgb="FF1F1F1F"/>
        <rFont val="Noto Sans CJK SC"/>
        <family val="1"/>
      </rPr>
      <t xml:space="preserve">效率年：年底 </t>
    </r>
    <r>
      <rPr>
        <sz val="10"/>
        <color rgb="FF1F1F1F"/>
        <rFont val="Cambria"/>
        <family val="1"/>
      </rPr>
      <t xml:space="preserve">UPS </t>
    </r>
    <r>
      <rPr>
        <sz val="10"/>
        <color rgb="FF1F1F1F"/>
        <rFont val="Noto Sans CJK SC"/>
        <family val="1"/>
      </rPr>
      <t>与亚马逊宣布大规模结构性优化。</t>
    </r>
  </si>
  <si>
    <r>
      <rPr>
        <sz val="10"/>
        <color rgb="FF1F1F1F"/>
        <rFont val="Cambria"/>
        <family val="1"/>
      </rPr>
      <t xml:space="preserve">AI </t>
    </r>
    <r>
      <rPr>
        <sz val="10"/>
        <color rgb="FF1F1F1F"/>
        <rFont val="Noto Sans CJK SC"/>
        <family val="1"/>
      </rPr>
      <t>替代初现：行政及基础技术岗位裁员显著增加。</t>
    </r>
  </si>
  <si>
    <t>15.2 (E)</t>
  </si>
  <si>
    <t>当前：零售与金融业出现超季节性裁员脉冲。</t>
  </si>
  <si>
    <r>
      <rPr>
        <sz val="10"/>
        <color rgb="FF1F1F1F"/>
        <rFont val="Cambria"/>
        <family val="1"/>
      </rPr>
      <t>2026-</t>
    </r>
    <r>
      <rPr>
        <sz val="10"/>
        <color rgb="FF1F1F1F"/>
        <rFont val="Noto Sans CJK SC"/>
        <family val="1"/>
      </rPr>
      <t>当前：零售与金融业出现超季节性裁员脉冲。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</si>
  <si>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b/>
        <sz val="16"/>
        <color rgb="FFFFFFFF"/>
        <rFont val="Cambria"/>
        <family val="1"/>
      </rPr>
      <t xml:space="preserve">ADP </t>
    </r>
    <r>
      <rPr>
        <b/>
        <sz val="16"/>
        <color rgb="FFFFFFFF"/>
        <rFont val="Noto Sans CJK SC"/>
        <family val="1"/>
      </rPr>
      <t>新增就业人数</t>
    </r>
  </si>
  <si>
    <r>
      <rPr>
        <b/>
        <sz val="10"/>
        <color rgb="FF1F1F1F"/>
        <rFont val="Noto Sans CJK SC"/>
        <family val="1"/>
      </rPr>
      <t xml:space="preserve">年度总计 </t>
    </r>
    <r>
      <rPr>
        <b/>
        <sz val="10"/>
        <color rgb="FF1F1F1F"/>
        <rFont val="Cambria"/>
        <family val="1"/>
      </rPr>
      <t>(</t>
    </r>
    <r>
      <rPr>
        <b/>
        <sz val="10"/>
        <color rgb="FF1F1F1F"/>
        <rFont val="Noto Sans CJK SC"/>
        <family val="1"/>
      </rPr>
      <t>人</t>
    </r>
    <r>
      <rPr>
        <b/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</si>
  <si>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+120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</si>
  <si>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+210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</si>
  <si>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+180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</si>
  <si>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+150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</si>
  <si>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~660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</si>
  <si>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2021-~660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</si>
  <si>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+130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</si>
  <si>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+95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</si>
  <si>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+78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</si>
  <si>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+65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</si>
  <si>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~368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</si>
  <si>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2021-~660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</si>
  <si>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+62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</si>
  <si>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+58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</si>
  <si>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+45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</si>
  <si>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+38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</si>
  <si>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~203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</si>
  <si>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+21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</si>
  <si>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+19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</si>
  <si>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</si>
  <si>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77.1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</si>
  <si>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+11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</si>
  <si>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+10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</si>
  <si>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+9.5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</si>
  <si>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+9.3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</si>
  <si>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39.8</t>
    </r>
    <r>
      <rPr>
        <sz val="10"/>
        <color rgb="FF1F1F1F"/>
        <rFont val="Noto Sans CJK SC"/>
        <family val="1"/>
      </rPr>
      <t>万</t>
    </r>
  </si>
  <si>
    <r>
      <rPr>
        <sz val="10"/>
        <color rgb="FF1F1F1F"/>
        <rFont val="Cambria"/>
        <family val="1"/>
      </rPr>
      <t>2022-~368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</si>
  <si>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2.2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(1</t>
    </r>
    <r>
      <rPr>
        <sz val="10"/>
        <color rgb="FF1F1F1F"/>
        <rFont val="Noto Sans CJK SC"/>
        <family val="1"/>
      </rPr>
      <t>月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</si>
  <si>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2.2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(2</t>
    </r>
    <r>
      <rPr>
        <sz val="10"/>
        <color rgb="FF1F1F1F"/>
        <rFont val="Noto Sans CJK SC"/>
        <family val="1"/>
      </rPr>
      <t>月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</si>
  <si>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(</t>
    </r>
    <r>
      <rPr>
        <sz val="10"/>
        <color rgb="FF1F1F1F"/>
        <rFont val="Noto Sans CJK SC"/>
        <family val="1"/>
      </rPr>
      <t>进行中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</si>
  <si>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Cambria"/>
        <family val="1"/>
      </rPr>
      <t>2022-~368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</si>
  <si>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2022-~368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</si>
  <si>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2022-~368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</si>
  <si>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2023-~203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</si>
  <si>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2023-~203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</si>
  <si>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2023-~203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</si>
  <si>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2023-~203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</si>
  <si>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2024-77.1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</si>
  <si>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2024-77.1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</si>
  <si>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2024-77.1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</si>
  <si>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2024-77.1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</si>
  <si>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2025-39.8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</si>
  <si>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2025-39.8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</si>
  <si>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2025-39.8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</si>
  <si>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2025-39.8</t>
    </r>
    <r>
      <rPr>
        <sz val="10"/>
        <color rgb="FF1F1F1F"/>
        <rFont val="Noto Sans CJK SC"/>
        <family val="1"/>
      </rPr>
      <t>万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</si>
  <si>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sz val="10"/>
        <color rgb="FF1F1F1F"/>
        <rFont val="Cambria"/>
        <family val="1"/>
      </rPr>
      <t>2026-(</t>
    </r>
    <r>
      <rPr>
        <sz val="10"/>
        <color rgb="FF1F1F1F"/>
        <rFont val="Noto Sans CJK SC"/>
        <family val="1"/>
      </rPr>
      <t>进行中</t>
    </r>
    <r>
      <rPr>
        <sz val="10"/>
        <color rgb="FF1F1F1F"/>
        <rFont val="Cambria"/>
        <family val="1"/>
      </rPr>
      <t>)-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</si>
  <si>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2026-(</t>
    </r>
    <r>
      <rPr>
        <sz val="10"/>
        <color rgb="FF1F1F1F"/>
        <rFont val="Noto Sans CJK SC"/>
        <family val="1"/>
      </rPr>
      <t>进行中</t>
    </r>
    <r>
      <rPr>
        <sz val="10"/>
        <color rgb="FF1F1F1F"/>
        <rFont val="Cambria"/>
        <family val="1"/>
      </rPr>
      <t>)-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</si>
  <si>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b/>
        <sz val="16"/>
        <color rgb="FFFFFFFF"/>
        <rFont val="Cambria"/>
        <family val="1"/>
      </rPr>
      <t xml:space="preserve"> RedBook </t>
    </r>
    <r>
      <rPr>
        <b/>
        <sz val="16"/>
        <color rgb="FFFFFFFF"/>
        <rFont val="Noto Sans CJK SC"/>
        <family val="1"/>
      </rPr>
      <t>零售指数</t>
    </r>
  </si>
  <si>
    <t>零售环境背景</t>
  </si>
  <si>
    <t>爆发期：财政补贴带动下的报复性消费高峰。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</si>
  <si>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爆发期：财政补贴带动下的报复性消费高峰。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</si>
  <si>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t>高通胀期：名义增长受物价推升，但实际购买力开始承压。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</si>
  <si>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爆发期：财政补贴带动下的报复性消费高峰。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</si>
  <si>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Noto Sans CJK SC"/>
        <family val="1"/>
      </rPr>
      <t>软着陆过渡：经历年中放缓后，</t>
    </r>
    <r>
      <rPr>
        <sz val="10"/>
        <color rgb="FF1F1F1F"/>
        <rFont val="Cambria"/>
        <family val="1"/>
      </rPr>
      <t xml:space="preserve">Q4 </t>
    </r>
    <r>
      <rPr>
        <sz val="10"/>
        <color rgb="FF1F1F1F"/>
        <rFont val="Noto Sans CJK SC"/>
        <family val="1"/>
      </rPr>
      <t>假日季表现超出预期。</t>
    </r>
  </si>
  <si>
    <t>稳健增长：劳动力市场坚挺，消费者维持稳定的支出节奏。</t>
  </si>
  <si>
    <t>复苏强化：年末受大选及潜在降息预期刺激，零售表现强劲。</t>
  </si>
  <si>
    <r>
      <rPr>
        <sz val="10"/>
        <color rgb="FF1F1F1F"/>
        <rFont val="Cambria"/>
        <family val="1"/>
      </rPr>
      <t>+6.9%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</si>
  <si>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当前：截至 </t>
    </r>
    <r>
      <rPr>
        <sz val="10"/>
        <color rgb="FF1F1F1F"/>
        <rFont val="Cambria"/>
        <family val="1"/>
      </rPr>
      <t xml:space="preserve">2026 </t>
    </r>
    <r>
      <rPr>
        <sz val="10"/>
        <color rgb="FF1F1F1F"/>
        <rFont val="Noto Sans CJK SC"/>
        <family val="1"/>
      </rPr>
      <t xml:space="preserve">年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月初，消费动能依然坚韧。</t>
    </r>
  </si>
  <si>
    <r>
      <rPr>
        <b/>
        <sz val="16"/>
        <color rgb="FFFFFFFF"/>
        <rFont val="Noto Sans CJK SC"/>
        <family val="1"/>
      </rPr>
      <t>房地产待售时长（</t>
    </r>
    <r>
      <rPr>
        <b/>
        <sz val="16"/>
        <color rgb="FFFFFFFF"/>
        <rFont val="Cambria"/>
        <family val="1"/>
      </rPr>
      <t>4WMA</t>
    </r>
    <r>
      <rPr>
        <b/>
        <sz val="16"/>
        <color rgb="FFFFFFFF"/>
        <rFont val="Noto Sans CJK SC"/>
        <family val="1"/>
      </rPr>
      <t>）</t>
    </r>
  </si>
  <si>
    <t>市场情绪特征</t>
  </si>
  <si>
    <r>
      <rPr>
        <sz val="10"/>
        <color rgb="FF1F1F1F"/>
        <rFont val="Noto Sans CJK SC"/>
        <family val="1"/>
      </rPr>
      <t xml:space="preserve">极度疯狂：库存极低，房源平均 </t>
    </r>
    <r>
      <rPr>
        <sz val="10"/>
        <color rgb="FF1F1F1F"/>
        <rFont val="Cambria"/>
        <family val="1"/>
      </rPr>
      <t xml:space="preserve">3 </t>
    </r>
    <r>
      <rPr>
        <sz val="10"/>
        <color rgb="FF1F1F1F"/>
        <rFont val="Noto Sans CJK SC"/>
        <family val="1"/>
      </rPr>
      <t>周即售罄。</t>
    </r>
  </si>
  <si>
    <t>由热转冷：年中触及历史最快成交纪录，随后加息导致降温。</t>
  </si>
  <si>
    <t>库存僵局：买家离场，卖家惜售，成交速度回归常态。</t>
  </si>
  <si>
    <t>平稳期：成交速度在历史均值附近波动。</t>
  </si>
  <si>
    <t>入冬：高息累积效应显著，待售时长明显拉长。</t>
  </si>
  <si>
    <r>
      <rPr>
        <sz val="10"/>
        <color rgb="FF1F1F1F"/>
        <rFont val="Cambria"/>
        <family val="1"/>
      </rPr>
      <t>78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</si>
  <si>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当前：年初成交速度创下自 </t>
    </r>
    <r>
      <rPr>
        <sz val="10"/>
        <color rgb="FF1F1F1F"/>
        <rFont val="Cambria"/>
        <family val="1"/>
      </rPr>
      <t xml:space="preserve">2020 </t>
    </r>
    <r>
      <rPr>
        <sz val="10"/>
        <color rgb="FF1F1F1F"/>
        <rFont val="Noto Sans CJK SC"/>
        <family val="1"/>
      </rPr>
      <t>年以来的最慢纪录。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</si>
  <si>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平稳期：成交速度在历史均值附近波动。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</si>
  <si>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平稳期：成交速度在历史均值附近波动。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</si>
  <si>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平稳期：成交速度在历史均值附近波动。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</si>
  <si>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平稳期：成交速度在历史均值附近波动。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</si>
  <si>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b/>
        <sz val="16"/>
        <color rgb="FFFFFFFF"/>
        <rFont val="Cambria"/>
        <family val="1"/>
      </rPr>
      <t xml:space="preserve">Redfin </t>
    </r>
    <r>
      <rPr>
        <b/>
        <sz val="16"/>
        <color rgb="FFFFFFFF"/>
        <rFont val="Noto Sans CJK SC"/>
        <family val="1"/>
      </rPr>
      <t>房屋销售量</t>
    </r>
  </si>
  <si>
    <t>市场核心驱动力</t>
  </si>
  <si>
    <t>巅峰期：超低利率驱动的购房狂潮。</t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</si>
  <si>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巅峰期：超低利率驱动的购房狂潮。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</si>
  <si>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Noto Sans CJK SC"/>
        <family val="1"/>
      </rPr>
      <t xml:space="preserve">急转直下：利率从 </t>
    </r>
    <r>
      <rPr>
        <sz val="10"/>
        <color rgb="FF1F1F1F"/>
        <rFont val="Cambria"/>
        <family val="1"/>
      </rPr>
      <t xml:space="preserve">3% </t>
    </r>
    <r>
      <rPr>
        <sz val="10"/>
        <color rgb="FF1F1F1F"/>
        <rFont val="Noto Sans CJK SC"/>
        <family val="1"/>
      </rPr>
      <t xml:space="preserve">飙升至 </t>
    </r>
    <r>
      <rPr>
        <sz val="10"/>
        <color rgb="FF1F1F1F"/>
        <rFont val="Cambria"/>
        <family val="1"/>
      </rPr>
      <t>7%</t>
    </r>
    <r>
      <rPr>
        <sz val="10"/>
        <color rgb="FF1F1F1F"/>
        <rFont val="Noto Sans CJK SC"/>
        <family val="1"/>
      </rPr>
      <t>，需求被锁定。</t>
    </r>
  </si>
  <si>
    <r>
      <rPr>
        <sz val="10"/>
        <color rgb="FF1F1F1F"/>
        <rFont val="Cambria"/>
        <family val="1"/>
      </rPr>
      <t>2021-</t>
    </r>
    <r>
      <rPr>
        <sz val="10"/>
        <color rgb="FF1F1F1F"/>
        <rFont val="Noto Sans CJK SC"/>
        <family val="1"/>
      </rPr>
      <t>巅峰期：超低利率驱动的购房狂潮。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</si>
  <si>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Noto Sans CJK SC"/>
        <family val="1"/>
      </rPr>
      <t xml:space="preserve">底部震荡：成交量触及 </t>
    </r>
    <r>
      <rPr>
        <sz val="10"/>
        <color rgb="FF1F1F1F"/>
        <rFont val="Cambria"/>
        <family val="1"/>
      </rPr>
      <t xml:space="preserve">2008 </t>
    </r>
    <r>
      <rPr>
        <sz val="10"/>
        <color rgb="FF1F1F1F"/>
        <rFont val="Noto Sans CJK SC"/>
        <family val="1"/>
      </rPr>
      <t>年金融危机后的最低水平。</t>
    </r>
  </si>
  <si>
    <t>微弱回暖：市场逐渐适应“高利率新常态”。</t>
  </si>
  <si>
    <t>二次探底：宏观不确定性增加，买卖双方陷入僵局。</t>
  </si>
  <si>
    <r>
      <rPr>
        <sz val="10"/>
        <color rgb="FF1F1F1F"/>
        <rFont val="Cambria"/>
        <family val="1"/>
      </rPr>
      <t>3.55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</si>
  <si>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当前：销售量同比下降 </t>
    </r>
    <r>
      <rPr>
        <sz val="10"/>
        <color rgb="FF1F1F1F"/>
        <rFont val="Cambria"/>
        <family val="1"/>
      </rPr>
      <t>3.2%</t>
    </r>
    <r>
      <rPr>
        <sz val="10"/>
        <color rgb="FF1F1F1F"/>
        <rFont val="Noto Sans CJK SC"/>
        <family val="1"/>
      </rPr>
      <t>，库存锁定效应依然严重。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</si>
  <si>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微弱回暖：市场逐渐适应“高利率新常态”。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</si>
  <si>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微弱回暖：市场逐渐适应“高利率新常态”。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</si>
  <si>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微弱回暖：市场逐渐适应“高利率新常态”。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</si>
  <si>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微弱回暖：市场逐渐适应“高利率新常态”。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</si>
  <si>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t>价格驱动因素</t>
  </si>
  <si>
    <t>爆发期：低利率与郊区化浪潮驱动房价双位数增长。</t>
  </si>
  <si>
    <t>冲高回落：年中触及阶段性高点，随后受加息压制。</t>
  </si>
  <si>
    <t>筑底平台：成交萎缩，但库存极低支撑了价格。</t>
  </si>
  <si>
    <t>温和上涨：通胀背景下的资产保值属性显现。</t>
  </si>
  <si>
    <t>再创新高：供应瓶颈持续，名义房价突破前期高点。</t>
  </si>
  <si>
    <r>
      <rPr>
        <sz val="10"/>
        <color rgb="FF1F1F1F"/>
        <rFont val="Cambria"/>
        <family val="1"/>
      </rPr>
      <t>$415 (</t>
    </r>
    <r>
      <rPr>
        <sz val="10"/>
        <color rgb="FF1F1F1F"/>
        <rFont val="Noto Sans CJK SC"/>
        <family val="1"/>
      </rPr>
      <t>最新</t>
    </r>
    <r>
      <rPr>
        <sz val="10"/>
        <color rgb="FF1F1F1F"/>
        <rFont val="Cambria"/>
        <family val="1"/>
      </rPr>
      <t>)</t>
    </r>
  </si>
  <si>
    <r>
      <rPr>
        <sz val="10"/>
        <color rgb="FF1F1F1F"/>
        <rFont val="Noto Sans CJK SC"/>
        <family val="1"/>
      </rPr>
      <t xml:space="preserve">当前：同比上涨约 </t>
    </r>
    <r>
      <rPr>
        <sz val="10"/>
        <color rgb="FF1F1F1F"/>
        <rFont val="Cambria"/>
        <family val="1"/>
      </rPr>
      <t>4.5%</t>
    </r>
    <r>
      <rPr>
        <sz val="10"/>
        <color rgb="FF1F1F1F"/>
        <rFont val="Noto Sans CJK SC"/>
        <family val="1"/>
      </rPr>
      <t>，呈现“缩量滞涨”特征。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</si>
  <si>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温和上涨：通胀背景下的资产保值属性显现。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第一季度 </t>
    </r>
    <r>
      <rPr>
        <sz val="10"/>
        <color rgb="FF1F1F1F"/>
        <rFont val="Cambria"/>
        <family val="1"/>
      </rPr>
      <t>(Q1)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</si>
  <si>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温和上涨：通胀背景下的资产保值属性显现。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第二季度 </t>
    </r>
    <r>
      <rPr>
        <sz val="10"/>
        <color rgb="FF1F1F1F"/>
        <rFont val="Cambria"/>
        <family val="1"/>
      </rPr>
      <t>(Q2)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</si>
  <si>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温和上涨：通胀背景下的资产保值属性显现。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第三季度 </t>
    </r>
    <r>
      <rPr>
        <sz val="10"/>
        <color rgb="FF1F1F1F"/>
        <rFont val="Cambria"/>
        <family val="1"/>
      </rPr>
      <t>(Q3)</t>
    </r>
  </si>
  <si>
    <r>
      <rPr>
        <sz val="10"/>
        <color rgb="FF1F1F1F"/>
        <rFont val="Cambria"/>
        <family val="1"/>
      </rPr>
      <t>2024-</t>
    </r>
    <r>
      <rPr>
        <sz val="10"/>
        <color rgb="FF1F1F1F"/>
        <rFont val="Noto Sans CJK SC"/>
        <family val="1"/>
      </rPr>
      <t>温和上涨：通胀背景下的资产保值属性显现。</t>
    </r>
    <r>
      <rPr>
        <sz val="10"/>
        <color rgb="FF1F1F1F"/>
        <rFont val="Cambria"/>
        <family val="1"/>
      </rPr>
      <t>-</t>
    </r>
    <r>
      <rPr>
        <sz val="10"/>
        <color rgb="FF1F1F1F"/>
        <rFont val="Noto Sans CJK SC"/>
        <family val="1"/>
      </rPr>
      <t xml:space="preserve">第四季度 </t>
    </r>
    <r>
      <rPr>
        <sz val="10"/>
        <color rgb="FF1F1F1F"/>
        <rFont val="Cambria"/>
        <family val="1"/>
      </rPr>
      <t>(Q4)</t>
    </r>
  </si>
  <si>
    <r>
      <rPr>
        <b/>
        <sz val="16"/>
        <color rgb="FFFFFFFF"/>
        <rFont val="Noto Sans CJK SC"/>
        <family val="1"/>
      </rPr>
      <t xml:space="preserve">薪资增速 </t>
    </r>
    <r>
      <rPr>
        <b/>
        <sz val="16"/>
        <color rgb="FFFFFFFF"/>
        <rFont val="Cambria"/>
        <family val="1"/>
      </rPr>
      <t>(Average Hourly Earnings)</t>
    </r>
  </si>
  <si>
    <r>
      <rPr>
        <b/>
        <sz val="10"/>
        <color rgb="FF1F1F1F"/>
        <rFont val="Cambria"/>
        <family val="1"/>
      </rPr>
      <t>1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</si>
  <si>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2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</si>
  <si>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3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</si>
  <si>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4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</si>
  <si>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5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</si>
  <si>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6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</si>
  <si>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7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</si>
  <si>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8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</si>
  <si>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9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</si>
  <si>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10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</si>
  <si>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11</t>
    </r>
    <r>
      <rPr>
        <b/>
        <sz val="10"/>
        <color rgb="FF1F1F1F"/>
        <rFont val="Noto Sans CJK SC"/>
        <family val="1"/>
      </rPr>
      <t>月</t>
    </r>
  </si>
  <si>
    <r>
      <rPr>
        <b/>
        <sz val="10"/>
        <color rgb="FF1F1F1F"/>
        <rFont val="Cambria"/>
        <family val="1"/>
      </rPr>
      <t>12</t>
    </r>
    <r>
      <rPr>
        <b/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</si>
  <si>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2022-11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</si>
  <si>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2022-12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</si>
  <si>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</si>
  <si>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</si>
  <si>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2023-3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</si>
  <si>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2023-4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</si>
  <si>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2023-5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</si>
  <si>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2023-6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</si>
  <si>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2023-7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</si>
  <si>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2023-8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</si>
  <si>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2023-9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</si>
  <si>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2023-10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</si>
  <si>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</si>
  <si>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2023-12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</si>
  <si>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</si>
  <si>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</si>
  <si>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2024-3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</si>
  <si>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2024-4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</si>
  <si>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2024-5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</si>
  <si>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2024-6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</si>
  <si>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2024-7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</si>
  <si>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2024-8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</si>
  <si>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2024-9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</si>
  <si>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2024-10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</si>
  <si>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</si>
  <si>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2024-12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</si>
  <si>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</si>
  <si>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</si>
  <si>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2025-3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</si>
  <si>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2025-4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</si>
  <si>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2025-5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</si>
  <si>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2025-6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</si>
  <si>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2025-7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</si>
  <si>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2025-8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</si>
  <si>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2025-9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</si>
  <si>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2025-10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</si>
  <si>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</si>
  <si>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</si>
  <si>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2026-1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</si>
  <si>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2026-2</t>
    </r>
    <r>
      <rPr>
        <sz val="10"/>
        <color rgb="FF1F1F1F"/>
        <rFont val="Noto Sans CJK SC"/>
        <family val="1"/>
      </rPr>
      <t>月</t>
    </r>
  </si>
  <si>
    <r>
      <rPr>
        <b/>
        <sz val="16"/>
        <color rgb="FFFFFFFF"/>
        <rFont val="Cambria"/>
        <family val="1"/>
      </rPr>
      <t xml:space="preserve">ISM </t>
    </r>
    <r>
      <rPr>
        <b/>
        <sz val="16"/>
        <color rgb="FFFFFFFF"/>
        <rFont val="Noto Sans CJK SC"/>
        <family val="1"/>
      </rPr>
      <t>制造业和服务业价格指数</t>
    </r>
  </si>
  <si>
    <t>指标类型</t>
  </si>
  <si>
    <t>制造业</t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</si>
  <si>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-1</t>
    </r>
    <r>
      <rPr>
        <sz val="10"/>
        <color rgb="FF1F1F1F"/>
        <rFont val="Noto Sans CJK SC"/>
        <family val="1"/>
      </rPr>
      <t>月</t>
    </r>
  </si>
  <si>
    <t>服务业</t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</si>
  <si>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</si>
  <si>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-3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</si>
  <si>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-4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</si>
  <si>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-5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</si>
  <si>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-6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</si>
  <si>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-7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</si>
  <si>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-8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</si>
  <si>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-9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</si>
  <si>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-10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</si>
  <si>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</si>
  <si>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Noto Sans CJK SC"/>
        <family val="1"/>
      </rPr>
      <t>服务业</t>
    </r>
    <r>
      <rPr>
        <sz val="10"/>
        <color rgb="FF1F1F1F"/>
        <rFont val="Cambria"/>
        <family val="1"/>
      </rPr>
      <t>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</si>
  <si>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</si>
  <si>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</si>
  <si>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-3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</si>
  <si>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-4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</si>
  <si>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-5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</si>
  <si>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-6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</si>
  <si>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-7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</si>
  <si>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-8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</si>
  <si>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-9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</si>
  <si>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-10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</si>
  <si>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-11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</si>
  <si>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2025.0-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-12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</si>
  <si>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2026.0-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-1</t>
    </r>
    <r>
      <rPr>
        <sz val="10"/>
        <color rgb="FF1F1F1F"/>
        <rFont val="Noto Sans CJK SC"/>
        <family val="1"/>
      </rPr>
      <t>月</t>
    </r>
  </si>
  <si>
    <r>
      <rPr>
        <sz val="10"/>
        <color rgb="FF1F1F1F"/>
        <rFont val="Cambria"/>
        <family val="1"/>
      </rPr>
      <t>2026.0-</t>
    </r>
    <r>
      <rPr>
        <sz val="10"/>
        <color rgb="FF1F1F1F"/>
        <rFont val="Noto Sans CJK SC"/>
        <family val="1"/>
      </rPr>
      <t>制造业</t>
    </r>
    <r>
      <rPr>
        <sz val="10"/>
        <color rgb="FF1F1F1F"/>
        <rFont val="Cambria"/>
        <family val="1"/>
      </rPr>
      <t>-2</t>
    </r>
    <r>
      <rPr>
        <sz val="10"/>
        <color rgb="FF1F1F1F"/>
        <rFont val="Noto Sans CJK SC"/>
        <family val="1"/>
      </rPr>
      <t>月</t>
    </r>
  </si>
  <si>
    <r>
      <rPr>
        <b/>
        <sz val="16"/>
        <color rgb="FFFFFFFF"/>
        <rFont val="Noto Sans CJK SC"/>
        <family val="1"/>
      </rPr>
      <t>美国核心</t>
    </r>
    <r>
      <rPr>
        <b/>
        <sz val="16"/>
        <color rgb="FFFFFFFF"/>
        <rFont val="Cambria"/>
        <family val="1"/>
      </rPr>
      <t>PCE</t>
    </r>
    <r>
      <rPr>
        <b/>
        <sz val="16"/>
        <color rgb="FFFFFFFF"/>
        <rFont val="Noto Sans CJK SC"/>
        <family val="1"/>
      </rPr>
      <t>物价指数</t>
    </r>
  </si>
  <si>
    <r>
      <rPr>
        <sz val="10"/>
        <color rgb="FF1F1F1F"/>
        <rFont val="Cambria"/>
        <family val="1"/>
      </rPr>
      <t>2022-10</t>
    </r>
    <r>
      <rPr>
        <sz val="10"/>
        <color rgb="FF1F1F1F"/>
        <rFont val="Noto Sans CJK SC"/>
        <family val="1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</si>
</sst>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8" formatCode="#,##0.0;[Red]\(#,##0.0\);\-"/>
    <numFmt numFmtId="179" formatCode="#,##0;[Red]\(#,##0\);\-"/>
    <numFmt numFmtId="180" formatCode="0.0%;[Red]\(0.0%\);\-"/>
    <numFmt numFmtId="181" formatCode="0.0\x"/>
    <numFmt numFmtId="182" formatCode="0.0%"/>
  </numFmts>
  <fonts count="20">
    <font>
      <sz val="11"/>
      <color theme="1"/>
      <name val="Calibri"/>
      <charset val="1"/>
    </font>
    <font>
      <b/>
      <sz val="16"/>
      <color rgb="FFFFFFFF"/>
      <name val="Noto Sans CJK SC"/>
      <family val="1"/>
    </font>
    <font>
      <b/>
      <sz val="10"/>
      <color rgb="FF1F1F1F"/>
      <name val="Cambria"/>
      <family val="1"/>
    </font>
    <font>
      <sz val="10"/>
      <color rgb="FF1F1F1F"/>
      <name val="Cambria"/>
      <family val="1"/>
    </font>
    <font>
      <sz val="10"/>
      <color rgb="FF1F1F1F"/>
      <name val="Noto Sans CJK SC"/>
      <family val="1"/>
    </font>
    <font>
      <b/>
      <u/>
      <sz val="11"/>
      <color rgb="FF2E7D32"/>
      <name val="Cambria"/>
      <family val="1"/>
    </font>
    <font>
      <b/>
      <sz val="10"/>
      <color rgb="FF1F1F1F"/>
      <name val="Noto Sans CJK SC"/>
      <family val="1"/>
    </font>
    <font>
      <b/>
      <sz val="16"/>
      <color rgb="FFFFFFFF"/>
      <name val="Cambria"/>
      <family val="1"/>
    </font>
    <font>
      <sz val="11"/>
      <color theme="1"/>
      <name val="宋体"/>
      <family val="3"/>
      <charset val="134"/>
    </font>
    <font>
      <u/>
      <sz val="10"/>
      <color rgb="FF2E7D32"/>
      <name val="Cambria"/>
      <family val="1"/>
    </font>
    <font>
      <b/>
      <sz val="11"/>
      <color rgb="FF7030A0"/>
      <name val="Cambria"/>
      <family val="1"/>
    </font>
    <font>
      <b/>
      <sz val="11"/>
      <color rgb="FFFFFFFF"/>
      <name val="Cambria"/>
      <family val="1"/>
    </font>
    <font>
      <b/>
      <sz val="12"/>
      <color rgb="FFFFFFFF"/>
      <name val="Cambria"/>
      <family val="1"/>
    </font>
    <font>
      <sz val="11"/>
      <color theme="1"/>
      <name val="Noto Sans CJK SC"/>
      <family val="1"/>
    </font>
    <font>
      <b/>
      <sz val="11"/>
      <color rgb="FF1F4E78"/>
      <name val="Noto Sans CJK SC"/>
      <family val="1"/>
    </font>
    <font>
      <b/>
      <sz val="11"/>
      <color rgb="FFFFFFFF"/>
      <name val="Noto Sans CJK SC"/>
      <family val="1"/>
    </font>
    <font>
      <sz val="10"/>
      <name val="Arial"/>
      <family val="2"/>
    </font>
    <font>
      <sz val="10"/>
      <name val="Noto Sans CJK SC"/>
      <family val="1"/>
    </font>
    <font>
      <sz val="11"/>
      <color theme="1"/>
      <name val="Calibr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16324F"/>
        <bgColor rgb="FF1F1F1F"/>
      </patternFill>
    </fill>
    <fill>
      <patternFill patternType="solid">
        <fgColor rgb="FFDCE6F1"/>
        <bgColor rgb="FFEAF2F8"/>
      </patternFill>
    </fill>
    <fill>
      <patternFill patternType="solid">
        <fgColor rgb="FFEAF2F8"/>
        <bgColor rgb="FFDCE6F1"/>
      </patternFill>
    </fill>
    <fill>
      <patternFill patternType="solid">
        <fgColor rgb="FF1F4E78"/>
        <bgColor rgb="FF16324F"/>
      </patternFill>
    </fill>
    <fill>
      <patternFill patternType="solid">
        <fgColor rgb="FF0E7490"/>
        <bgColor rgb="FF008080"/>
      </patternFill>
    </fill>
    <fill>
      <patternFill patternType="solid">
        <fgColor rgb="FF5B4B8A"/>
        <bgColor rgb="FF7030A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2">
    <xf numFmtId="0" fontId="0" fillId="0" borderId="0"/>
    <xf numFmtId="9" fontId="16" fillId="0" borderId="0" applyBorder="0" applyAlignment="0" applyProtection="0"/>
  </cellStyleXfs>
  <cellXfs count="4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178" fontId="3" fillId="0" borderId="1" xfId="0" applyNumberFormat="1" applyFont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right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179" fontId="3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left" vertical="center" wrapText="1"/>
    </xf>
    <xf numFmtId="0" fontId="8" fillId="0" borderId="0" xfId="0" applyFont="1"/>
    <xf numFmtId="14" fontId="0" fillId="0" borderId="0" xfId="0" applyNumberFormat="1"/>
    <xf numFmtId="10" fontId="0" fillId="0" borderId="0" xfId="0" applyNumberFormat="1"/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0" fontId="0" fillId="0" borderId="0" xfId="0" applyAlignment="1">
      <alignment wrapText="1"/>
    </xf>
    <xf numFmtId="0" fontId="11" fillId="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2" fontId="12" fillId="5" borderId="0" xfId="0" applyNumberFormat="1" applyFont="1" applyFill="1" applyAlignment="1">
      <alignment horizontal="center" vertical="center"/>
    </xf>
    <xf numFmtId="2" fontId="12" fillId="8" borderId="0" xfId="0" applyNumberFormat="1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 wrapText="1"/>
    </xf>
    <xf numFmtId="0" fontId="13" fillId="0" borderId="0" xfId="0" applyFont="1"/>
    <xf numFmtId="181" fontId="3" fillId="0" borderId="1" xfId="0" applyNumberFormat="1" applyFont="1" applyBorder="1" applyAlignment="1">
      <alignment horizontal="right" vertical="center" wrapText="1"/>
    </xf>
    <xf numFmtId="0" fontId="14" fillId="0" borderId="0" xfId="0" applyFont="1"/>
    <xf numFmtId="0" fontId="13" fillId="0" borderId="0" xfId="0" applyFont="1" applyAlignment="1">
      <alignment wrapText="1"/>
    </xf>
    <xf numFmtId="0" fontId="15" fillId="5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82" fontId="16" fillId="0" borderId="1" xfId="1" applyNumberFormat="1" applyBorder="1" applyAlignment="1">
      <alignment horizontal="right" vertical="center" wrapText="1"/>
    </xf>
    <xf numFmtId="10" fontId="16" fillId="0" borderId="1" xfId="1" applyNumberFormat="1" applyBorder="1" applyAlignment="1">
      <alignment horizontal="right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E7490"/>
      <rgbColor rgb="00D9D9D9"/>
      <rgbColor rgb="00878787"/>
      <rgbColor rgb="009999FF"/>
      <rgbColor rgb="007030A0"/>
      <rgbColor rgb="00FFFFCC"/>
      <rgbColor rgb="00EAF2F8"/>
      <rgbColor rgb="00660066"/>
      <rgbColor rgb="00FF8080"/>
      <rgbColor rgb="000066CC"/>
      <rgbColor rgb="00D0D7D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CE6F1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9CC00"/>
      <rgbColor rgb="00FFCC00"/>
      <rgbColor rgb="00FF9900"/>
      <rgbColor rgb="00ED7D31"/>
      <rgbColor rgb="005B4B8A"/>
      <rgbColor rgb="004F81BD"/>
      <rgbColor rgb="0016324F"/>
      <rgbColor rgb="002E7D32"/>
      <rgbColor rgb="00003300"/>
      <rgbColor rgb="00333300"/>
      <rgbColor rgb="00993300"/>
      <rgbColor rgb="00993366"/>
      <rgbColor rgb="001F4E78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Category Scorecard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Dashboard!$B$6:$G$6</c:f>
              <c:strCache>
                <c:ptCount val="6"/>
                <c:pt idx="0">
                  <c:v>Growth</c:v>
                </c:pt>
                <c:pt idx="1">
                  <c:v>Inflation</c:v>
                </c:pt>
                <c:pt idx="2">
                  <c:v>Liquidity</c:v>
                </c:pt>
                <c:pt idx="3">
                  <c:v>Valuation</c:v>
                </c:pt>
                <c:pt idx="4">
                  <c:v>Sentiment</c:v>
                </c:pt>
                <c:pt idx="5">
                  <c:v>Housing</c:v>
                </c:pt>
              </c:strCache>
            </c:strRef>
          </c:cat>
          <c:val>
            <c:numRef>
              <c:f>Dashboard!$B$7:$G$7</c:f>
              <c:numCache>
                <c:formatCode>0.00</c:formatCode>
                <c:ptCount val="6"/>
                <c:pt idx="0">
                  <c:v>0.36</c:v>
                </c:pt>
                <c:pt idx="1">
                  <c:v>0.33</c:v>
                </c:pt>
                <c:pt idx="2">
                  <c:v>-0.56999999999999995</c:v>
                </c:pt>
                <c:pt idx="3">
                  <c:v>-1</c:v>
                </c:pt>
                <c:pt idx="4">
                  <c:v>1</c:v>
                </c:pt>
                <c:pt idx="5">
                  <c:v>-0.33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7-40C0-A9FC-84ADAAB25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axId val="66057323"/>
        <c:axId val="59911920"/>
      </c:barChart>
      <c:catAx>
        <c:axId val="6605732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9911920"/>
        <c:crosses val="autoZero"/>
        <c:auto val="1"/>
        <c:lblAlgn val="ctr"/>
        <c:lblOffset val="100"/>
        <c:noMultiLvlLbl val="0"/>
      </c:catAx>
      <c:valAx>
        <c:axId val="59911920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6057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6d532ba-6f33-4eea-b983-c6c7bc6edc5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S01_纳斯达克100毛利率五年趋势!$K$7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S01_纳斯达克100毛利率五年趋势!$J$8:$J$27</c:f>
              <c:strCache>
                <c:ptCount val="20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</c:strCache>
            </c:strRef>
          </c:cat>
          <c:val>
            <c:numRef>
              <c:f>S01_纳斯达克100毛利率五年趋势!$K$8:$K$27</c:f>
              <c:numCache>
                <c:formatCode>0.0%;[Red]\(0.0%\);\-</c:formatCode>
                <c:ptCount val="20"/>
                <c:pt idx="0">
                  <c:v>0.50800000000000001</c:v>
                </c:pt>
                <c:pt idx="1">
                  <c:v>0.51200000000000001</c:v>
                </c:pt>
                <c:pt idx="2">
                  <c:v>0</c:v>
                </c:pt>
                <c:pt idx="3">
                  <c:v>0</c:v>
                </c:pt>
                <c:pt idx="4">
                  <c:v>0.505</c:v>
                </c:pt>
                <c:pt idx="5">
                  <c:v>0.498</c:v>
                </c:pt>
                <c:pt idx="6">
                  <c:v>0.49199999999999999</c:v>
                </c:pt>
                <c:pt idx="7">
                  <c:v>0.495</c:v>
                </c:pt>
                <c:pt idx="8">
                  <c:v>0.502</c:v>
                </c:pt>
                <c:pt idx="9">
                  <c:v>0.51</c:v>
                </c:pt>
                <c:pt idx="10">
                  <c:v>0.51800000000000002</c:v>
                </c:pt>
                <c:pt idx="11">
                  <c:v>0.52500000000000002</c:v>
                </c:pt>
                <c:pt idx="12">
                  <c:v>0.52800000000000002</c:v>
                </c:pt>
                <c:pt idx="13">
                  <c:v>0.53200000000000003</c:v>
                </c:pt>
                <c:pt idx="14">
                  <c:v>0.53500000000000003</c:v>
                </c:pt>
                <c:pt idx="15">
                  <c:v>0.53900000000000003</c:v>
                </c:pt>
                <c:pt idx="16">
                  <c:v>0.53800000000000003</c:v>
                </c:pt>
                <c:pt idx="17">
                  <c:v>0.54200000000000004</c:v>
                </c:pt>
                <c:pt idx="18">
                  <c:v>0.54500000000000004</c:v>
                </c:pt>
                <c:pt idx="19">
                  <c:v>0.54800000000000004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96-4DEA-B946-56635284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96257898"/>
        <c:axId val="74330609"/>
      </c:lineChart>
      <c:catAx>
        <c:axId val="962578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4330609"/>
        <c:crosses val="autoZero"/>
        <c:auto val="1"/>
        <c:lblAlgn val="ctr"/>
        <c:lblOffset val="100"/>
        <c:noMultiLvlLbl val="0"/>
      </c:catAx>
      <c:valAx>
        <c:axId val="7433060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纳斯达克100毛利率五年趋势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6257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51060846-0865-4549-8091-559d608ce90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S02_花旗标普500盈利上修动能指标!$K$7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S02_花旗标普500盈利上修动能指标!$J$8:$J$13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S02_花旗标普500盈利上修动能指标!$K$8:$K$13</c:f>
              <c:numCache>
                <c:formatCode>0.0%;[Red]\(0.0%\);\-</c:formatCode>
                <c:ptCount val="6"/>
                <c:pt idx="0">
                  <c:v>0.42</c:v>
                </c:pt>
                <c:pt idx="1">
                  <c:v>-0.18</c:v>
                </c:pt>
                <c:pt idx="2">
                  <c:v>0</c:v>
                </c:pt>
                <c:pt idx="3">
                  <c:v>0</c:v>
                </c:pt>
                <c:pt idx="4">
                  <c:v>-0.28000000000000003</c:v>
                </c:pt>
                <c:pt idx="5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1B-42A9-9722-98825FA98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3158490"/>
        <c:axId val="22969802"/>
      </c:lineChart>
      <c:catAx>
        <c:axId val="231584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2969802"/>
        <c:crosses val="autoZero"/>
        <c:auto val="1"/>
        <c:lblAlgn val="ctr"/>
        <c:lblOffset val="100"/>
        <c:noMultiLvlLbl val="0"/>
      </c:catAx>
      <c:valAx>
        <c:axId val="2296980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花旗标普500盈利上修动能指标 (Cit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3158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f0f984b1-b248-45a8-ba20-6efc43a2912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S03_TGA账户!$K$7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S03_TGA账户!$J$8:$J$28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S03_TGA账户!$K$8:$K$28</c:f>
              <c:numCache>
                <c:formatCode>#,##0.0;[Red]\(#,##0.0\);\-</c:formatCode>
                <c:ptCount val="21"/>
                <c:pt idx="0" formatCode="#,##0;[Red]\(#,##0\);\-">
                  <c:v>1122</c:v>
                </c:pt>
                <c:pt idx="1">
                  <c:v>852</c:v>
                </c:pt>
                <c:pt idx="2">
                  <c:v>0</c:v>
                </c:pt>
                <c:pt idx="3">
                  <c:v>0</c:v>
                </c:pt>
                <c:pt idx="4">
                  <c:v>628</c:v>
                </c:pt>
                <c:pt idx="5">
                  <c:v>757</c:v>
                </c:pt>
                <c:pt idx="6">
                  <c:v>636</c:v>
                </c:pt>
                <c:pt idx="7">
                  <c:v>447</c:v>
                </c:pt>
                <c:pt idx="8">
                  <c:v>178</c:v>
                </c:pt>
                <c:pt idx="9">
                  <c:v>402</c:v>
                </c:pt>
                <c:pt idx="10">
                  <c:v>661</c:v>
                </c:pt>
                <c:pt idx="11">
                  <c:v>769</c:v>
                </c:pt>
                <c:pt idx="12">
                  <c:v>745</c:v>
                </c:pt>
                <c:pt idx="13">
                  <c:v>755</c:v>
                </c:pt>
                <c:pt idx="14">
                  <c:v>818</c:v>
                </c:pt>
                <c:pt idx="15">
                  <c:v>702</c:v>
                </c:pt>
                <c:pt idx="16">
                  <c:v>325</c:v>
                </c:pt>
                <c:pt idx="17">
                  <c:v>650</c:v>
                </c:pt>
                <c:pt idx="18">
                  <c:v>835</c:v>
                </c:pt>
                <c:pt idx="19">
                  <c:v>820</c:v>
                </c:pt>
                <c:pt idx="20">
                  <c:v>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54-44AD-A5FF-864167AEF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68347026"/>
        <c:axId val="45017642"/>
      </c:lineChart>
      <c:catAx>
        <c:axId val="683470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5017642"/>
        <c:crosses val="autoZero"/>
        <c:auto val="1"/>
        <c:lblAlgn val="ctr"/>
        <c:lblOffset val="100"/>
        <c:noMultiLvlLbl val="0"/>
      </c:catAx>
      <c:valAx>
        <c:axId val="4501764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TGA账户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8347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ab88956-26d5-474c-8b8c-1a1cf3d471d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S04_标普500盈余惊喜!$K$7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S04_标普500盈余惊喜!$J$8:$J$27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S04_标普500盈余惊喜!$K$8:$K$27</c:f>
              <c:numCache>
                <c:formatCode>0.0%;[Red]\(0.0%\);\-</c:formatCode>
                <c:ptCount val="20"/>
                <c:pt idx="0">
                  <c:v>6.8000000000000005E-2</c:v>
                </c:pt>
                <c:pt idx="1">
                  <c:v>5.8999999999999997E-2</c:v>
                </c:pt>
                <c:pt idx="2">
                  <c:v>0</c:v>
                </c:pt>
                <c:pt idx="3">
                  <c:v>0</c:v>
                </c:pt>
                <c:pt idx="4">
                  <c:v>7.2999999999999995E-2</c:v>
                </c:pt>
                <c:pt idx="5">
                  <c:v>6.3E-2</c:v>
                </c:pt>
                <c:pt idx="6">
                  <c:v>0.109</c:v>
                </c:pt>
                <c:pt idx="7">
                  <c:v>8.7999999999999995E-2</c:v>
                </c:pt>
                <c:pt idx="8">
                  <c:v>6.7000000000000004E-2</c:v>
                </c:pt>
                <c:pt idx="9">
                  <c:v>8.1000000000000003E-2</c:v>
                </c:pt>
                <c:pt idx="10">
                  <c:v>7.9000000000000001E-2</c:v>
                </c:pt>
                <c:pt idx="11">
                  <c:v>6.5000000000000002E-2</c:v>
                </c:pt>
                <c:pt idx="12">
                  <c:v>1.2999999999999999E-2</c:v>
                </c:pt>
                <c:pt idx="13">
                  <c:v>3.2000000000000001E-2</c:v>
                </c:pt>
                <c:pt idx="14">
                  <c:v>5.0999999999999997E-2</c:v>
                </c:pt>
                <c:pt idx="15">
                  <c:v>4.5999999999999999E-2</c:v>
                </c:pt>
                <c:pt idx="16">
                  <c:v>5.8000000000000003E-2</c:v>
                </c:pt>
                <c:pt idx="17">
                  <c:v>0.10299999999999999</c:v>
                </c:pt>
                <c:pt idx="18">
                  <c:v>0.182</c:v>
                </c:pt>
                <c:pt idx="19">
                  <c:v>0.22500000000000001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C8-4BAA-87B9-BE991482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37921935"/>
        <c:axId val="11784015"/>
      </c:lineChart>
      <c:catAx>
        <c:axId val="379219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11784015"/>
        <c:crosses val="autoZero"/>
        <c:auto val="1"/>
        <c:lblAlgn val="ctr"/>
        <c:lblOffset val="100"/>
        <c:noMultiLvlLbl val="0"/>
      </c:catAx>
      <c:valAx>
        <c:axId val="1178401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盈余惊喜幅度 (Surprise 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79219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477cf8f-3055-4d61-8362-b681f6fa898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'S05_标普500的roic-wacc'!$K$7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'S05_标普500的roic-wacc'!$J$8:$J$27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'S05_标普500的roic-wacc'!$K$8:$K$27</c:f>
              <c:numCache>
                <c:formatCode>0.0%;[Red]\(0.0%\);\-</c:formatCode>
                <c:ptCount val="20"/>
                <c:pt idx="0">
                  <c:v>9.6000000000000002E-2</c:v>
                </c:pt>
                <c:pt idx="1">
                  <c:v>9.0999999999999998E-2</c:v>
                </c:pt>
                <c:pt idx="2">
                  <c:v>0</c:v>
                </c:pt>
                <c:pt idx="3">
                  <c:v>0</c:v>
                </c:pt>
                <c:pt idx="4">
                  <c:v>8.8999999999999996E-2</c:v>
                </c:pt>
                <c:pt idx="5">
                  <c:v>8.5000000000000006E-2</c:v>
                </c:pt>
                <c:pt idx="6">
                  <c:v>8.1000000000000003E-2</c:v>
                </c:pt>
                <c:pt idx="7">
                  <c:v>7.4999999999999997E-2</c:v>
                </c:pt>
                <c:pt idx="8">
                  <c:v>7.1999999999999995E-2</c:v>
                </c:pt>
                <c:pt idx="9">
                  <c:v>6.8000000000000005E-2</c:v>
                </c:pt>
                <c:pt idx="10">
                  <c:v>6.9000000000000006E-2</c:v>
                </c:pt>
                <c:pt idx="11">
                  <c:v>6.9000000000000006E-2</c:v>
                </c:pt>
                <c:pt idx="12">
                  <c:v>6.9000000000000006E-2</c:v>
                </c:pt>
                <c:pt idx="13">
                  <c:v>7.3999999999999996E-2</c:v>
                </c:pt>
                <c:pt idx="14">
                  <c:v>8.3000000000000004E-2</c:v>
                </c:pt>
                <c:pt idx="15">
                  <c:v>9.2999999999999999E-2</c:v>
                </c:pt>
                <c:pt idx="16">
                  <c:v>0.106</c:v>
                </c:pt>
                <c:pt idx="17">
                  <c:v>0.104</c:v>
                </c:pt>
                <c:pt idx="18">
                  <c:v>0.10299999999999999</c:v>
                </c:pt>
                <c:pt idx="19">
                  <c:v>9.8000000000000004E-2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E9-4602-AB88-01D181EA1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83017262"/>
        <c:axId val="80684655"/>
      </c:lineChart>
      <c:catAx>
        <c:axId val="830172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0684655"/>
        <c:crosses val="autoZero"/>
        <c:auto val="1"/>
        <c:lblAlgn val="ctr"/>
        <c:lblOffset val="100"/>
        <c:noMultiLvlLbl val="0"/>
      </c:catAx>
      <c:valAx>
        <c:axId val="8068465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ROIC-WACC Spread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3017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20acdc2d-cb43-49ef-92b0-02b8de45256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S06_纳斯达克营收增长!$K$7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S06_纳斯达克营收增长!$J$8:$J$27</c:f>
              <c:strCache>
                <c:ptCount val="20"/>
                <c:pt idx="0">
                  <c:v>AI 基础设施需求与 SaaS 订阅增长</c:v>
                </c:pt>
                <c:pt idx="1">
                  <c:v>云计算服务反弹及半导体板块走强</c:v>
                </c:pt>
                <c:pt idx="2">
                  <c:v>Data Source</c:v>
                </c:pt>
                <c:pt idx="3">
                  <c:v>Transform</c:v>
                </c:pt>
                <c:pt idx="4">
                  <c:v>AI 硬件（如 GPU）开始大幅贡献营收</c:v>
                </c:pt>
                <c:pt idx="5">
                  <c:v>软件行业受高利率压制，增长略有放缓</c:v>
                </c:pt>
                <c:pt idx="6">
                  <c:v>7</c:v>
                </c:pt>
                <c:pt idx="7">
                  <c:v>后疫情时代高基数压力减轻</c:v>
                </c:pt>
                <c:pt idx="8">
                  <c:v>经济衰退担忧下的企业支出紧缩期</c:v>
                </c:pt>
                <c:pt idx="9">
                  <c:v>过去5年低点，高利率环境影响深远</c:v>
                </c:pt>
                <c:pt idx="10">
                  <c:v>消费者支出从商品向服务转移</c:v>
                </c:pt>
                <c:pt idx="11">
                  <c:v>硅谷银行危机后的短期市场波动</c:v>
                </c:pt>
                <c:pt idx="12">
                  <c:v>通胀见顶，美联储激进加息初期</c:v>
                </c:pt>
                <c:pt idx="13">
                  <c:v>供应链问题缓解，硬件交付加快</c:v>
                </c:pt>
                <c:pt idx="14">
                  <c:v>能源价格上涨与美元走强干扰增长</c:v>
                </c:pt>
                <c:pt idx="15">
                  <c:v>疫情红利逐渐消退的过渡期</c:v>
                </c:pt>
                <c:pt idx="16">
                  <c:v>线上消费与数字化转型的巅峰期</c:v>
                </c:pt>
                <c:pt idx="17">
                  <c:v>全球经济全面重启</c:v>
                </c:pt>
                <c:pt idx="18">
                  <c:v>19</c:v>
                </c:pt>
                <c:pt idx="19">
                  <c:v>远程办公硬件与软件需求激增</c:v>
                </c:pt>
              </c:strCache>
            </c:strRef>
          </c:cat>
          <c:val>
            <c:numRef>
              <c:f>S06_纳斯达克营收增长!$K$8:$K$27</c:f>
              <c:numCache>
                <c:formatCode>0.0%;[Red]\(0.0%\);\-</c:formatCode>
                <c:ptCount val="20"/>
                <c:pt idx="0">
                  <c:v>0.124</c:v>
                </c:pt>
                <c:pt idx="1">
                  <c:v>0.11799999999999999</c:v>
                </c:pt>
                <c:pt idx="2">
                  <c:v>0</c:v>
                </c:pt>
                <c:pt idx="3">
                  <c:v>0</c:v>
                </c:pt>
                <c:pt idx="4">
                  <c:v>8.5999999999999993E-2</c:v>
                </c:pt>
                <c:pt idx="5">
                  <c:v>7.1999999999999995E-2</c:v>
                </c:pt>
                <c:pt idx="6">
                  <c:v>6.5000000000000002E-2</c:v>
                </c:pt>
                <c:pt idx="7">
                  <c:v>5.8999999999999997E-2</c:v>
                </c:pt>
                <c:pt idx="8">
                  <c:v>4.8000000000000001E-2</c:v>
                </c:pt>
                <c:pt idx="9">
                  <c:v>3.9E-2</c:v>
                </c:pt>
                <c:pt idx="10">
                  <c:v>4.2000000000000003E-2</c:v>
                </c:pt>
                <c:pt idx="11">
                  <c:v>5.0999999999999997E-2</c:v>
                </c:pt>
                <c:pt idx="12">
                  <c:v>7.2999999999999995E-2</c:v>
                </c:pt>
                <c:pt idx="13">
                  <c:v>9.8000000000000004E-2</c:v>
                </c:pt>
                <c:pt idx="14">
                  <c:v>0.125</c:v>
                </c:pt>
                <c:pt idx="15">
                  <c:v>0.14199999999999999</c:v>
                </c:pt>
                <c:pt idx="16">
                  <c:v>0.17799999999999999</c:v>
                </c:pt>
                <c:pt idx="17">
                  <c:v>0.215</c:v>
                </c:pt>
                <c:pt idx="18">
                  <c:v>0.28399999999999997</c:v>
                </c:pt>
                <c:pt idx="19">
                  <c:v>0.19600000000000001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DE-404B-8C24-C111702D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89458236"/>
        <c:axId val="64476991"/>
      </c:lineChart>
      <c:catAx>
        <c:axId val="894582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4476991"/>
        <c:crosses val="autoZero"/>
        <c:auto val="1"/>
        <c:lblAlgn val="ctr"/>
        <c:lblOffset val="100"/>
        <c:noMultiLvlLbl val="0"/>
      </c:catAx>
      <c:valAx>
        <c:axId val="6447699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营收同比增长率 (YoY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94582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cccd825-b95a-4880-b460-37c851e75fd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S07_标普500的ERP!$K$7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S07_标普500的ERP!$J$8:$J$27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S07_标普500的ERP!$K$8:$K$27</c:f>
              <c:numCache>
                <c:formatCode>0.0%;[Red]\(0.0%\);\-</c:formatCode>
                <c:ptCount val="20"/>
                <c:pt idx="0">
                  <c:v>3.2000000000000002E-3</c:v>
                </c:pt>
                <c:pt idx="1">
                  <c:v>1.9E-3</c:v>
                </c:pt>
                <c:pt idx="2">
                  <c:v>0</c:v>
                </c:pt>
                <c:pt idx="3">
                  <c:v>0</c:v>
                </c:pt>
                <c:pt idx="4">
                  <c:v>9.7999999999999997E-3</c:v>
                </c:pt>
                <c:pt idx="5">
                  <c:v>1.0500000000000001E-2</c:v>
                </c:pt>
                <c:pt idx="6">
                  <c:v>7.1000000000000004E-3</c:v>
                </c:pt>
                <c:pt idx="7">
                  <c:v>9.9000000000000008E-3</c:v>
                </c:pt>
                <c:pt idx="8">
                  <c:v>1.4200000000000001E-2</c:v>
                </c:pt>
                <c:pt idx="9">
                  <c:v>1.11E-2</c:v>
                </c:pt>
                <c:pt idx="10">
                  <c:v>1.6899999999999998E-2</c:v>
                </c:pt>
                <c:pt idx="11">
                  <c:v>2.3099999999999999E-2</c:v>
                </c:pt>
                <c:pt idx="12">
                  <c:v>2.1600000000000001E-2</c:v>
                </c:pt>
                <c:pt idx="13">
                  <c:v>2.7799999999999998E-2</c:v>
                </c:pt>
                <c:pt idx="14">
                  <c:v>3.3300000000000003E-2</c:v>
                </c:pt>
                <c:pt idx="15">
                  <c:v>3.1099999999999999E-2</c:v>
                </c:pt>
                <c:pt idx="16">
                  <c:v>3.2199999999999999E-2</c:v>
                </c:pt>
                <c:pt idx="17">
                  <c:v>3.4000000000000002E-2</c:v>
                </c:pt>
                <c:pt idx="18">
                  <c:v>3.15E-2</c:v>
                </c:pt>
                <c:pt idx="19">
                  <c:v>2.8899999999999999E-2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92-4D97-AF43-97B7D632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65673431"/>
        <c:axId val="26650486"/>
      </c:lineChart>
      <c:catAx>
        <c:axId val="6567343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6650486"/>
        <c:crosses val="autoZero"/>
        <c:auto val="1"/>
        <c:lblAlgn val="ctr"/>
        <c:lblOffset val="100"/>
        <c:noMultiLvlLbl val="0"/>
      </c:catAx>
      <c:valAx>
        <c:axId val="2665048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ERP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5673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93b6e2e3-5be1-454e-9dfb-9e20ead3934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'S08_标普500的花旗盈利修正指数 (ERI)'!$K$7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'S08_标普500的花旗盈利修正指数 (ERI)'!$J$8:$J$27</c:f>
              <c:strCache>
                <c:ptCount val="20"/>
                <c:pt idx="0">
                  <c:v>小幅上修 (AI 相关板块情绪企稳)</c:v>
                </c:pt>
                <c:pt idx="1">
                  <c:v>小幅下修 (周期性板块担忧)</c:v>
                </c:pt>
                <c:pt idx="2">
                  <c:v>Data Source</c:v>
                </c:pt>
                <c:pt idx="3">
                  <c:v>Transform</c:v>
                </c:pt>
                <c:pt idx="4">
                  <c:v>持平 (多空修正相抵)</c:v>
                </c:pt>
                <c:pt idx="5">
                  <c:v>下修 (受软件行业财报低迷拖累)</c:v>
                </c:pt>
                <c:pt idx="6">
                  <c:v>小幅上修 (大型科技股盈利强劲)</c:v>
                </c:pt>
                <c:pt idx="7">
                  <c:v>小幅下修 (典型季节性审慎)</c:v>
                </c:pt>
                <c:pt idx="8">
                  <c:v>明显下修 (对衰退风险的最后担忧)</c:v>
                </c:pt>
                <c:pt idx="9">
                  <c:v>小幅上修 (三季度财报表现韧性)</c:v>
                </c:pt>
                <c:pt idx="10">
                  <c:v>持平 (银行业危机后的观察期)</c:v>
                </c:pt>
                <c:pt idx="11">
                  <c:v>明显下修 (地区性银行危机冲击)</c:v>
                </c:pt>
                <c:pt idx="12">
                  <c:v>极度下修 (能源价格及高通胀压力)</c:v>
                </c:pt>
                <c:pt idx="13">
                  <c:v>明显下修 (加息周期全速开启)</c:v>
                </c:pt>
                <c:pt idx="14">
                  <c:v>下修 (库存积压及成本上升)</c:v>
                </c:pt>
                <c:pt idx="15">
                  <c:v>小幅上修 (疫情后复苏余温)</c:v>
                </c:pt>
                <c:pt idx="16">
                  <c:v>强劲上修 (供应链压力缓解)</c:v>
                </c:pt>
                <c:pt idx="17">
                  <c:v>强劲上修 (报复性消费驱动)</c:v>
                </c:pt>
                <c:pt idx="18">
                  <c:v>巅峰上修 (历史上最强劲的盈利回升期)</c:v>
                </c:pt>
                <c:pt idx="19">
                  <c:v>强劲上修 (政策刺激与低基数效应)</c:v>
                </c:pt>
              </c:strCache>
            </c:strRef>
          </c:cat>
          <c:val>
            <c:numRef>
              <c:f>'S08_标普500的花旗盈利修正指数 (ERI)'!$K$8:$K$27</c:f>
              <c:numCache>
                <c:formatCode>0.0%;[Red]\(0.0%\);\-</c:formatCode>
                <c:ptCount val="20"/>
                <c:pt idx="0">
                  <c:v>0.08</c:v>
                </c:pt>
                <c:pt idx="1">
                  <c:v>-0.05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-0.12</c:v>
                </c:pt>
                <c:pt idx="6">
                  <c:v>0.05</c:v>
                </c:pt>
                <c:pt idx="7">
                  <c:v>-0.08</c:v>
                </c:pt>
                <c:pt idx="8">
                  <c:v>-0.18</c:v>
                </c:pt>
                <c:pt idx="9">
                  <c:v>0.04</c:v>
                </c:pt>
                <c:pt idx="10">
                  <c:v>-0.02</c:v>
                </c:pt>
                <c:pt idx="11">
                  <c:v>-0.25</c:v>
                </c:pt>
                <c:pt idx="12">
                  <c:v>-0.35</c:v>
                </c:pt>
                <c:pt idx="13">
                  <c:v>-0.28000000000000003</c:v>
                </c:pt>
                <c:pt idx="14">
                  <c:v>-0.15</c:v>
                </c:pt>
                <c:pt idx="15">
                  <c:v>0.1</c:v>
                </c:pt>
                <c:pt idx="16">
                  <c:v>0.22</c:v>
                </c:pt>
                <c:pt idx="17">
                  <c:v>0.35</c:v>
                </c:pt>
                <c:pt idx="18">
                  <c:v>0.48</c:v>
                </c:pt>
                <c:pt idx="19">
                  <c:v>0.55000000000000004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DF-4575-94FC-C5619C509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30523217"/>
        <c:axId val="77388293"/>
      </c:lineChart>
      <c:catAx>
        <c:axId val="3052321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7388293"/>
        <c:crosses val="autoZero"/>
        <c:auto val="1"/>
        <c:lblAlgn val="ctr"/>
        <c:lblOffset val="100"/>
        <c:noMultiLvlLbl val="0"/>
      </c:catAx>
      <c:valAx>
        <c:axId val="7738829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花旗盈利修正指数 (Citi ERI)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0523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068c8108-f7cb-4f8c-b6f7-2cd16fd7f33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'S09_标普500的花旗经济意外指数 (CESI US)'!$K$7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'S09_标普500的花旗经济意外指数 (CESI US)'!$J$8:$J$27</c:f>
              <c:strCache>
                <c:ptCount val="20"/>
                <c:pt idx="0">
                  <c:v>小幅好于预期 (经济软着陆迹象)</c:v>
                </c:pt>
                <c:pt idx="1">
                  <c:v>基本持平 (政策切换期的观望)</c:v>
                </c:pt>
                <c:pt idx="2">
                  <c:v>Data Source</c:v>
                </c:pt>
                <c:pt idx="3">
                  <c:v>Transform</c:v>
                </c:pt>
                <c:pt idx="4">
                  <c:v>稳步好于预期 (就业市场韧性)</c:v>
                </c:pt>
                <c:pt idx="5">
                  <c:v>不及预期 (高利率对消费的滞后打击)</c:v>
                </c:pt>
                <c:pt idx="6">
                  <c:v>明显不及预期 (二季度宏观数据集体走弱)</c:v>
                </c:pt>
                <c:pt idx="7">
                  <c:v>好于预期 (通胀降温速度快于预期)</c:v>
                </c:pt>
                <c:pt idx="8">
                  <c:v>小幅好于预期 (假日零售季表现平稳)</c:v>
                </c:pt>
                <c:pt idx="9">
                  <c:v>大幅超预期 (美国经济表现出惊人韧性)</c:v>
                </c:pt>
                <c:pt idx="10">
                  <c:v>好于预期 (衰退预言再次落空)</c:v>
                </c:pt>
                <c:pt idx="11">
                  <c:v>好于预期 (一月非农数据引发的巨震)</c:v>
                </c:pt>
                <c:pt idx="12">
                  <c:v>小幅不及预期 (加息压力显现)</c:v>
                </c:pt>
                <c:pt idx="13">
                  <c:v>好于预期 (企业支出保持稳健)</c:v>
                </c:pt>
                <c:pt idx="14">
                  <c:v>明显不及预期 (通胀爆表及经济增长放缓)</c:v>
                </c:pt>
                <c:pt idx="15">
                  <c:v>小幅好于预期 (奥密克戎疫情后复苏)</c:v>
                </c:pt>
                <c:pt idx="16">
                  <c:v>好于预期 (强劲的节前消费)</c:v>
                </c:pt>
                <c:pt idx="17">
                  <c:v>大幅不及预期 (德尔塔病毒及供应链危机)</c:v>
                </c:pt>
                <c:pt idx="18">
                  <c:v>小幅好于预期 (全面重启初期)</c:v>
                </c:pt>
                <c:pt idx="19">
                  <c:v>好于预期 (新一轮财政刺激落地)</c:v>
                </c:pt>
              </c:strCache>
            </c:strRef>
          </c:cat>
          <c:val>
            <c:numRef>
              <c:f>'S09_标普500的花旗经济意外指数 (CESI US)'!$K$8:$K$27</c:f>
              <c:numCache>
                <c:formatCode>#,##0.0;[Red]\(#,##0.0\);\-</c:formatCode>
                <c:ptCount val="20"/>
                <c:pt idx="0">
                  <c:v>12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-15</c:v>
                </c:pt>
                <c:pt idx="6">
                  <c:v>-20</c:v>
                </c:pt>
                <c:pt idx="7">
                  <c:v>25</c:v>
                </c:pt>
                <c:pt idx="8">
                  <c:v>10</c:v>
                </c:pt>
                <c:pt idx="9">
                  <c:v>60</c:v>
                </c:pt>
                <c:pt idx="10">
                  <c:v>30</c:v>
                </c:pt>
                <c:pt idx="11">
                  <c:v>40</c:v>
                </c:pt>
                <c:pt idx="12">
                  <c:v>-10</c:v>
                </c:pt>
                <c:pt idx="13">
                  <c:v>20</c:v>
                </c:pt>
                <c:pt idx="14">
                  <c:v>-40</c:v>
                </c:pt>
                <c:pt idx="15">
                  <c:v>10</c:v>
                </c:pt>
                <c:pt idx="16">
                  <c:v>30</c:v>
                </c:pt>
                <c:pt idx="17">
                  <c:v>-50</c:v>
                </c:pt>
                <c:pt idx="18">
                  <c:v>20</c:v>
                </c:pt>
                <c:pt idx="19">
                  <c:v>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D8-4229-BDC0-893F5C0FF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94827700"/>
        <c:axId val="17424671"/>
      </c:lineChart>
      <c:catAx>
        <c:axId val="948277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17424671"/>
        <c:crosses val="autoZero"/>
        <c:auto val="1"/>
        <c:lblAlgn val="ctr"/>
        <c:lblOffset val="100"/>
        <c:noMultiLvlLbl val="0"/>
      </c:catAx>
      <c:valAx>
        <c:axId val="1742467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花旗经济意外指数 (CESI US)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48277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c241d16-7657-4a5a-9b49-cd583cd4870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S10_主权基金净流入情况!$K$7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S10_主权基金净流入情况!$J$8:$J$27</c:f>
              <c:strCache>
                <c:ptCount val="20"/>
                <c:pt idx="0">
                  <c:v>Global SWF</c:v>
                </c:pt>
                <c:pt idx="1">
                  <c:v>SWFI</c:v>
                </c:pt>
                <c:pt idx="2">
                  <c:v>Data Source</c:v>
                </c:pt>
                <c:pt idx="3">
                  <c:v>Transform</c:v>
                </c:pt>
                <c:pt idx="4">
                  <c:v>大选后波动率下降，资金回流大盘股-SWFI</c:v>
                </c:pt>
                <c:pt idx="5">
                  <c:v>避险情绪升温，流入速度放缓-Global SWF</c:v>
                </c:pt>
                <c:pt idx="6">
                  <c:v>IFSWF</c:v>
                </c:pt>
                <c:pt idx="7">
                  <c:v>SWFI</c:v>
                </c:pt>
                <c:pt idx="8">
                  <c:v>利率见顶预期明确，主权基金从债市回流股市-Global SWF</c:v>
                </c:pt>
                <c:pt idx="9">
                  <c:v>低点：受高利率打击，对美股持谨慎态度-SWFI</c:v>
                </c:pt>
                <c:pt idx="10">
                  <c:v>沙特 PIF 逆势加仓美股科技及游戏板块-Global SWF</c:v>
                </c:pt>
                <c:pt idx="11">
                  <c:v>银行危机期间的战术性回避-IFSWF</c:v>
                </c:pt>
                <c:pt idx="12">
                  <c:v>SWFI</c:v>
                </c:pt>
                <c:pt idx="13">
                  <c:v>Global SWF</c:v>
                </c:pt>
                <c:pt idx="14">
                  <c:v>能源价格暴涨，海湾国家基金流动性极其充沛-IFSWF</c:v>
                </c:pt>
                <c:pt idx="15">
                  <c:v>俄乌冲突初期引发的全球资产配置重新审视-SWFI</c:v>
                </c:pt>
                <c:pt idx="16">
                  <c:v>高点：后疫情时代全球流动性泛滥顶峰-Global SWF</c:v>
                </c:pt>
                <c:pt idx="17">
                  <c:v>阿布扎比与卡塔尔基金积极参与美股 IPO-Global SWF</c:v>
                </c:pt>
                <c:pt idx="18">
                  <c:v>历史峰值：全球经济重启带来的强劲资金流-SWFI</c:v>
                </c:pt>
                <c:pt idx="19">
                  <c:v>对拜登政府财政刺激计划的信心投票-IFSWF</c:v>
                </c:pt>
              </c:strCache>
            </c:strRef>
          </c:cat>
          <c:val>
            <c:numRef>
              <c:f>S10_主权基金净流入情况!$K$8:$K$27</c:f>
              <c:numCache>
                <c:formatCode>#,##0.0;[Red]\(#,##0.0\);\-</c:formatCode>
                <c:ptCount val="20"/>
                <c:pt idx="0">
                  <c:v>42.5</c:v>
                </c:pt>
                <c:pt idx="1">
                  <c:v>38.200000000000003</c:v>
                </c:pt>
                <c:pt idx="2">
                  <c:v>0</c:v>
                </c:pt>
                <c:pt idx="3">
                  <c:v>0</c:v>
                </c:pt>
                <c:pt idx="4">
                  <c:v>35.5</c:v>
                </c:pt>
                <c:pt idx="5">
                  <c:v>28</c:v>
                </c:pt>
                <c:pt idx="6">
                  <c:v>31.2</c:v>
                </c:pt>
                <c:pt idx="7">
                  <c:v>39.5</c:v>
                </c:pt>
                <c:pt idx="8">
                  <c:v>22.4</c:v>
                </c:pt>
                <c:pt idx="9">
                  <c:v>15.8</c:v>
                </c:pt>
                <c:pt idx="10">
                  <c:v>26.7</c:v>
                </c:pt>
                <c:pt idx="11">
                  <c:v>18.5</c:v>
                </c:pt>
                <c:pt idx="12">
                  <c:v>33</c:v>
                </c:pt>
                <c:pt idx="13">
                  <c:v>12.5</c:v>
                </c:pt>
                <c:pt idx="14">
                  <c:v>19.8</c:v>
                </c:pt>
                <c:pt idx="15">
                  <c:v>24.2</c:v>
                </c:pt>
                <c:pt idx="16">
                  <c:v>52</c:v>
                </c:pt>
                <c:pt idx="17">
                  <c:v>48.5</c:v>
                </c:pt>
                <c:pt idx="18">
                  <c:v>55.6</c:v>
                </c:pt>
                <c:pt idx="19">
                  <c:v>50.2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E0-4208-BA49-BC4D188D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6476820"/>
        <c:axId val="69926058"/>
      </c:lineChart>
      <c:catAx>
        <c:axId val="64768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9926058"/>
        <c:crosses val="autoZero"/>
        <c:auto val="1"/>
        <c:lblAlgn val="ctr"/>
        <c:lblOffset val="100"/>
        <c:noMultiLvlLbl val="0"/>
      </c:catAx>
      <c:valAx>
        <c:axId val="6992605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净流入估算 (Est. Net Infl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4768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a7cf96d9-48be-436b-95ec-bf37f8ef25a1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'S11_标普500的现金流 PEG'!$K$7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'S11_标普500的现金流 PEG'!$J$8:$J$27</c:f>
              <c:strCache>
                <c:ptCount val="20"/>
                <c:pt idx="0">
                  <c:v>偏高</c:v>
                </c:pt>
                <c:pt idx="1">
                  <c:v>偏高</c:v>
                </c:pt>
                <c:pt idx="2">
                  <c:v>Data Source</c:v>
                </c:pt>
                <c:pt idx="3">
                  <c:v>Transform</c:v>
                </c:pt>
                <c:pt idx="4">
                  <c:v>中性</c:v>
                </c:pt>
                <c:pt idx="5">
                  <c:v>中性</c:v>
                </c:pt>
                <c:pt idx="6">
                  <c:v>中性</c:v>
                </c:pt>
                <c:pt idx="7">
                  <c:v>中性</c:v>
                </c:pt>
                <c:pt idx="8">
                  <c:v>中性</c:v>
                </c:pt>
                <c:pt idx="9">
                  <c:v>中性</c:v>
                </c:pt>
                <c:pt idx="10">
                  <c:v>略高</c:v>
                </c:pt>
                <c:pt idx="11">
                  <c:v>偏高 (增长预期低迷)</c:v>
                </c:pt>
                <c:pt idx="12">
                  <c:v>中性</c:v>
                </c:pt>
                <c:pt idx="13">
                  <c:v>低估 (性价比极高)</c:v>
                </c:pt>
                <c:pt idx="14">
                  <c:v>较低</c:v>
                </c:pt>
                <c:pt idx="15">
                  <c:v>中性</c:v>
                </c:pt>
                <c:pt idx="16">
                  <c:v>低估 (增长极强)</c:v>
                </c:pt>
                <c:pt idx="17">
                  <c:v>极度低估 (黄金期)</c:v>
                </c:pt>
                <c:pt idx="18">
                  <c:v>极度低估</c:v>
                </c:pt>
                <c:pt idx="19">
                  <c:v>极度低估</c:v>
                </c:pt>
              </c:strCache>
            </c:strRef>
          </c:cat>
          <c:val>
            <c:numRef>
              <c:f>'S11_标普500的现金流 PEG'!$K$8:$K$27</c:f>
              <c:numCache>
                <c:formatCode>#,##0.0;[Red]\(#,##0.0\);\-</c:formatCode>
                <c:ptCount val="20"/>
                <c:pt idx="0">
                  <c:v>1.5</c:v>
                </c:pt>
                <c:pt idx="1">
                  <c:v>1.53</c:v>
                </c:pt>
                <c:pt idx="2">
                  <c:v>0</c:v>
                </c:pt>
                <c:pt idx="3">
                  <c:v>0</c:v>
                </c:pt>
                <c:pt idx="4">
                  <c:v>1.42</c:v>
                </c:pt>
                <c:pt idx="5">
                  <c:v>1.45</c:v>
                </c:pt>
                <c:pt idx="6">
                  <c:v>1.45</c:v>
                </c:pt>
                <c:pt idx="7">
                  <c:v>1.47</c:v>
                </c:pt>
                <c:pt idx="8">
                  <c:v>1.45</c:v>
                </c:pt>
                <c:pt idx="9">
                  <c:v>1.44</c:v>
                </c:pt>
                <c:pt idx="10">
                  <c:v>1.52</c:v>
                </c:pt>
                <c:pt idx="11">
                  <c:v>1.57</c:v>
                </c:pt>
                <c:pt idx="12">
                  <c:v>1.44</c:v>
                </c:pt>
                <c:pt idx="13">
                  <c:v>1.32</c:v>
                </c:pt>
                <c:pt idx="14">
                  <c:v>1.35</c:v>
                </c:pt>
                <c:pt idx="15">
                  <c:v>1.47</c:v>
                </c:pt>
                <c:pt idx="16">
                  <c:v>1.26</c:v>
                </c:pt>
                <c:pt idx="17">
                  <c:v>1.0900000000000001</c:v>
                </c:pt>
                <c:pt idx="18">
                  <c:v>1.03</c:v>
                </c:pt>
                <c:pt idx="19">
                  <c:v>1.0900000000000001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9B-4C62-AF7E-0362E7A0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89278410"/>
        <c:axId val="30978623"/>
      </c:lineChart>
      <c:catAx>
        <c:axId val="892784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0978623"/>
        <c:crosses val="autoZero"/>
        <c:auto val="1"/>
        <c:lblAlgn val="ctr"/>
        <c:lblOffset val="100"/>
        <c:noMultiLvlLbl val="0"/>
      </c:catAx>
      <c:valAx>
        <c:axId val="3097862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现金流 PEG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92784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b096ede-9170-476f-9e82-38d3649abf0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'S12_标普500的真实股东收益率（Total Shareho'!$K$7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'S12_标普500的真实股东收益率（Total Shareho'!$J$8:$J$27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'S12_标普500的真实股东收益率（Total Shareho'!$K$8:$K$27</c:f>
              <c:numCache>
                <c:formatCode>0.0%;[Red]\(0.0%\);\-</c:formatCode>
                <c:ptCount val="20"/>
                <c:pt idx="0">
                  <c:v>3.1E-2</c:v>
                </c:pt>
                <c:pt idx="1">
                  <c:v>3.1800000000000002E-2</c:v>
                </c:pt>
                <c:pt idx="2">
                  <c:v>0</c:v>
                </c:pt>
                <c:pt idx="3">
                  <c:v>0</c:v>
                </c:pt>
                <c:pt idx="4">
                  <c:v>3.5700000000000003E-2</c:v>
                </c:pt>
                <c:pt idx="5">
                  <c:v>3.3000000000000002E-2</c:v>
                </c:pt>
                <c:pt idx="6">
                  <c:v>3.1800000000000002E-2</c:v>
                </c:pt>
                <c:pt idx="7">
                  <c:v>3.15E-2</c:v>
                </c:pt>
                <c:pt idx="8">
                  <c:v>3.15E-2</c:v>
                </c:pt>
                <c:pt idx="9">
                  <c:v>3.0700000000000002E-2</c:v>
                </c:pt>
                <c:pt idx="10">
                  <c:v>3.3799999999999997E-2</c:v>
                </c:pt>
                <c:pt idx="11">
                  <c:v>3.85E-2</c:v>
                </c:pt>
                <c:pt idx="12">
                  <c:v>4.2200000000000001E-2</c:v>
                </c:pt>
                <c:pt idx="13">
                  <c:v>4.65E-2</c:v>
                </c:pt>
                <c:pt idx="14">
                  <c:v>4.8800000000000003E-2</c:v>
                </c:pt>
                <c:pt idx="15">
                  <c:v>4.9500000000000002E-2</c:v>
                </c:pt>
                <c:pt idx="16">
                  <c:v>4.9500000000000002E-2</c:v>
                </c:pt>
                <c:pt idx="17">
                  <c:v>4.7800000000000002E-2</c:v>
                </c:pt>
                <c:pt idx="18">
                  <c:v>4.4699999999999997E-2</c:v>
                </c:pt>
                <c:pt idx="19">
                  <c:v>3.9800000000000002E-2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10-4A4C-93A9-65CCBB5FA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8533577"/>
        <c:axId val="67239373"/>
      </c:lineChart>
      <c:catAx>
        <c:axId val="2853357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7239373"/>
        <c:crosses val="autoZero"/>
        <c:auto val="1"/>
        <c:lblAlgn val="ctr"/>
        <c:lblOffset val="100"/>
        <c:noMultiLvlLbl val="0"/>
      </c:catAx>
      <c:valAx>
        <c:axId val="6723937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TSY (A+B)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85335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e2dff7c6-7966-46e4-956b-b2b4376e30d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S13_AAII个人投资者净看多比例!$K$7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S13_AAII个人投资者净看多比例!$J$8:$J$27</c:f>
              <c:strCache>
                <c:ptCount val="20"/>
                <c:pt idx="0">
                  <c:v>极度乐观 (贪婪)</c:v>
                </c:pt>
                <c:pt idx="1">
                  <c:v>乐观</c:v>
                </c:pt>
                <c:pt idx="2">
                  <c:v>Data Source</c:v>
                </c:pt>
                <c:pt idx="3">
                  <c:v>Transform</c:v>
                </c:pt>
                <c:pt idx="4">
                  <c:v>极度乐观</c:v>
                </c:pt>
                <c:pt idx="5">
                  <c:v>乐观</c:v>
                </c:pt>
                <c:pt idx="6">
                  <c:v>中性偏乐观</c:v>
                </c:pt>
                <c:pt idx="7">
                  <c:v>乐观</c:v>
                </c:pt>
                <c:pt idx="8">
                  <c:v>乐观</c:v>
                </c:pt>
                <c:pt idx="9">
                  <c:v>中性</c:v>
                </c:pt>
                <c:pt idx="10">
                  <c:v>忧虑</c:v>
                </c:pt>
                <c:pt idx="11">
                  <c:v>显著悲观</c:v>
                </c:pt>
                <c:pt idx="12">
                  <c:v>极度悲观 (恐慌)</c:v>
                </c:pt>
                <c:pt idx="13">
                  <c:v>极度悲观 (底部区)</c:v>
                </c:pt>
                <c:pt idx="14">
                  <c:v>极度悲观 (恐慌)</c:v>
                </c:pt>
                <c:pt idx="15">
                  <c:v>悲观</c:v>
                </c:pt>
                <c:pt idx="16">
                  <c:v>乐观</c:v>
                </c:pt>
                <c:pt idx="17">
                  <c:v>中性偏乐观</c:v>
                </c:pt>
                <c:pt idx="18">
                  <c:v>极度贪婪</c:v>
                </c:pt>
                <c:pt idx="19">
                  <c:v>极度贪婪</c:v>
                </c:pt>
              </c:strCache>
            </c:strRef>
          </c:cat>
          <c:val>
            <c:numRef>
              <c:f>S13_AAII个人投资者净看多比例!$K$8:$K$27</c:f>
              <c:numCache>
                <c:formatCode>0.0%;[Red]\(0.0%\);\-</c:formatCode>
                <c:ptCount val="20"/>
                <c:pt idx="0">
                  <c:v>0.26400000000000001</c:v>
                </c:pt>
                <c:pt idx="1">
                  <c:v>0.16400000000000001</c:v>
                </c:pt>
                <c:pt idx="2">
                  <c:v>0</c:v>
                </c:pt>
                <c:pt idx="3">
                  <c:v>0</c:v>
                </c:pt>
                <c:pt idx="4">
                  <c:v>0.217</c:v>
                </c:pt>
                <c:pt idx="5">
                  <c:v>0.113</c:v>
                </c:pt>
                <c:pt idx="6">
                  <c:v>7.6999999999999999E-2</c:v>
                </c:pt>
                <c:pt idx="7">
                  <c:v>0.193</c:v>
                </c:pt>
                <c:pt idx="8">
                  <c:v>0.153</c:v>
                </c:pt>
                <c:pt idx="9">
                  <c:v>4.2999999999999997E-2</c:v>
                </c:pt>
                <c:pt idx="10">
                  <c:v>-3.4000000000000002E-2</c:v>
                </c:pt>
                <c:pt idx="11">
                  <c:v>-0.17699999999999999</c:v>
                </c:pt>
                <c:pt idx="12">
                  <c:v>-0.25700000000000001</c:v>
                </c:pt>
                <c:pt idx="13">
                  <c:v>-0.307</c:v>
                </c:pt>
                <c:pt idx="14">
                  <c:v>-0.34300000000000003</c:v>
                </c:pt>
                <c:pt idx="15">
                  <c:v>-0.154</c:v>
                </c:pt>
                <c:pt idx="16">
                  <c:v>0.127</c:v>
                </c:pt>
                <c:pt idx="17">
                  <c:v>8.3000000000000004E-2</c:v>
                </c:pt>
                <c:pt idx="18">
                  <c:v>0.29699999999999999</c:v>
                </c:pt>
                <c:pt idx="19">
                  <c:v>0.25700000000000001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FC-44E2-BB3D-9C0678C52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79497176"/>
        <c:axId val="45324002"/>
      </c:lineChart>
      <c:catAx>
        <c:axId val="7949717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5324002"/>
        <c:crosses val="autoZero"/>
        <c:auto val="1"/>
        <c:lblAlgn val="ctr"/>
        <c:lblOffset val="100"/>
        <c:noMultiLvlLbl val="0"/>
      </c:catAx>
      <c:valAx>
        <c:axId val="4532400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净看多比例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9497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8dbf7934-0559-4dad-af4b-463d30445ca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'S14_Market Vane 股市看涨情绪'!$K$7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'S14_Market Vane 股市看涨情绪'!$J$8:$J$27</c:f>
              <c:strCache>
                <c:ptCount val="20"/>
                <c:pt idx="0">
                  <c:v>偏高 (贪婪)-市场定价 AI 商业化全面落地</c:v>
                </c:pt>
                <c:pt idx="1">
                  <c:v>乐观-降息预期后的震荡上行</c:v>
                </c:pt>
                <c:pt idx="2">
                  <c:v>Data Source</c:v>
                </c:pt>
                <c:pt idx="3">
                  <c:v>Transform</c:v>
                </c:pt>
                <c:pt idx="4">
                  <c:v>乐观-软着陆预期成为市场共识</c:v>
                </c:pt>
                <c:pt idx="5">
                  <c:v>中性偏乐观-季末出现获利回吐压力</c:v>
                </c:pt>
                <c:pt idx="6">
                  <c:v>乐观-财报季表现稳健支撑情绪</c:v>
                </c:pt>
                <c:pt idx="7">
                  <c:v>偏高-AI 硬件股（NVDA等）暴涨引发</c:v>
                </c:pt>
                <c:pt idx="8">
                  <c:v>中性-利率转向讨论开始升温</c:v>
                </c:pt>
                <c:pt idx="9">
                  <c:v>中性偏悲观</c:v>
                </c:pt>
                <c:pt idx="10">
                  <c:v>中性-银行业压力后的情绪修复</c:v>
                </c:pt>
                <c:pt idx="11">
                  <c:v>悲观-硅谷银行事件引发系统性担忧</c:v>
                </c:pt>
                <c:pt idx="12">
                  <c:v>极度悲观-通胀数据居高不下后的绝望期</c:v>
                </c:pt>
                <c:pt idx="13">
                  <c:v>极度悲观 (底部区)-5年最低点：加息缩表双重重压</c:v>
                </c:pt>
                <c:pt idx="14">
                  <c:v>极度悲观-市场进入技术性熊市确认期</c:v>
                </c:pt>
                <c:pt idx="15">
                  <c:v>中性-俄乌冲突爆发后的初次冲击</c:v>
                </c:pt>
                <c:pt idx="16">
                  <c:v>极度乐观-估值巅峰，流动性最后的狂欢</c:v>
                </c:pt>
                <c:pt idx="17">
                  <c:v>极度乐观-盈利增速见顶前的最后推升</c:v>
                </c:pt>
                <c:pt idx="18">
                  <c:v>极度贪婪 (警戒)-5年最高点：财政刺激释放最高峰</c:v>
                </c:pt>
                <c:pt idx="19">
                  <c:v>极度乐观-经济全面重启的强劲预期</c:v>
                </c:pt>
              </c:strCache>
            </c:strRef>
          </c:cat>
          <c:val>
            <c:numRef>
              <c:f>'S14_Market Vane 股市看涨情绪'!$K$8:$K$27</c:f>
              <c:numCache>
                <c:formatCode>0.0%;[Red]\(0.0%\);\-</c:formatCode>
                <c:ptCount val="20"/>
                <c:pt idx="0">
                  <c:v>0.68</c:v>
                </c:pt>
                <c:pt idx="1">
                  <c:v>0.64</c:v>
                </c:pt>
                <c:pt idx="2">
                  <c:v>0</c:v>
                </c:pt>
                <c:pt idx="3">
                  <c:v>0</c:v>
                </c:pt>
                <c:pt idx="4">
                  <c:v>0.65</c:v>
                </c:pt>
                <c:pt idx="5">
                  <c:v>0.57999999999999996</c:v>
                </c:pt>
                <c:pt idx="6">
                  <c:v>0.61</c:v>
                </c:pt>
                <c:pt idx="7">
                  <c:v>0.67</c:v>
                </c:pt>
                <c:pt idx="8">
                  <c:v>0.55000000000000004</c:v>
                </c:pt>
                <c:pt idx="9">
                  <c:v>0.48</c:v>
                </c:pt>
                <c:pt idx="10">
                  <c:v>0.52</c:v>
                </c:pt>
                <c:pt idx="11">
                  <c:v>0.45</c:v>
                </c:pt>
                <c:pt idx="12">
                  <c:v>0.42</c:v>
                </c:pt>
                <c:pt idx="13">
                  <c:v>0.38</c:v>
                </c:pt>
                <c:pt idx="14">
                  <c:v>0.41</c:v>
                </c:pt>
                <c:pt idx="15">
                  <c:v>0.54</c:v>
                </c:pt>
                <c:pt idx="16">
                  <c:v>0.74</c:v>
                </c:pt>
                <c:pt idx="17">
                  <c:v>0.71</c:v>
                </c:pt>
                <c:pt idx="18">
                  <c:v>0.78</c:v>
                </c:pt>
                <c:pt idx="19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0A-4D57-A884-87AE089F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6564773"/>
        <c:axId val="48166009"/>
      </c:lineChart>
      <c:catAx>
        <c:axId val="265647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8166009"/>
        <c:crosses val="autoZero"/>
        <c:auto val="1"/>
        <c:lblAlgn val="ctr"/>
        <c:lblOffset val="100"/>
        <c:noMultiLvlLbl val="0"/>
      </c:catAx>
      <c:valAx>
        <c:axId val="4816600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看涨共识指数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6564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6b4475fd-43c2-4e76-a96e-ceb96e52bb2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S15_保证金债务和市值比率!$K$7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S15_保证金债务和市值比率!$J$8:$J$27</c:f>
              <c:strCache>
                <c:ptCount val="20"/>
                <c:pt idx="0">
                  <c:v>极度乐观 (贪婪)</c:v>
                </c:pt>
                <c:pt idx="1">
                  <c:v>乐观</c:v>
                </c:pt>
                <c:pt idx="2">
                  <c:v>Data Source</c:v>
                </c:pt>
                <c:pt idx="3">
                  <c:v>Transform</c:v>
                </c:pt>
                <c:pt idx="4">
                  <c:v>极度乐观</c:v>
                </c:pt>
                <c:pt idx="5">
                  <c:v>乐观</c:v>
                </c:pt>
                <c:pt idx="6">
                  <c:v>中性偏乐观</c:v>
                </c:pt>
                <c:pt idx="7">
                  <c:v>乐观</c:v>
                </c:pt>
                <c:pt idx="8">
                  <c:v>乐观</c:v>
                </c:pt>
                <c:pt idx="9">
                  <c:v>中性</c:v>
                </c:pt>
                <c:pt idx="10">
                  <c:v>忧虑</c:v>
                </c:pt>
                <c:pt idx="11">
                  <c:v>显著悲观</c:v>
                </c:pt>
                <c:pt idx="12">
                  <c:v>极度悲观 (恐慌)</c:v>
                </c:pt>
                <c:pt idx="13">
                  <c:v>极度悲观 (底部区)</c:v>
                </c:pt>
                <c:pt idx="14">
                  <c:v>极度悲观 (恐慌)</c:v>
                </c:pt>
                <c:pt idx="15">
                  <c:v>悲观</c:v>
                </c:pt>
                <c:pt idx="16">
                  <c:v>乐观</c:v>
                </c:pt>
                <c:pt idx="17">
                  <c:v>中性偏乐观</c:v>
                </c:pt>
                <c:pt idx="18">
                  <c:v>极度贪婪</c:v>
                </c:pt>
                <c:pt idx="19">
                  <c:v>极度贪婪</c:v>
                </c:pt>
              </c:strCache>
            </c:strRef>
          </c:cat>
          <c:val>
            <c:numRef>
              <c:f>S15_保证金债务和市值比率!$K$8:$K$27</c:f>
              <c:numCache>
                <c:formatCode>0.0%;[Red]\(0.0%\);\-</c:formatCode>
                <c:ptCount val="20"/>
                <c:pt idx="0">
                  <c:v>0.26400000000000001</c:v>
                </c:pt>
                <c:pt idx="1">
                  <c:v>0.16400000000000001</c:v>
                </c:pt>
                <c:pt idx="2">
                  <c:v>0</c:v>
                </c:pt>
                <c:pt idx="3">
                  <c:v>0</c:v>
                </c:pt>
                <c:pt idx="4">
                  <c:v>0.217</c:v>
                </c:pt>
                <c:pt idx="5">
                  <c:v>0.113</c:v>
                </c:pt>
                <c:pt idx="6">
                  <c:v>7.6999999999999999E-2</c:v>
                </c:pt>
                <c:pt idx="7">
                  <c:v>0.193</c:v>
                </c:pt>
                <c:pt idx="8">
                  <c:v>0.153</c:v>
                </c:pt>
                <c:pt idx="9">
                  <c:v>4.2999999999999997E-2</c:v>
                </c:pt>
                <c:pt idx="10">
                  <c:v>-3.4000000000000002E-2</c:v>
                </c:pt>
                <c:pt idx="11">
                  <c:v>-0.17699999999999999</c:v>
                </c:pt>
                <c:pt idx="12">
                  <c:v>-0.25700000000000001</c:v>
                </c:pt>
                <c:pt idx="13">
                  <c:v>-0.307</c:v>
                </c:pt>
                <c:pt idx="14">
                  <c:v>-0.34300000000000003</c:v>
                </c:pt>
                <c:pt idx="15">
                  <c:v>-0.154</c:v>
                </c:pt>
                <c:pt idx="16">
                  <c:v>0.127</c:v>
                </c:pt>
                <c:pt idx="17">
                  <c:v>8.3000000000000004E-2</c:v>
                </c:pt>
                <c:pt idx="18">
                  <c:v>0.29699999999999999</c:v>
                </c:pt>
                <c:pt idx="19">
                  <c:v>0.25700000000000001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54-4DF8-AA1B-707D4E1E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99567337"/>
        <c:axId val="72813476"/>
      </c:lineChart>
      <c:catAx>
        <c:axId val="9956733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2813476"/>
        <c:crosses val="autoZero"/>
        <c:auto val="1"/>
        <c:lblAlgn val="ctr"/>
        <c:lblOffset val="100"/>
        <c:noMultiLvlLbl val="0"/>
      </c:catAx>
      <c:valAx>
        <c:axId val="7281347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净看多比例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95673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63069c73-5375-4f78-8bbb-75b7959ee0b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S16_TGA账户余额!$K$7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S16_TGA账户余额!$J$8:$J$28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S16_TGA账户余额!$K$8:$K$28</c:f>
              <c:numCache>
                <c:formatCode>#,##0.0;[Red]\(#,##0.0\);\-</c:formatCode>
                <c:ptCount val="21"/>
                <c:pt idx="0" formatCode="#,##0;[Red]\(#,##0\);\-">
                  <c:v>1122</c:v>
                </c:pt>
                <c:pt idx="1">
                  <c:v>852</c:v>
                </c:pt>
                <c:pt idx="2">
                  <c:v>0</c:v>
                </c:pt>
                <c:pt idx="3">
                  <c:v>0</c:v>
                </c:pt>
                <c:pt idx="4">
                  <c:v>628</c:v>
                </c:pt>
                <c:pt idx="5">
                  <c:v>757</c:v>
                </c:pt>
                <c:pt idx="6">
                  <c:v>636</c:v>
                </c:pt>
                <c:pt idx="7">
                  <c:v>447</c:v>
                </c:pt>
                <c:pt idx="8">
                  <c:v>178</c:v>
                </c:pt>
                <c:pt idx="9">
                  <c:v>402</c:v>
                </c:pt>
                <c:pt idx="10">
                  <c:v>661</c:v>
                </c:pt>
                <c:pt idx="11">
                  <c:v>769</c:v>
                </c:pt>
                <c:pt idx="12">
                  <c:v>745</c:v>
                </c:pt>
                <c:pt idx="13">
                  <c:v>755</c:v>
                </c:pt>
                <c:pt idx="14">
                  <c:v>818</c:v>
                </c:pt>
                <c:pt idx="15">
                  <c:v>702</c:v>
                </c:pt>
                <c:pt idx="16">
                  <c:v>325</c:v>
                </c:pt>
                <c:pt idx="17">
                  <c:v>650</c:v>
                </c:pt>
                <c:pt idx="18">
                  <c:v>835</c:v>
                </c:pt>
                <c:pt idx="19">
                  <c:v>820</c:v>
                </c:pt>
                <c:pt idx="20">
                  <c:v>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0D-4620-A254-A483BED95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66472557"/>
        <c:axId val="64505553"/>
      </c:lineChart>
      <c:catAx>
        <c:axId val="6647255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4505553"/>
        <c:crosses val="autoZero"/>
        <c:auto val="1"/>
        <c:lblAlgn val="ctr"/>
        <c:lblOffset val="100"/>
        <c:noMultiLvlLbl val="0"/>
      </c:catAx>
      <c:valAx>
        <c:axId val="6450555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TGA账户余额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64725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07b49846-5c56-4a8f-aeba-85c4abf0493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'S17_SOFR-OIS 基差'!$K$7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'S17_SOFR-OIS 基差'!$J$8:$J$17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'S17_SOFR-OIS 基差'!$K$8:$K$17</c:f>
              <c:numCache>
                <c:formatCode>#,##0.0;[Red]\(#,##0.0\);\-</c:formatCode>
                <c:ptCount val="10"/>
                <c:pt idx="0">
                  <c:v>-6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12</c:v>
                </c:pt>
                <c:pt idx="6">
                  <c:v>3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62-450B-81BA-38287541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42196975"/>
        <c:axId val="91305541"/>
      </c:lineChart>
      <c:catAx>
        <c:axId val="421969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1305541"/>
        <c:crosses val="autoZero"/>
        <c:auto val="1"/>
        <c:lblAlgn val="ctr"/>
        <c:lblOffset val="100"/>
        <c:noMultiLvlLbl val="0"/>
      </c:catAx>
      <c:valAx>
        <c:axId val="9130554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代表性周值 (bps)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21969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93e6045-0657-470f-b8c1-85b82c990f6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'S18_CARRY TO RISK RITIO'!$K$7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'S18_CARRY TO RISK RITIO'!$J$8:$J$28</c:f>
              <c:strCache>
                <c:ptCount val="21"/>
                <c:pt idx="0">
                  <c:v>2021-低息差、低波动环境，套利空间极小。-第一季度 (Q1)</c:v>
                </c:pt>
                <c:pt idx="1">
                  <c:v>2021-低息差、低波动环境，套利空间极小。-第二季度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2025-日本央行加息预期+美联储降息，利差收窄。-第一季度 (Q1)</c:v>
                </c:pt>
                <c:pt idx="17">
                  <c:v>2025-日本央行加息预期+美联储降息，利差收窄。-第二季度 (Q2)</c:v>
                </c:pt>
                <c:pt idx="18">
                  <c:v>2025-日本央行加息预期+美联储降息，利差收窄。-第三季度 (Q3)</c:v>
                </c:pt>
                <c:pt idx="19">
                  <c:v>2025-日本央行加息预期+美联储降息，利差收窄。-第四季度 (Q4)</c:v>
                </c:pt>
                <c:pt idx="20">
                  <c:v>2026-当前：利差进一步收缩，日元波动率高企。-第一季度 (Q1)</c:v>
                </c:pt>
              </c:strCache>
            </c:strRef>
          </c:cat>
          <c:val>
            <c:numRef>
              <c:f>'S18_CARRY TO RISK RITIO'!$K$8:$K$28</c:f>
              <c:numCache>
                <c:formatCode>0.0%;[Red]\(0.0%\);\-</c:formatCode>
                <c:ptCount val="21"/>
                <c:pt idx="0">
                  <c:v>0.04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0.08</c:v>
                </c:pt>
                <c:pt idx="5">
                  <c:v>0.22</c:v>
                </c:pt>
                <c:pt idx="6">
                  <c:v>0.28000000000000003</c:v>
                </c:pt>
                <c:pt idx="7">
                  <c:v>0.25</c:v>
                </c:pt>
                <c:pt idx="8">
                  <c:v>0.35</c:v>
                </c:pt>
                <c:pt idx="9">
                  <c:v>0.42</c:v>
                </c:pt>
                <c:pt idx="10">
                  <c:v>0.48</c:v>
                </c:pt>
                <c:pt idx="11">
                  <c:v>0.4</c:v>
                </c:pt>
                <c:pt idx="12">
                  <c:v>0.45</c:v>
                </c:pt>
                <c:pt idx="13">
                  <c:v>0.43</c:v>
                </c:pt>
                <c:pt idx="14">
                  <c:v>0.32</c:v>
                </c:pt>
                <c:pt idx="15">
                  <c:v>0.35</c:v>
                </c:pt>
                <c:pt idx="16">
                  <c:v>0.28000000000000003</c:v>
                </c:pt>
                <c:pt idx="17">
                  <c:v>0.25</c:v>
                </c:pt>
                <c:pt idx="18">
                  <c:v>0.18</c:v>
                </c:pt>
                <c:pt idx="19">
                  <c:v>0.15</c:v>
                </c:pt>
                <c:pt idx="20">
                  <c:v>0.12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94-456D-9B09-FF9AEC864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19024958"/>
        <c:axId val="12540642"/>
      </c:lineChart>
      <c:catAx>
        <c:axId val="1902495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12540642"/>
        <c:crosses val="autoZero"/>
        <c:auto val="1"/>
        <c:lblAlgn val="ctr"/>
        <c:lblOffset val="100"/>
        <c:noMultiLvlLbl val="0"/>
      </c:catAx>
      <c:valAx>
        <c:axId val="1254064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CARRY TO RISK RITIO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190249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64061545-a046-4ab9-9b42-61de8141d92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S19_高盛美国宏观金融指数!$K$7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S19_高盛美国宏观金融指数!$J$8:$J$28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S19_高盛美国宏观金融指数!$K$8:$K$28</c:f>
              <c:numCache>
                <c:formatCode>#,##0.0;[Red]\(#,##0.0\);\-</c:formatCode>
                <c:ptCount val="21"/>
                <c:pt idx="0">
                  <c:v>97.2</c:v>
                </c:pt>
                <c:pt idx="1">
                  <c:v>97</c:v>
                </c:pt>
                <c:pt idx="2">
                  <c:v>0</c:v>
                </c:pt>
                <c:pt idx="3">
                  <c:v>0</c:v>
                </c:pt>
                <c:pt idx="4">
                  <c:v>98.5</c:v>
                </c:pt>
                <c:pt idx="5">
                  <c:v>99.8</c:v>
                </c:pt>
                <c:pt idx="6">
                  <c:v>100.1</c:v>
                </c:pt>
                <c:pt idx="7">
                  <c:v>100.3</c:v>
                </c:pt>
                <c:pt idx="8">
                  <c:v>99.9</c:v>
                </c:pt>
                <c:pt idx="9">
                  <c:v>100.2</c:v>
                </c:pt>
                <c:pt idx="10">
                  <c:v>100.5</c:v>
                </c:pt>
                <c:pt idx="11">
                  <c:v>99.4</c:v>
                </c:pt>
                <c:pt idx="12">
                  <c:v>98.8</c:v>
                </c:pt>
                <c:pt idx="13">
                  <c:v>99.2</c:v>
                </c:pt>
                <c:pt idx="14">
                  <c:v>99</c:v>
                </c:pt>
                <c:pt idx="15">
                  <c:v>98.5</c:v>
                </c:pt>
                <c:pt idx="16">
                  <c:v>99.1</c:v>
                </c:pt>
                <c:pt idx="17">
                  <c:v>98.4</c:v>
                </c:pt>
                <c:pt idx="18">
                  <c:v>98</c:v>
                </c:pt>
                <c:pt idx="19">
                  <c:v>97.8</c:v>
                </c:pt>
                <c:pt idx="20">
                  <c:v>97.6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5E-4F68-BB69-0CF264B3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4002869"/>
        <c:axId val="9810760"/>
      </c:lineChart>
      <c:catAx>
        <c:axId val="400286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810760"/>
        <c:crosses val="autoZero"/>
        <c:auto val="1"/>
        <c:lblAlgn val="ctr"/>
        <c:lblOffset val="100"/>
        <c:noMultiLvlLbl val="0"/>
      </c:catAx>
      <c:valAx>
        <c:axId val="981076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高盛美国宏观金融指数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002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8d1b5156-3523-484d-86d2-a57f9769609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S20_彭博美国金融条件指数!$K$7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S20_彭博美国金融条件指数!$J$8:$J$28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S20_彭博美国金融条件指数!$K$8:$K$28</c:f>
              <c:numCache>
                <c:formatCode>#,##0.0;[Red]\(#,##0.0\);\-</c:formatCode>
                <c:ptCount val="21"/>
                <c:pt idx="0">
                  <c:v>1.25</c:v>
                </c:pt>
                <c:pt idx="1">
                  <c:v>1.38</c:v>
                </c:pt>
                <c:pt idx="2">
                  <c:v>0</c:v>
                </c:pt>
                <c:pt idx="3">
                  <c:v>0</c:v>
                </c:pt>
                <c:pt idx="4" formatCode="0.0%;[Red]\(0.0%\);\-">
                  <c:v>0.45</c:v>
                </c:pt>
                <c:pt idx="5" formatCode="0.0%;[Red]\(0.0%\);\-">
                  <c:v>-0.65</c:v>
                </c:pt>
                <c:pt idx="6" formatCode="0.0%;[Red]\(0.0%\);\-">
                  <c:v>-0.88</c:v>
                </c:pt>
                <c:pt idx="7">
                  <c:v>-1.1200000000000001</c:v>
                </c:pt>
                <c:pt idx="8" formatCode="0.0%;[Red]\(0.0%\);\-">
                  <c:v>-0.92</c:v>
                </c:pt>
                <c:pt idx="9" formatCode="0.0%;[Red]\(0.0%\);\-">
                  <c:v>-0.45</c:v>
                </c:pt>
                <c:pt idx="10" formatCode="0.0%;[Red]\(0.0%\);\-">
                  <c:v>-0.32</c:v>
                </c:pt>
                <c:pt idx="11" formatCode="0.0%;[Red]\(0.0%\);\-">
                  <c:v>0.25</c:v>
                </c:pt>
                <c:pt idx="12" formatCode="0.0%;[Red]\(0.0%\);\-">
                  <c:v>0.48</c:v>
                </c:pt>
                <c:pt idx="13" formatCode="0.0%;[Red]\(0.0%\);\-">
                  <c:v>0.35</c:v>
                </c:pt>
                <c:pt idx="14" formatCode="0.0%;[Red]\(0.0%\);\-">
                  <c:v>0.55000000000000004</c:v>
                </c:pt>
                <c:pt idx="15" formatCode="0.0%;[Red]\(0.0%\);\-">
                  <c:v>0.72</c:v>
                </c:pt>
                <c:pt idx="16" formatCode="0.0%;[Red]\(0.0%\);\-">
                  <c:v>0.65</c:v>
                </c:pt>
                <c:pt idx="17" formatCode="0.0%;[Red]\(0.0%\);\-">
                  <c:v>0.82</c:v>
                </c:pt>
                <c:pt idx="18" formatCode="0.0%;[Red]\(0.0%\);\-">
                  <c:v>0.95</c:v>
                </c:pt>
                <c:pt idx="19">
                  <c:v>1.02</c:v>
                </c:pt>
                <c:pt idx="20" formatCode="0.0%;[Red]\(0.0%\);\-">
                  <c:v>0.85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1F-4897-8B54-1DD425421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49700581"/>
        <c:axId val="45481506"/>
      </c:lineChart>
      <c:catAx>
        <c:axId val="4970058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5481506"/>
        <c:crosses val="autoZero"/>
        <c:auto val="1"/>
        <c:lblAlgn val="ctr"/>
        <c:lblOffset val="100"/>
        <c:noMultiLvlLbl val="0"/>
      </c:catAx>
      <c:valAx>
        <c:axId val="4548150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彭博美国金融条件指数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97005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26fc7c6a-51fe-48d3-b417-79c52957d38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'S21_芝加哥联储全国金融条件指数 (NFCI)'!$K$7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'S21_芝加哥联储全国金融条件指数 (NFCI)'!$J$8:$J$19</c:f>
              <c:strCache>
                <c:ptCount val="12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2023-先收后放：经历了 3 月银行业风-第一季度 (Q1)</c:v>
                </c:pt>
                <c:pt idx="9">
                  <c:v>2023-先收后放：经历了 3 月银行业风-第二季度 (Q2)</c:v>
                </c:pt>
                <c:pt idx="10">
                  <c:v>2023-先收后放：经历了 3 月银行业风-第三季度 (Q3)</c:v>
                </c:pt>
                <c:pt idx="11">
                  <c:v>2023-先收后放：经历了 3 月银行业风-第四季度 (Q4)</c:v>
                </c:pt>
              </c:strCache>
            </c:strRef>
          </c:cat>
          <c:val>
            <c:numRef>
              <c:f>'S21_芝加哥联储全国金融条件指数 (NFCI)'!$K$8:$K$19</c:f>
              <c:numCache>
                <c:formatCode>0.0%;[Red]\(0.0%\);\-</c:formatCode>
                <c:ptCount val="12"/>
                <c:pt idx="0">
                  <c:v>-0.72</c:v>
                </c:pt>
                <c:pt idx="1">
                  <c:v>-0.74</c:v>
                </c:pt>
                <c:pt idx="2">
                  <c:v>0</c:v>
                </c:pt>
                <c:pt idx="3">
                  <c:v>0</c:v>
                </c:pt>
                <c:pt idx="4">
                  <c:v>-0.62</c:v>
                </c:pt>
                <c:pt idx="5">
                  <c:v>-0.45</c:v>
                </c:pt>
                <c:pt idx="6">
                  <c:v>-0.38</c:v>
                </c:pt>
                <c:pt idx="7">
                  <c:v>-0.28000000000000003</c:v>
                </c:pt>
                <c:pt idx="8">
                  <c:v>-0.22</c:v>
                </c:pt>
                <c:pt idx="9">
                  <c:v>-0.32</c:v>
                </c:pt>
                <c:pt idx="10">
                  <c:v>-0.36</c:v>
                </c:pt>
                <c:pt idx="11">
                  <c:v>-0.48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53-4D52-830C-661E3D883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83506742"/>
        <c:axId val="44563514"/>
      </c:lineChart>
      <c:catAx>
        <c:axId val="835067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4563514"/>
        <c:crosses val="autoZero"/>
        <c:auto val="1"/>
        <c:lblAlgn val="ctr"/>
        <c:lblOffset val="100"/>
        <c:noMultiLvlLbl val="0"/>
      </c:catAx>
      <c:valAx>
        <c:axId val="4456351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芝加哥联储全国金融条件指数 (NFCI)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35067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b8177543-a75d-4269-bedb-dbfff22109e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'S22_GDP Now 预测'!$B$17</c:f>
              <c:strCache>
                <c:ptCount val="1"/>
                <c:pt idx="0">
                  <c:v>预测值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'S22_GDP Now 预测'!$A$18:$A$19</c:f>
              <c:numCache>
                <c:formatCode>m/d/yyyy</c:formatCode>
                <c:ptCount val="2"/>
                <c:pt idx="0">
                  <c:v>46083</c:v>
                </c:pt>
                <c:pt idx="1">
                  <c:v>46087</c:v>
                </c:pt>
              </c:numCache>
            </c:numRef>
          </c:cat>
          <c:val>
            <c:numRef>
              <c:f>'S22_GDP Now 预测'!$B$18:$B$19</c:f>
              <c:numCache>
                <c:formatCode>0.00%</c:formatCode>
                <c:ptCount val="2"/>
                <c:pt idx="0">
                  <c:v>0.03</c:v>
                </c:pt>
                <c:pt idx="1">
                  <c:v>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E9-4603-A569-E19213782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225139"/>
        <c:axId val="609450798"/>
      </c:lineChart>
      <c:dateAx>
        <c:axId val="955225139"/>
        <c:scaling>
          <c:orientation val="minMax"/>
        </c:scaling>
        <c:delete val="0"/>
        <c:axPos val="b"/>
        <c:numFmt formatCode="yyyy/m/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9450798"/>
        <c:crosses val="autoZero"/>
        <c:auto val="1"/>
        <c:lblOffset val="100"/>
        <c:baseTimeUnit val="days"/>
      </c:dateAx>
      <c:valAx>
        <c:axId val="609450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2251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'S23_St. Louis Fed Economic News'!$K$7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'S23_St. Louis Fed Economic News'!$J$8:$J$28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'S23_St. Louis Fed Economic News'!$K$8:$K$28</c:f>
              <c:numCache>
                <c:formatCode>0.0%;[Red]\(0.0%\);\-</c:formatCode>
                <c:ptCount val="21"/>
                <c:pt idx="0">
                  <c:v>0.1018</c:v>
                </c:pt>
                <c:pt idx="1">
                  <c:v>9.0300000000000005E-2</c:v>
                </c:pt>
                <c:pt idx="2">
                  <c:v>0</c:v>
                </c:pt>
                <c:pt idx="3">
                  <c:v>0</c:v>
                </c:pt>
                <c:pt idx="4">
                  <c:v>1.9599999999999999E-2</c:v>
                </c:pt>
                <c:pt idx="5">
                  <c:v>4.1000000000000002E-2</c:v>
                </c:pt>
                <c:pt idx="6">
                  <c:v>1.2999999999999999E-2</c:v>
                </c:pt>
                <c:pt idx="7">
                  <c:v>4.4000000000000003E-3</c:v>
                </c:pt>
                <c:pt idx="8">
                  <c:v>5.5999999999999999E-3</c:v>
                </c:pt>
                <c:pt idx="9">
                  <c:v>8.0000000000000002E-3</c:v>
                </c:pt>
                <c:pt idx="10">
                  <c:v>2.3099999999999999E-2</c:v>
                </c:pt>
                <c:pt idx="11">
                  <c:v>2.0299999999999999E-2</c:v>
                </c:pt>
                <c:pt idx="12">
                  <c:v>1.7100000000000001E-2</c:v>
                </c:pt>
                <c:pt idx="13">
                  <c:v>1.14E-2</c:v>
                </c:pt>
                <c:pt idx="14">
                  <c:v>1.77E-2</c:v>
                </c:pt>
                <c:pt idx="15">
                  <c:v>2.3800000000000002E-2</c:v>
                </c:pt>
                <c:pt idx="16">
                  <c:v>3.0700000000000002E-2</c:v>
                </c:pt>
                <c:pt idx="17">
                  <c:v>1.7299999999999999E-2</c:v>
                </c:pt>
                <c:pt idx="18">
                  <c:v>4.1999999999999997E-3</c:v>
                </c:pt>
                <c:pt idx="19">
                  <c:v>-1.6999999999999999E-3</c:v>
                </c:pt>
                <c:pt idx="20" formatCode="#,##0.0;[Red]\(#,##0.0\);\-">
                  <c:v>2.41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12-47BD-9324-D768929D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16761516"/>
        <c:axId val="85971657"/>
      </c:lineChart>
      <c:catAx>
        <c:axId val="1676151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5971657"/>
        <c:crosses val="autoZero"/>
        <c:auto val="1"/>
        <c:lblAlgn val="ctr"/>
        <c:lblOffset val="100"/>
        <c:noMultiLvlLbl val="0"/>
      </c:catAx>
      <c:valAx>
        <c:axId val="8597165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St. Louis Fed Econom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167615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fe1d05f2-e8d4-46fd-b93e-565f348231a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'S24_ADS 商业景气指数(华尔街交易员股市应用稀缺的实时高'!$K$7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'S24_ADS 商业景气指数(华尔街交易员股市应用稀缺的实时高'!$J$8:$J$28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'S24_ADS 商业景气指数(华尔街交易员股市应用稀缺的实时高'!$K$8:$K$28</c:f>
              <c:numCache>
                <c:formatCode>#,##0.0;[Red]\(#,##0.0\);\-</c:formatCode>
                <c:ptCount val="21"/>
                <c:pt idx="0">
                  <c:v>2.15</c:v>
                </c:pt>
                <c:pt idx="1">
                  <c:v>1.8</c:v>
                </c:pt>
                <c:pt idx="2" formatCode="0.0%;[Red]\(0.0%\);\-">
                  <c:v>0</c:v>
                </c:pt>
                <c:pt idx="3" formatCode="0.0%;[Red]\(0.0%\);\-">
                  <c:v>0</c:v>
                </c:pt>
                <c:pt idx="4" formatCode="0.0%;[Red]\(0.0%\);\-">
                  <c:v>0.12</c:v>
                </c:pt>
                <c:pt idx="5" formatCode="0.0%;[Red]\(0.0%\);\-">
                  <c:v>-0.15</c:v>
                </c:pt>
                <c:pt idx="6" formatCode="0.0%;[Red]\(0.0%\);\-">
                  <c:v>0.05</c:v>
                </c:pt>
                <c:pt idx="7" formatCode="0.0%;[Red]\(0.0%\);\-">
                  <c:v>-0.28000000000000003</c:v>
                </c:pt>
                <c:pt idx="8" formatCode="0.0%;[Red]\(0.0%\);\-">
                  <c:v>-0.45</c:v>
                </c:pt>
                <c:pt idx="9" formatCode="0.0%;[Red]\(0.0%\);\-">
                  <c:v>-0.32</c:v>
                </c:pt>
                <c:pt idx="10" formatCode="0.0%;[Red]\(0.0%\);\-">
                  <c:v>0.15</c:v>
                </c:pt>
                <c:pt idx="11" formatCode="0.0%;[Red]\(0.0%\);\-">
                  <c:v>0.38</c:v>
                </c:pt>
                <c:pt idx="12" formatCode="0.0%;[Red]\(0.0%\);\-">
                  <c:v>0.25</c:v>
                </c:pt>
                <c:pt idx="13" formatCode="0.0%;[Red]\(0.0%\);\-">
                  <c:v>0.42</c:v>
                </c:pt>
                <c:pt idx="14" formatCode="0.0%;[Red]\(0.0%\);\-">
                  <c:v>0.55000000000000004</c:v>
                </c:pt>
                <c:pt idx="15" formatCode="0.0%;[Red]\(0.0%\);\-">
                  <c:v>0.48</c:v>
                </c:pt>
                <c:pt idx="16" formatCode="0.0%;[Red]\(0.0%\);\-">
                  <c:v>0.18</c:v>
                </c:pt>
                <c:pt idx="17" formatCode="0.0%;[Red]\(0.0%\);\-">
                  <c:v>-0.05</c:v>
                </c:pt>
                <c:pt idx="18" formatCode="0.0%;[Red]\(0.0%\);\-">
                  <c:v>-0.12</c:v>
                </c:pt>
                <c:pt idx="19" formatCode="0.0%;[Red]\(0.0%\);\-">
                  <c:v>-0.35</c:v>
                </c:pt>
                <c:pt idx="20" formatCode="0.0%;[Red]\(0.0%\);\-">
                  <c:v>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96-4060-B44B-3E40F1769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1325392"/>
        <c:axId val="7869670"/>
      </c:lineChart>
      <c:catAx>
        <c:axId val="213253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869670"/>
        <c:crosses val="autoZero"/>
        <c:auto val="1"/>
        <c:lblAlgn val="ctr"/>
        <c:lblOffset val="100"/>
        <c:noMultiLvlLbl val="0"/>
      </c:catAx>
      <c:valAx>
        <c:axId val="786967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ADS 商业景气指数(华尔街交易员股市应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13253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1aa17e09-f696-43e6-8a8e-07223a148ed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'S25_Lightcast 数据'!$K$7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'S25_Lightcast 数据'!$J$8:$J$17</c:f>
              <c:strCache>
                <c:ptCount val="10"/>
                <c:pt idx="0">
                  <c:v>1</c:v>
                </c:pt>
                <c:pt idx="1">
                  <c:v>需求见顶：科技与医疗招聘处于历史高位。</c:v>
                </c:pt>
                <c:pt idx="2">
                  <c:v>Data Source</c:v>
                </c:pt>
                <c:pt idx="3">
                  <c:v>Transform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'S25_Lightcast 数据'!$K$8:$K$17</c:f>
              <c:numCache>
                <c:formatCode>#,##0.0;[Red]\(#,##0.0\);\-</c:formatCode>
                <c:ptCount val="10"/>
                <c:pt idx="0">
                  <c:v>128</c:v>
                </c:pt>
                <c:pt idx="1">
                  <c:v>125</c:v>
                </c:pt>
                <c:pt idx="2">
                  <c:v>0</c:v>
                </c:pt>
                <c:pt idx="3">
                  <c:v>0</c:v>
                </c:pt>
                <c:pt idx="4">
                  <c:v>88</c:v>
                </c:pt>
                <c:pt idx="5">
                  <c:v>82</c:v>
                </c:pt>
                <c:pt idx="6">
                  <c:v>78</c:v>
                </c:pt>
                <c:pt idx="7">
                  <c:v>75</c:v>
                </c:pt>
                <c:pt idx="8">
                  <c:v>72</c:v>
                </c:pt>
                <c:pt idx="9">
                  <c:v>74.5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15-46A0-A65B-B32190F2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53150714"/>
        <c:axId val="64025793"/>
      </c:lineChart>
      <c:catAx>
        <c:axId val="5315071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4025793"/>
        <c:crosses val="autoZero"/>
        <c:auto val="1"/>
        <c:lblAlgn val="ctr"/>
        <c:lblOffset val="100"/>
        <c:noMultiLvlLbl val="0"/>
      </c:catAx>
      <c:valAx>
        <c:axId val="6402579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招聘广告指数 (存量)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3150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103af963-1cb9-4935-a4d9-5e2d5ca5151d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'S26_WARN Notice裁员数据'!$K$7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'S26_WARN Notice裁员数据'!$J$8:$J$28</c:f>
              <c:strCache>
                <c:ptCount val="21"/>
                <c:pt idx="0">
                  <c:v>2021-疫后企稳：裁员降至低位，招聘是主题。-第一季度 (Q1)</c:v>
                </c:pt>
                <c:pt idx="1">
                  <c:v>2021-疫后企稳：裁员降至低位，招聘是主题。-第二季度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2026-当前：零售与金融业出现超季节性裁员脉冲。-第一季度 (Q1)</c:v>
                </c:pt>
              </c:strCache>
            </c:strRef>
          </c:cat>
          <c:val>
            <c:numRef>
              <c:f>'S26_WARN Notice裁员数据'!$K$8:$K$28</c:f>
              <c:numCache>
                <c:formatCode>#,##0.0;[Red]\(#,##0.0\);\-</c:formatCode>
                <c:ptCount val="21"/>
                <c:pt idx="0">
                  <c:v>12.4</c:v>
                </c:pt>
                <c:pt idx="1">
                  <c:v>8.1999999999999993</c:v>
                </c:pt>
                <c:pt idx="2">
                  <c:v>0</c:v>
                </c:pt>
                <c:pt idx="3">
                  <c:v>0</c:v>
                </c:pt>
                <c:pt idx="4">
                  <c:v>4.5</c:v>
                </c:pt>
                <c:pt idx="5">
                  <c:v>5.0999999999999996</c:v>
                </c:pt>
                <c:pt idx="6">
                  <c:v>7.8</c:v>
                </c:pt>
                <c:pt idx="7">
                  <c:v>10.199999999999999</c:v>
                </c:pt>
                <c:pt idx="8">
                  <c:v>14.5</c:v>
                </c:pt>
                <c:pt idx="9">
                  <c:v>11.2</c:v>
                </c:pt>
                <c:pt idx="10">
                  <c:v>9.5</c:v>
                </c:pt>
                <c:pt idx="11">
                  <c:v>11.8</c:v>
                </c:pt>
                <c:pt idx="12">
                  <c:v>10.8</c:v>
                </c:pt>
                <c:pt idx="13">
                  <c:v>9.1999999999999993</c:v>
                </c:pt>
                <c:pt idx="14">
                  <c:v>8.8000000000000007</c:v>
                </c:pt>
                <c:pt idx="15">
                  <c:v>13.5</c:v>
                </c:pt>
                <c:pt idx="16">
                  <c:v>12.1</c:v>
                </c:pt>
                <c:pt idx="17">
                  <c:v>10.5</c:v>
                </c:pt>
                <c:pt idx="18">
                  <c:v>11.2</c:v>
                </c:pt>
                <c:pt idx="19">
                  <c:v>14.8</c:v>
                </c:pt>
                <c:pt idx="20">
                  <c:v>15.2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00-4A8B-ABDA-EDE09ECD2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7475153"/>
        <c:axId val="30116174"/>
      </c:lineChart>
      <c:catAx>
        <c:axId val="274751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0116174"/>
        <c:crosses val="autoZero"/>
        <c:auto val="1"/>
        <c:lblAlgn val="ctr"/>
        <c:lblOffset val="100"/>
        <c:noMultiLvlLbl val="0"/>
      </c:catAx>
      <c:valAx>
        <c:axId val="3011617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WARN Notice裁员数据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7475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d9d444b-dc8f-44fa-8826-8528f1012a4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'S27_ADP 新增就业人数'!$K$7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'S27_ADP 新增就业人数'!$J$8:$J$29</c:f>
              <c:strCache>
                <c:ptCount val="22"/>
                <c:pt idx="0">
                  <c:v>2021-~660万-第一季度 (Q1)</c:v>
                </c:pt>
                <c:pt idx="1">
                  <c:v>2021-~660万-第二季度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2022-~368万-第一季度 (Q1)</c:v>
                </c:pt>
                <c:pt idx="5">
                  <c:v>2022-~368万-第二季度 (Q2)</c:v>
                </c:pt>
                <c:pt idx="6">
                  <c:v>2022-~368万-第三季度 (Q3)</c:v>
                </c:pt>
                <c:pt idx="7">
                  <c:v>2022-~368万-第四季度 (Q4)</c:v>
                </c:pt>
                <c:pt idx="8">
                  <c:v>2023-~203万-第一季度 (Q1)</c:v>
                </c:pt>
                <c:pt idx="9">
                  <c:v>2023-~203万-第二季度 (Q2)</c:v>
                </c:pt>
                <c:pt idx="10">
                  <c:v>2023-~203万-第三季度 (Q3)</c:v>
                </c:pt>
                <c:pt idx="11">
                  <c:v>2023-~203万-第四季度 (Q4)</c:v>
                </c:pt>
                <c:pt idx="12">
                  <c:v>2024-77.1万-第一季度 (Q1)</c:v>
                </c:pt>
                <c:pt idx="13">
                  <c:v>2024-77.1万-第二季度 (Q2)</c:v>
                </c:pt>
                <c:pt idx="14">
                  <c:v>2024-77.1万-第三季度 (Q3)</c:v>
                </c:pt>
                <c:pt idx="15">
                  <c:v>2024-77.1万-第四季度 (Q4)</c:v>
                </c:pt>
                <c:pt idx="16">
                  <c:v>2025-39.8万-第一季度 (Q1)</c:v>
                </c:pt>
                <c:pt idx="17">
                  <c:v>2025-39.8万-第二季度 (Q2)</c:v>
                </c:pt>
                <c:pt idx="18">
                  <c:v>2025-39.8万-第三季度 (Q3)</c:v>
                </c:pt>
                <c:pt idx="19">
                  <c:v>2025-39.8万-第四季度 (Q4)</c:v>
                </c:pt>
                <c:pt idx="20">
                  <c:v>2026-(进行中)-第一季度 (Q1)</c:v>
                </c:pt>
                <c:pt idx="21">
                  <c:v>2026-(进行中)-第二季度 (Q2)</c:v>
                </c:pt>
              </c:strCache>
            </c:strRef>
          </c:cat>
          <c:val>
            <c:numRef>
              <c:f>'S27_ADP 新增就业人数'!$K$8:$K$29</c:f>
              <c:numCache>
                <c:formatCode>#,##0;[Red]\(#,##0\);\-</c:formatCode>
                <c:ptCount val="22"/>
                <c:pt idx="0">
                  <c:v>1200000</c:v>
                </c:pt>
                <c:pt idx="1">
                  <c:v>2100000</c:v>
                </c:pt>
                <c:pt idx="2">
                  <c:v>0</c:v>
                </c:pt>
                <c:pt idx="3">
                  <c:v>0</c:v>
                </c:pt>
                <c:pt idx="4">
                  <c:v>1300000</c:v>
                </c:pt>
                <c:pt idx="5">
                  <c:v>950000</c:v>
                </c:pt>
                <c:pt idx="6">
                  <c:v>780000</c:v>
                </c:pt>
                <c:pt idx="7">
                  <c:v>650000</c:v>
                </c:pt>
                <c:pt idx="8">
                  <c:v>620000</c:v>
                </c:pt>
                <c:pt idx="9">
                  <c:v>580000</c:v>
                </c:pt>
                <c:pt idx="10">
                  <c:v>450000</c:v>
                </c:pt>
                <c:pt idx="11">
                  <c:v>380000</c:v>
                </c:pt>
                <c:pt idx="12">
                  <c:v>210000</c:v>
                </c:pt>
                <c:pt idx="13">
                  <c:v>190000</c:v>
                </c:pt>
                <c:pt idx="14">
                  <c:v>180000</c:v>
                </c:pt>
                <c:pt idx="15">
                  <c:v>190000</c:v>
                </c:pt>
                <c:pt idx="16">
                  <c:v>110000</c:v>
                </c:pt>
                <c:pt idx="17">
                  <c:v>100000</c:v>
                </c:pt>
                <c:pt idx="18">
                  <c:v>95000</c:v>
                </c:pt>
                <c:pt idx="19">
                  <c:v>93000</c:v>
                </c:pt>
                <c:pt idx="20">
                  <c:v>22000</c:v>
                </c:pt>
                <c:pt idx="21">
                  <c:v>22000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BD-4DBA-8EB7-4ED58C750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4740983"/>
        <c:axId val="39540165"/>
      </c:lineChart>
      <c:catAx>
        <c:axId val="47409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9540165"/>
        <c:crosses val="autoZero"/>
        <c:auto val="1"/>
        <c:lblAlgn val="ctr"/>
        <c:lblOffset val="100"/>
        <c:noMultiLvlLbl val="0"/>
      </c:catAx>
      <c:valAx>
        <c:axId val="3954016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ADP 新增就业人数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7409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4c21b941-e5c5-4640-9853-93d5183ef715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'S28_RedBook 零售指数'!$K$7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'S28_RedBook 零售指数'!$J$8:$J$28</c:f>
              <c:strCache>
                <c:ptCount val="21"/>
                <c:pt idx="0">
                  <c:v>2021-爆发期：财政补贴带动下的报复性消费高峰。-第一季度 (Q1)</c:v>
                </c:pt>
                <c:pt idx="1">
                  <c:v>2021-爆发期：财政补贴带动下的报复性消费高峰。-第二季度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2024-第一季度 (Q1)</c:v>
                </c:pt>
                <c:pt idx="13">
                  <c:v>2024-第二季度 (Q2)</c:v>
                </c:pt>
                <c:pt idx="14">
                  <c:v>2024-第三季度 (Q3)</c:v>
                </c:pt>
                <c:pt idx="15">
                  <c:v>2024-第四季度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'S28_RedBook 零售指数'!$K$8:$K$28</c:f>
              <c:numCache>
                <c:formatCode>0.0%;[Red]\(0.0%\);\-</c:formatCode>
                <c:ptCount val="21"/>
                <c:pt idx="0">
                  <c:v>8.5000000000000006E-2</c:v>
                </c:pt>
                <c:pt idx="1">
                  <c:v>0.16200000000000001</c:v>
                </c:pt>
                <c:pt idx="2">
                  <c:v>0</c:v>
                </c:pt>
                <c:pt idx="3">
                  <c:v>0</c:v>
                </c:pt>
                <c:pt idx="4">
                  <c:v>0.14499999999999999</c:v>
                </c:pt>
                <c:pt idx="5">
                  <c:v>0.13800000000000001</c:v>
                </c:pt>
                <c:pt idx="6">
                  <c:v>0.125</c:v>
                </c:pt>
                <c:pt idx="7">
                  <c:v>8.2000000000000003E-2</c:v>
                </c:pt>
                <c:pt idx="8">
                  <c:v>5.5E-2</c:v>
                </c:pt>
                <c:pt idx="9">
                  <c:v>1.7999999999999999E-2</c:v>
                </c:pt>
                <c:pt idx="10">
                  <c:v>3.5000000000000003E-2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5.8000000000000003E-2</c:v>
                </c:pt>
                <c:pt idx="14">
                  <c:v>5.5E-2</c:v>
                </c:pt>
                <c:pt idx="15">
                  <c:v>6.2E-2</c:v>
                </c:pt>
                <c:pt idx="16">
                  <c:v>6.5000000000000002E-2</c:v>
                </c:pt>
                <c:pt idx="17">
                  <c:v>6.8000000000000005E-2</c:v>
                </c:pt>
                <c:pt idx="18">
                  <c:v>6.2E-2</c:v>
                </c:pt>
                <c:pt idx="19">
                  <c:v>7.5999999999999998E-2</c:v>
                </c:pt>
                <c:pt idx="20" formatCode="#,##0.0;[Red]\(#,##0.0\);\-">
                  <c:v>6.9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FE-41C8-B701-57C2E381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78302165"/>
        <c:axId val="94157158"/>
      </c:lineChart>
      <c:catAx>
        <c:axId val="783021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4157158"/>
        <c:crosses val="autoZero"/>
        <c:auto val="1"/>
        <c:lblAlgn val="ctr"/>
        <c:lblOffset val="100"/>
        <c:noMultiLvlLbl val="0"/>
      </c:catAx>
      <c:valAx>
        <c:axId val="9415715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 RedBook 零售指数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[Red]\(0.0%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83021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429012e0-657d-4bd0-a528-bafb8a13133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'S29_房地产待售时长（4WMA）'!$K$7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'S29_房地产待售时长（4WMA）'!$J$8:$J$28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2024-平稳期：成交速度在历史均值附近波动。-第一季度 (Q1)</c:v>
                </c:pt>
                <c:pt idx="13">
                  <c:v>2024-平稳期：成交速度在历史均值附近波动。-第二季度 (Q2)</c:v>
                </c:pt>
                <c:pt idx="14">
                  <c:v>2024-平稳期：成交速度在历史均值附近波动。-第三季度 (Q3)</c:v>
                </c:pt>
                <c:pt idx="15">
                  <c:v>2024-平稳期：成交速度在历史均值附近波动。-第四季度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'S29_房地产待售时长（4WMA）'!$K$8:$K$28</c:f>
              <c:numCache>
                <c:formatCode>#,##0.0;[Red]\(#,##0.0\);\-</c:formatCode>
                <c:ptCount val="21"/>
                <c:pt idx="0">
                  <c:v>35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18</c:v>
                </c:pt>
                <c:pt idx="6">
                  <c:v>24</c:v>
                </c:pt>
                <c:pt idx="7">
                  <c:v>40</c:v>
                </c:pt>
                <c:pt idx="8">
                  <c:v>52</c:v>
                </c:pt>
                <c:pt idx="9">
                  <c:v>35</c:v>
                </c:pt>
                <c:pt idx="10">
                  <c:v>31</c:v>
                </c:pt>
                <c:pt idx="11">
                  <c:v>38</c:v>
                </c:pt>
                <c:pt idx="12">
                  <c:v>45</c:v>
                </c:pt>
                <c:pt idx="13">
                  <c:v>32</c:v>
                </c:pt>
                <c:pt idx="14">
                  <c:v>34</c:v>
                </c:pt>
                <c:pt idx="15">
                  <c:v>42</c:v>
                </c:pt>
                <c:pt idx="16">
                  <c:v>53</c:v>
                </c:pt>
                <c:pt idx="17">
                  <c:v>41</c:v>
                </c:pt>
                <c:pt idx="18">
                  <c:v>46</c:v>
                </c:pt>
                <c:pt idx="19">
                  <c:v>58</c:v>
                </c:pt>
                <c:pt idx="20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3B-4749-B882-1C18913E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40713650"/>
        <c:axId val="94260614"/>
      </c:lineChart>
      <c:catAx>
        <c:axId val="407136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4260614"/>
        <c:crosses val="autoZero"/>
        <c:auto val="1"/>
        <c:lblAlgn val="ctr"/>
        <c:lblOffset val="100"/>
        <c:noMultiLvlLbl val="0"/>
      </c:catAx>
      <c:valAx>
        <c:axId val="9426061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房地产待售时长（4WMA）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407136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50465719-9772-4062-8876-2149fd1dbeb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'S30_Redfin 房屋销售量'!$K$7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'S30_Redfin 房屋销售量'!$J$8:$J$28</c:f>
              <c:strCache>
                <c:ptCount val="21"/>
                <c:pt idx="0">
                  <c:v>2021-巅峰期：超低利率驱动的购房狂潮。-第一季度 (Q1)</c:v>
                </c:pt>
                <c:pt idx="1">
                  <c:v>2021-巅峰期：超低利率驱动的购房狂潮。-第二季度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2024-微弱回暖：市场逐渐适应“高利率新常态”。-第一季度 (Q1)</c:v>
                </c:pt>
                <c:pt idx="13">
                  <c:v>2024-微弱回暖：市场逐渐适应“高利率新常态”。-第二季度 (Q2)</c:v>
                </c:pt>
                <c:pt idx="14">
                  <c:v>2024-微弱回暖：市场逐渐适应“高利率新常态”。-第三季度 (Q3)</c:v>
                </c:pt>
                <c:pt idx="15">
                  <c:v>2024-微弱回暖：市场逐渐适应“高利率新常态”。-第四季度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'S30_Redfin 房屋销售量'!$K$8:$K$28</c:f>
              <c:numCache>
                <c:formatCode>#,##0.0;[Red]\(#,##0.0\);\-</c:formatCode>
                <c:ptCount val="21"/>
                <c:pt idx="0">
                  <c:v>6.5</c:v>
                </c:pt>
                <c:pt idx="1">
                  <c:v>6.1</c:v>
                </c:pt>
                <c:pt idx="2">
                  <c:v>0</c:v>
                </c:pt>
                <c:pt idx="3">
                  <c:v>0</c:v>
                </c:pt>
                <c:pt idx="4">
                  <c:v>5.8</c:v>
                </c:pt>
                <c:pt idx="5">
                  <c:v>5.3</c:v>
                </c:pt>
                <c:pt idx="6">
                  <c:v>4.5999999999999996</c:v>
                </c:pt>
                <c:pt idx="7">
                  <c:v>4.0999999999999996</c:v>
                </c:pt>
                <c:pt idx="8">
                  <c:v>3.95</c:v>
                </c:pt>
                <c:pt idx="9">
                  <c:v>4.1500000000000004</c:v>
                </c:pt>
                <c:pt idx="10">
                  <c:v>4.05</c:v>
                </c:pt>
                <c:pt idx="11">
                  <c:v>3.85</c:v>
                </c:pt>
                <c:pt idx="12">
                  <c:v>4.05</c:v>
                </c:pt>
                <c:pt idx="13">
                  <c:v>4.2</c:v>
                </c:pt>
                <c:pt idx="14">
                  <c:v>3.9</c:v>
                </c:pt>
                <c:pt idx="15">
                  <c:v>4.1500000000000004</c:v>
                </c:pt>
                <c:pt idx="16">
                  <c:v>3.8</c:v>
                </c:pt>
                <c:pt idx="17">
                  <c:v>3.95</c:v>
                </c:pt>
                <c:pt idx="18">
                  <c:v>3.75</c:v>
                </c:pt>
                <c:pt idx="19">
                  <c:v>3.6</c:v>
                </c:pt>
                <c:pt idx="20">
                  <c:v>3.55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97-487A-BC7E-370E7E98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5355535"/>
        <c:axId val="6047688"/>
      </c:lineChart>
      <c:catAx>
        <c:axId val="535553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6047688"/>
        <c:crosses val="autoZero"/>
        <c:auto val="1"/>
        <c:lblAlgn val="ctr"/>
        <c:lblOffset val="100"/>
        <c:noMultiLvlLbl val="0"/>
      </c:catAx>
      <c:valAx>
        <c:axId val="604768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Redfin 房屋销售量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355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6ee5353-87c4-46eb-a807-454d197a9cd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S31_美国中位数房价!$K$7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S31_美国中位数房价!$J$8:$J$28</c:f>
              <c:strCache>
                <c:ptCount val="21"/>
                <c:pt idx="0">
                  <c:v>2021-第一季度 (Q1)</c:v>
                </c:pt>
                <c:pt idx="1">
                  <c:v>2021-第二季度 (Q2)</c:v>
                </c:pt>
                <c:pt idx="2">
                  <c:v>Data Source</c:v>
                </c:pt>
                <c:pt idx="3">
                  <c:v>Transform</c:v>
                </c:pt>
                <c:pt idx="4">
                  <c:v>2022-第一季度 (Q1)</c:v>
                </c:pt>
                <c:pt idx="5">
                  <c:v>2022-第二季度 (Q2)</c:v>
                </c:pt>
                <c:pt idx="6">
                  <c:v>2022-第三季度 (Q3)</c:v>
                </c:pt>
                <c:pt idx="7">
                  <c:v>2022-第四季度 (Q4)</c:v>
                </c:pt>
                <c:pt idx="8">
                  <c:v>2023-第一季度 (Q1)</c:v>
                </c:pt>
                <c:pt idx="9">
                  <c:v>2023-第二季度 (Q2)</c:v>
                </c:pt>
                <c:pt idx="10">
                  <c:v>2023-第三季度 (Q3)</c:v>
                </c:pt>
                <c:pt idx="11">
                  <c:v>2023-第四季度 (Q4)</c:v>
                </c:pt>
                <c:pt idx="12">
                  <c:v>2024-温和上涨：通胀背景下的资产保值属性显现。-第一季度 (Q1)</c:v>
                </c:pt>
                <c:pt idx="13">
                  <c:v>2024-温和上涨：通胀背景下的资产保值属性显现。-第二季度 (Q2)</c:v>
                </c:pt>
                <c:pt idx="14">
                  <c:v>2024-温和上涨：通胀背景下的资产保值属性显现。-第三季度 (Q3)</c:v>
                </c:pt>
                <c:pt idx="15">
                  <c:v>2024-温和上涨：通胀背景下的资产保值属性显现。-第四季度 (Q4)</c:v>
                </c:pt>
                <c:pt idx="16">
                  <c:v>2025-第一季度 (Q1)</c:v>
                </c:pt>
                <c:pt idx="17">
                  <c:v>2025-第二季度 (Q2)</c:v>
                </c:pt>
                <c:pt idx="18">
                  <c:v>2025-第三季度 (Q3)</c:v>
                </c:pt>
                <c:pt idx="19">
                  <c:v>2025-第四季度 (Q4)</c:v>
                </c:pt>
                <c:pt idx="20">
                  <c:v>2026-第一季度 (Q1)</c:v>
                </c:pt>
              </c:strCache>
            </c:strRef>
          </c:cat>
          <c:val>
            <c:numRef>
              <c:f>S31_美国中位数房价!$K$8:$K$28</c:f>
              <c:numCache>
                <c:formatCode>#,##0.0;[Red]\(#,##0.0\);\-</c:formatCode>
                <c:ptCount val="21"/>
                <c:pt idx="0">
                  <c:v>313</c:v>
                </c:pt>
                <c:pt idx="1">
                  <c:v>350</c:v>
                </c:pt>
                <c:pt idx="2">
                  <c:v>0</c:v>
                </c:pt>
                <c:pt idx="3">
                  <c:v>0</c:v>
                </c:pt>
                <c:pt idx="4">
                  <c:v>374</c:v>
                </c:pt>
                <c:pt idx="5">
                  <c:v>413</c:v>
                </c:pt>
                <c:pt idx="6">
                  <c:v>391</c:v>
                </c:pt>
                <c:pt idx="7">
                  <c:v>372</c:v>
                </c:pt>
                <c:pt idx="8">
                  <c:v>375</c:v>
                </c:pt>
                <c:pt idx="9">
                  <c:v>410</c:v>
                </c:pt>
                <c:pt idx="10">
                  <c:v>394</c:v>
                </c:pt>
                <c:pt idx="11">
                  <c:v>381</c:v>
                </c:pt>
                <c:pt idx="12">
                  <c:v>384</c:v>
                </c:pt>
                <c:pt idx="13">
                  <c:v>422</c:v>
                </c:pt>
                <c:pt idx="14">
                  <c:v>404</c:v>
                </c:pt>
                <c:pt idx="15">
                  <c:v>395</c:v>
                </c:pt>
                <c:pt idx="16">
                  <c:v>402</c:v>
                </c:pt>
                <c:pt idx="17">
                  <c:v>435</c:v>
                </c:pt>
                <c:pt idx="18">
                  <c:v>418</c:v>
                </c:pt>
                <c:pt idx="19">
                  <c:v>408</c:v>
                </c:pt>
                <c:pt idx="20">
                  <c:v>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80-4CEF-BE16-4592B1FE3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56757950"/>
        <c:axId val="9496462"/>
      </c:lineChart>
      <c:catAx>
        <c:axId val="567579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496462"/>
        <c:crosses val="autoZero"/>
        <c:auto val="1"/>
        <c:lblAlgn val="ctr"/>
        <c:lblOffset val="100"/>
        <c:noMultiLvlLbl val="0"/>
      </c:catAx>
      <c:valAx>
        <c:axId val="949646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美国中位数房价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6757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c6ff070a-3524-46e4-97ae-9e4fb4c2e068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'S32_薪资增速 (Average Hourly Earnin'!$P$7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'S32_薪资增速 (Average Hourly Earnin'!$O$8:$O$47</c:f>
              <c:strCache>
                <c:ptCount val="40"/>
                <c:pt idx="0">
                  <c:v>2022-11月</c:v>
                </c:pt>
                <c:pt idx="1">
                  <c:v>2022-12月</c:v>
                </c:pt>
                <c:pt idx="2">
                  <c:v>2023-1月</c:v>
                </c:pt>
                <c:pt idx="3">
                  <c:v>2023-2月</c:v>
                </c:pt>
                <c:pt idx="4">
                  <c:v>2023-3月</c:v>
                </c:pt>
                <c:pt idx="5">
                  <c:v>2023-4月</c:v>
                </c:pt>
                <c:pt idx="6">
                  <c:v>2023-5月</c:v>
                </c:pt>
                <c:pt idx="7">
                  <c:v>2023-6月</c:v>
                </c:pt>
                <c:pt idx="8">
                  <c:v>2023-7月</c:v>
                </c:pt>
                <c:pt idx="9">
                  <c:v>2023-8月</c:v>
                </c:pt>
                <c:pt idx="10">
                  <c:v>2023-9月</c:v>
                </c:pt>
                <c:pt idx="11">
                  <c:v>2023-10月</c:v>
                </c:pt>
                <c:pt idx="12">
                  <c:v>2023-11月</c:v>
                </c:pt>
                <c:pt idx="13">
                  <c:v>2023-12月</c:v>
                </c:pt>
                <c:pt idx="14">
                  <c:v>2024-1月</c:v>
                </c:pt>
                <c:pt idx="15">
                  <c:v>2024-2月</c:v>
                </c:pt>
                <c:pt idx="16">
                  <c:v>2024-3月</c:v>
                </c:pt>
                <c:pt idx="17">
                  <c:v>2024-4月</c:v>
                </c:pt>
                <c:pt idx="18">
                  <c:v>2024-5月</c:v>
                </c:pt>
                <c:pt idx="19">
                  <c:v>2024-6月</c:v>
                </c:pt>
                <c:pt idx="20">
                  <c:v>2024-7月</c:v>
                </c:pt>
                <c:pt idx="21">
                  <c:v>2024-8月</c:v>
                </c:pt>
                <c:pt idx="22">
                  <c:v>2024-9月</c:v>
                </c:pt>
                <c:pt idx="23">
                  <c:v>2024-10月</c:v>
                </c:pt>
                <c:pt idx="24">
                  <c:v>2024-11月</c:v>
                </c:pt>
                <c:pt idx="25">
                  <c:v>2024-12月</c:v>
                </c:pt>
                <c:pt idx="26">
                  <c:v>2025-1月</c:v>
                </c:pt>
                <c:pt idx="27">
                  <c:v>2025-2月</c:v>
                </c:pt>
                <c:pt idx="28">
                  <c:v>2025-3月</c:v>
                </c:pt>
                <c:pt idx="29">
                  <c:v>2025-4月</c:v>
                </c:pt>
                <c:pt idx="30">
                  <c:v>2025-5月</c:v>
                </c:pt>
                <c:pt idx="31">
                  <c:v>2025-6月</c:v>
                </c:pt>
                <c:pt idx="32">
                  <c:v>2025-7月</c:v>
                </c:pt>
                <c:pt idx="33">
                  <c:v>2025-8月</c:v>
                </c:pt>
                <c:pt idx="34">
                  <c:v>2025-9月</c:v>
                </c:pt>
                <c:pt idx="35">
                  <c:v>2025-10月</c:v>
                </c:pt>
                <c:pt idx="36">
                  <c:v>2025-11月</c:v>
                </c:pt>
                <c:pt idx="37">
                  <c:v>2025-12月</c:v>
                </c:pt>
                <c:pt idx="38">
                  <c:v>2026-1月</c:v>
                </c:pt>
                <c:pt idx="39">
                  <c:v>2026-2月</c:v>
                </c:pt>
              </c:strCache>
            </c:strRef>
          </c:cat>
          <c:val>
            <c:numRef>
              <c:f>'S32_薪资增速 (Average Hourly Earnin'!$P$8:$P$47</c:f>
              <c:numCache>
                <c:formatCode>#,##0.0;[Red]\(#,##0.0\);\-</c:formatCode>
                <c:ptCount val="40"/>
                <c:pt idx="0">
                  <c:v>4.8</c:v>
                </c:pt>
                <c:pt idx="1">
                  <c:v>4.8</c:v>
                </c:pt>
                <c:pt idx="2">
                  <c:v>4.4000000000000004</c:v>
                </c:pt>
                <c:pt idx="3">
                  <c:v>4.5999999999999996</c:v>
                </c:pt>
                <c:pt idx="4">
                  <c:v>4.3</c:v>
                </c:pt>
                <c:pt idx="5">
                  <c:v>4.4000000000000004</c:v>
                </c:pt>
                <c:pt idx="6">
                  <c:v>4.3</c:v>
                </c:pt>
                <c:pt idx="7">
                  <c:v>4.4000000000000004</c:v>
                </c:pt>
                <c:pt idx="8">
                  <c:v>4.4000000000000004</c:v>
                </c:pt>
                <c:pt idx="9">
                  <c:v>4.3</c:v>
                </c:pt>
                <c:pt idx="10">
                  <c:v>4.3</c:v>
                </c:pt>
                <c:pt idx="11">
                  <c:v>4</c:v>
                </c:pt>
                <c:pt idx="12">
                  <c:v>4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4.3</c:v>
                </c:pt>
                <c:pt idx="16">
                  <c:v>4.0999999999999996</c:v>
                </c:pt>
                <c:pt idx="17">
                  <c:v>4</c:v>
                </c:pt>
                <c:pt idx="18">
                  <c:v>4.0999999999999996</c:v>
                </c:pt>
                <c:pt idx="19">
                  <c:v>3.9</c:v>
                </c:pt>
                <c:pt idx="20">
                  <c:v>3.6</c:v>
                </c:pt>
                <c:pt idx="21">
                  <c:v>3.9</c:v>
                </c:pt>
                <c:pt idx="22">
                  <c:v>3.9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3.8</c:v>
                </c:pt>
                <c:pt idx="27">
                  <c:v>3.9</c:v>
                </c:pt>
                <c:pt idx="28">
                  <c:v>4.0999999999999996</c:v>
                </c:pt>
                <c:pt idx="29">
                  <c:v>4.4000000000000004</c:v>
                </c:pt>
                <c:pt idx="30">
                  <c:v>4.5</c:v>
                </c:pt>
                <c:pt idx="31">
                  <c:v>4.4000000000000004</c:v>
                </c:pt>
                <c:pt idx="32">
                  <c:v>4.4000000000000004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</c:v>
                </c:pt>
                <c:pt idx="36">
                  <c:v>4.5</c:v>
                </c:pt>
                <c:pt idx="37">
                  <c:v>4.4000000000000004</c:v>
                </c:pt>
                <c:pt idx="38">
                  <c:v>3.7</c:v>
                </c:pt>
                <c:pt idx="39">
                  <c:v>3.8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A0-432C-ABC3-85248E10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89112956"/>
        <c:axId val="38477954"/>
      </c:lineChart>
      <c:catAx>
        <c:axId val="891129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8477954"/>
        <c:crosses val="autoZero"/>
        <c:auto val="1"/>
        <c:lblAlgn val="ctr"/>
        <c:lblOffset val="100"/>
        <c:noMultiLvlLbl val="0"/>
      </c:catAx>
      <c:valAx>
        <c:axId val="3847795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薪资增速 (Average Hourly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89112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9d01f97-c420-4b4b-97cd-477381f1a55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'S33_ISM 制造业和服务业价格指数'!$Q$7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'S33_ISM 制造业和服务业价格指数'!$P$8:$P$47</c:f>
              <c:strCache>
                <c:ptCount val="40"/>
                <c:pt idx="0">
                  <c:v>服务业-1月</c:v>
                </c:pt>
                <c:pt idx="1">
                  <c:v>服务业-2月</c:v>
                </c:pt>
                <c:pt idx="2">
                  <c:v>服务业-3月</c:v>
                </c:pt>
                <c:pt idx="3">
                  <c:v>服务业-4月</c:v>
                </c:pt>
                <c:pt idx="4">
                  <c:v>服务业-5月</c:v>
                </c:pt>
                <c:pt idx="5">
                  <c:v>服务业-6月</c:v>
                </c:pt>
                <c:pt idx="6">
                  <c:v>服务业-7月</c:v>
                </c:pt>
                <c:pt idx="7">
                  <c:v>服务业-8月</c:v>
                </c:pt>
                <c:pt idx="8">
                  <c:v>服务业-9月</c:v>
                </c:pt>
                <c:pt idx="9">
                  <c:v>服务业-10月</c:v>
                </c:pt>
                <c:pt idx="10">
                  <c:v>服务业-11月</c:v>
                </c:pt>
                <c:pt idx="11">
                  <c:v>服务业-12月</c:v>
                </c:pt>
                <c:pt idx="12">
                  <c:v>2025.0-制造业-1月</c:v>
                </c:pt>
                <c:pt idx="13">
                  <c:v>2025.0-制造业-2月</c:v>
                </c:pt>
                <c:pt idx="14">
                  <c:v>2025.0-制造业-3月</c:v>
                </c:pt>
                <c:pt idx="15">
                  <c:v>2025.0-制造业-4月</c:v>
                </c:pt>
                <c:pt idx="16">
                  <c:v>2025.0-制造业-5月</c:v>
                </c:pt>
                <c:pt idx="17">
                  <c:v>2025.0-制造业-6月</c:v>
                </c:pt>
                <c:pt idx="18">
                  <c:v>2025.0-制造业-7月</c:v>
                </c:pt>
                <c:pt idx="19">
                  <c:v>2025.0-制造业-8月</c:v>
                </c:pt>
                <c:pt idx="20">
                  <c:v>2025.0-制造业-9月</c:v>
                </c:pt>
                <c:pt idx="21">
                  <c:v>2025.0-制造业-10月</c:v>
                </c:pt>
                <c:pt idx="22">
                  <c:v>2025.0-制造业-11月</c:v>
                </c:pt>
                <c:pt idx="23">
                  <c:v>2025.0-制造业-12月</c:v>
                </c:pt>
                <c:pt idx="24">
                  <c:v>服务业-1月</c:v>
                </c:pt>
                <c:pt idx="25">
                  <c:v>服务业-2月</c:v>
                </c:pt>
                <c:pt idx="26">
                  <c:v>服务业-3月</c:v>
                </c:pt>
                <c:pt idx="27">
                  <c:v>服务业-4月</c:v>
                </c:pt>
                <c:pt idx="28">
                  <c:v>服务业-5月</c:v>
                </c:pt>
                <c:pt idx="29">
                  <c:v>服务业-6月</c:v>
                </c:pt>
                <c:pt idx="30">
                  <c:v>服务业-7月</c:v>
                </c:pt>
                <c:pt idx="31">
                  <c:v>服务业-8月</c:v>
                </c:pt>
                <c:pt idx="32">
                  <c:v>服务业-9月</c:v>
                </c:pt>
                <c:pt idx="33">
                  <c:v>服务业-10月</c:v>
                </c:pt>
                <c:pt idx="34">
                  <c:v>服务业-11月</c:v>
                </c:pt>
                <c:pt idx="35">
                  <c:v>服务业-12月</c:v>
                </c:pt>
                <c:pt idx="36">
                  <c:v>2026.0-制造业-1月</c:v>
                </c:pt>
                <c:pt idx="37">
                  <c:v>2026.0-制造业-2月</c:v>
                </c:pt>
                <c:pt idx="38">
                  <c:v>服务业-1月</c:v>
                </c:pt>
                <c:pt idx="39">
                  <c:v>服务业-2月</c:v>
                </c:pt>
              </c:strCache>
            </c:strRef>
          </c:cat>
          <c:val>
            <c:numRef>
              <c:f>'S33_ISM 制造业和服务业价格指数'!$Q$8:$Q$47</c:f>
              <c:numCache>
                <c:formatCode>#,##0.0;[Red]\(#,##0.0\);\-</c:formatCode>
                <c:ptCount val="40"/>
                <c:pt idx="0">
                  <c:v>64</c:v>
                </c:pt>
                <c:pt idx="1">
                  <c:v>58.6</c:v>
                </c:pt>
                <c:pt idx="2">
                  <c:v>53.4</c:v>
                </c:pt>
                <c:pt idx="3">
                  <c:v>59.2</c:v>
                </c:pt>
                <c:pt idx="4">
                  <c:v>58.1</c:v>
                </c:pt>
                <c:pt idx="5">
                  <c:v>56.3</c:v>
                </c:pt>
                <c:pt idx="6">
                  <c:v>57</c:v>
                </c:pt>
                <c:pt idx="7">
                  <c:v>57.3</c:v>
                </c:pt>
                <c:pt idx="8">
                  <c:v>59.4</c:v>
                </c:pt>
                <c:pt idx="9">
                  <c:v>58.1</c:v>
                </c:pt>
                <c:pt idx="10">
                  <c:v>58.1</c:v>
                </c:pt>
                <c:pt idx="11">
                  <c:v>57</c:v>
                </c:pt>
                <c:pt idx="12">
                  <c:v>53.5</c:v>
                </c:pt>
                <c:pt idx="13">
                  <c:v>54.2</c:v>
                </c:pt>
                <c:pt idx="14">
                  <c:v>56</c:v>
                </c:pt>
                <c:pt idx="15">
                  <c:v>58.5</c:v>
                </c:pt>
                <c:pt idx="16">
                  <c:v>57.2</c:v>
                </c:pt>
                <c:pt idx="17">
                  <c:v>55</c:v>
                </c:pt>
                <c:pt idx="18">
                  <c:v>54.5</c:v>
                </c:pt>
                <c:pt idx="19">
                  <c:v>54.8</c:v>
                </c:pt>
                <c:pt idx="20">
                  <c:v>56.2</c:v>
                </c:pt>
                <c:pt idx="21">
                  <c:v>55.5</c:v>
                </c:pt>
                <c:pt idx="22">
                  <c:v>56</c:v>
                </c:pt>
                <c:pt idx="23">
                  <c:v>54.8</c:v>
                </c:pt>
                <c:pt idx="24">
                  <c:v>58.5</c:v>
                </c:pt>
                <c:pt idx="25">
                  <c:v>59.2</c:v>
                </c:pt>
                <c:pt idx="26">
                  <c:v>60.1</c:v>
                </c:pt>
                <c:pt idx="27">
                  <c:v>61.5</c:v>
                </c:pt>
                <c:pt idx="28">
                  <c:v>60.8</c:v>
                </c:pt>
                <c:pt idx="29">
                  <c:v>60.2</c:v>
                </c:pt>
                <c:pt idx="30">
                  <c:v>59.8</c:v>
                </c:pt>
                <c:pt idx="31">
                  <c:v>59.5</c:v>
                </c:pt>
                <c:pt idx="32">
                  <c:v>60.5</c:v>
                </c:pt>
                <c:pt idx="33">
                  <c:v>61.2</c:v>
                </c:pt>
                <c:pt idx="34">
                  <c:v>60.4</c:v>
                </c:pt>
                <c:pt idx="35">
                  <c:v>59</c:v>
                </c:pt>
                <c:pt idx="36">
                  <c:v>55.2</c:v>
                </c:pt>
                <c:pt idx="37">
                  <c:v>56.8</c:v>
                </c:pt>
                <c:pt idx="38">
                  <c:v>60.5</c:v>
                </c:pt>
                <c:pt idx="39">
                  <c:v>61.2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FA-4137-8345-D4045CD1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29114511"/>
        <c:axId val="5113023"/>
      </c:lineChart>
      <c:catAx>
        <c:axId val="2911451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113023"/>
        <c:crosses val="autoZero"/>
        <c:auto val="1"/>
        <c:lblAlgn val="ctr"/>
        <c:lblOffset val="100"/>
        <c:noMultiLvlLbl val="0"/>
      </c:catAx>
      <c:valAx>
        <c:axId val="511302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ISM 制造业和服务业价格指数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9114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ae91c1aa-f1d9-48d5-8457-923391e99f7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 panose="020F0502020204030204"/>
              </a:rPr>
              <a:t>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S34_美国核心PCE物价指数!$P$7</c:f>
              <c:strCache>
                <c:ptCount val="1"/>
                <c:pt idx="0">
                  <c:v>Series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S34_美国核心PCE物价指数!$O$8:$O$47</c:f>
              <c:strCache>
                <c:ptCount val="40"/>
                <c:pt idx="0">
                  <c:v>2022-10月</c:v>
                </c:pt>
                <c:pt idx="1">
                  <c:v>2022-11月</c:v>
                </c:pt>
                <c:pt idx="2">
                  <c:v>2022-12月</c:v>
                </c:pt>
                <c:pt idx="3">
                  <c:v>2023-1月</c:v>
                </c:pt>
                <c:pt idx="4">
                  <c:v>2023-2月</c:v>
                </c:pt>
                <c:pt idx="5">
                  <c:v>2023-3月</c:v>
                </c:pt>
                <c:pt idx="6">
                  <c:v>2023-4月</c:v>
                </c:pt>
                <c:pt idx="7">
                  <c:v>2023-5月</c:v>
                </c:pt>
                <c:pt idx="8">
                  <c:v>2023-6月</c:v>
                </c:pt>
                <c:pt idx="9">
                  <c:v>2023-7月</c:v>
                </c:pt>
                <c:pt idx="10">
                  <c:v>2023-8月</c:v>
                </c:pt>
                <c:pt idx="11">
                  <c:v>2023-9月</c:v>
                </c:pt>
                <c:pt idx="12">
                  <c:v>2023-10月</c:v>
                </c:pt>
                <c:pt idx="13">
                  <c:v>2023-11月</c:v>
                </c:pt>
                <c:pt idx="14">
                  <c:v>2023-12月</c:v>
                </c:pt>
                <c:pt idx="15">
                  <c:v>2024-1月</c:v>
                </c:pt>
                <c:pt idx="16">
                  <c:v>2024-2月</c:v>
                </c:pt>
                <c:pt idx="17">
                  <c:v>2024-3月</c:v>
                </c:pt>
                <c:pt idx="18">
                  <c:v>2024-4月</c:v>
                </c:pt>
                <c:pt idx="19">
                  <c:v>2024-5月</c:v>
                </c:pt>
                <c:pt idx="20">
                  <c:v>2024-6月</c:v>
                </c:pt>
                <c:pt idx="21">
                  <c:v>2024-7月</c:v>
                </c:pt>
                <c:pt idx="22">
                  <c:v>2024-8月</c:v>
                </c:pt>
                <c:pt idx="23">
                  <c:v>2024-9月</c:v>
                </c:pt>
                <c:pt idx="24">
                  <c:v>2024-10月</c:v>
                </c:pt>
                <c:pt idx="25">
                  <c:v>2024-11月</c:v>
                </c:pt>
                <c:pt idx="26">
                  <c:v>2024-12月</c:v>
                </c:pt>
                <c:pt idx="27">
                  <c:v>2025-1月</c:v>
                </c:pt>
                <c:pt idx="28">
                  <c:v>2025-2月</c:v>
                </c:pt>
                <c:pt idx="29">
                  <c:v>2025-3月</c:v>
                </c:pt>
                <c:pt idx="30">
                  <c:v>2025-4月</c:v>
                </c:pt>
                <c:pt idx="31">
                  <c:v>2025-5月</c:v>
                </c:pt>
                <c:pt idx="32">
                  <c:v>2025-6月</c:v>
                </c:pt>
                <c:pt idx="33">
                  <c:v>2025-7月</c:v>
                </c:pt>
                <c:pt idx="34">
                  <c:v>2025-8月</c:v>
                </c:pt>
                <c:pt idx="35">
                  <c:v>2025-9月</c:v>
                </c:pt>
                <c:pt idx="36">
                  <c:v>2025-10月</c:v>
                </c:pt>
                <c:pt idx="37">
                  <c:v>2025-11月</c:v>
                </c:pt>
                <c:pt idx="38">
                  <c:v>2025-12月</c:v>
                </c:pt>
                <c:pt idx="39">
                  <c:v>2026-1月</c:v>
                </c:pt>
              </c:strCache>
            </c:strRef>
          </c:cat>
          <c:val>
            <c:numRef>
              <c:f>S34_美国核心PCE物价指数!$P$8:$P$47</c:f>
              <c:numCache>
                <c:formatCode>#,##0.0;[Red]\(#,##0.0\);\-</c:formatCode>
                <c:ptCount val="40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4.9000000000000004</c:v>
                </c:pt>
                <c:pt idx="4">
                  <c:v>4.7</c:v>
                </c:pt>
                <c:pt idx="5">
                  <c:v>4.7</c:v>
                </c:pt>
                <c:pt idx="6">
                  <c:v>4.8</c:v>
                </c:pt>
                <c:pt idx="7">
                  <c:v>4.7</c:v>
                </c:pt>
                <c:pt idx="8">
                  <c:v>4.3</c:v>
                </c:pt>
                <c:pt idx="9">
                  <c:v>4.3</c:v>
                </c:pt>
                <c:pt idx="10">
                  <c:v>3.8</c:v>
                </c:pt>
                <c:pt idx="11">
                  <c:v>3.6</c:v>
                </c:pt>
                <c:pt idx="12">
                  <c:v>3.4</c:v>
                </c:pt>
                <c:pt idx="13">
                  <c:v>3.2</c:v>
                </c:pt>
                <c:pt idx="14">
                  <c:v>2.9</c:v>
                </c:pt>
                <c:pt idx="15">
                  <c:v>2.9</c:v>
                </c:pt>
                <c:pt idx="16">
                  <c:v>2.8</c:v>
                </c:pt>
                <c:pt idx="17">
                  <c:v>2.8</c:v>
                </c:pt>
                <c:pt idx="18">
                  <c:v>2.7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2.7</c:v>
                </c:pt>
                <c:pt idx="23">
                  <c:v>2.7</c:v>
                </c:pt>
                <c:pt idx="24">
                  <c:v>2.8</c:v>
                </c:pt>
                <c:pt idx="25">
                  <c:v>2.7</c:v>
                </c:pt>
                <c:pt idx="26">
                  <c:v>2.6</c:v>
                </c:pt>
                <c:pt idx="27">
                  <c:v>2.5</c:v>
                </c:pt>
                <c:pt idx="28">
                  <c:v>2.6</c:v>
                </c:pt>
                <c:pt idx="29">
                  <c:v>2.7</c:v>
                </c:pt>
                <c:pt idx="30">
                  <c:v>2.9</c:v>
                </c:pt>
                <c:pt idx="31">
                  <c:v>3</c:v>
                </c:pt>
                <c:pt idx="32">
                  <c:v>2.9</c:v>
                </c:pt>
                <c:pt idx="33">
                  <c:v>2.9</c:v>
                </c:pt>
                <c:pt idx="34">
                  <c:v>3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</c:v>
                </c:pt>
                <c:pt idx="39">
                  <c:v>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5E-4D1F-B003-EB3DF8EE8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smooth val="0"/>
        <c:axId val="58544174"/>
        <c:axId val="35125096"/>
      </c:lineChart>
      <c:catAx>
        <c:axId val="5854417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35125096"/>
        <c:crosses val="autoZero"/>
        <c:auto val="1"/>
        <c:lblAlgn val="ctr"/>
        <c:lblOffset val="100"/>
        <c:noMultiLvlLbl val="0"/>
      </c:catAx>
      <c:valAx>
        <c:axId val="3512509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 panose="020F0502020204030204"/>
                  </a:rPr>
                  <a:t>美国核心PCE物价指数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[Red]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585441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ad7d11ac-cfde-45b9-ae8d-6ffa3b4ee8f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190800</xdr:rowOff>
    </xdr:from>
    <xdr:to>
      <xdr:col>12</xdr:col>
      <xdr:colOff>54630</xdr:colOff>
      <xdr:row>2</xdr:row>
      <xdr:rowOff>2534250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8</xdr:row>
      <xdr:rowOff>298440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8</xdr:row>
      <xdr:rowOff>80640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10</xdr:row>
      <xdr:rowOff>294840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10</xdr:row>
      <xdr:rowOff>144360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10</xdr:row>
      <xdr:rowOff>294840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357120</xdr:colOff>
      <xdr:row>9</xdr:row>
      <xdr:rowOff>31800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10</xdr:row>
      <xdr:rowOff>256680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428040</xdr:colOff>
      <xdr:row>9</xdr:row>
      <xdr:rowOff>1320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357120</xdr:colOff>
      <xdr:row>9</xdr:row>
      <xdr:rowOff>1320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9</xdr:row>
      <xdr:rowOff>108000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10</xdr:row>
      <xdr:rowOff>106200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10</xdr:row>
      <xdr:rowOff>294840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9</xdr:row>
      <xdr:rowOff>108000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10</xdr:row>
      <xdr:rowOff>68040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9</xdr:row>
      <xdr:rowOff>108000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10</xdr:row>
      <xdr:rowOff>294840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380160</xdr:colOff>
      <xdr:row>8</xdr:row>
      <xdr:rowOff>269280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345600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8</xdr:row>
      <xdr:rowOff>118800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8</xdr:row>
      <xdr:rowOff>118800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118800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1310640</xdr:colOff>
      <xdr:row>16</xdr:row>
      <xdr:rowOff>60960</xdr:rowOff>
    </xdr:from>
    <xdr:to>
      <xdr:col>9</xdr:col>
      <xdr:colOff>530860</xdr:colOff>
      <xdr:row>33</xdr:row>
      <xdr:rowOff>151765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8</xdr:row>
      <xdr:rowOff>374760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168840</xdr:colOff>
      <xdr:row>8</xdr:row>
      <xdr:rowOff>118800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428040</xdr:colOff>
      <xdr:row>8</xdr:row>
      <xdr:rowOff>260640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156960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357480</xdr:colOff>
      <xdr:row>10</xdr:row>
      <xdr:rowOff>68040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118800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298440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21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298440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00000000-0008-0000-22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216360</xdr:colOff>
      <xdr:row>8</xdr:row>
      <xdr:rowOff>298440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00000000-0008-0000-2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428040</xdr:colOff>
      <xdr:row>10</xdr:row>
      <xdr:rowOff>294840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2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427680</xdr:colOff>
      <xdr:row>10</xdr:row>
      <xdr:rowOff>256680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00000000-0008-0000-25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12</xdr:col>
      <xdr:colOff>427680</xdr:colOff>
      <xdr:row>10</xdr:row>
      <xdr:rowOff>256680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26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_weights_tbl" displayName="cat_weights_tbl" ref="A10:C16" totalsRowShown="0">
  <autoFilter ref="A10:C16" xr:uid="{00000000-0009-0000-0100-000001000000}"/>
  <tableColumns count="3">
    <tableColumn id="1" xr3:uid="{00000000-0010-0000-0000-000001000000}" name="MethodologyUpdate"/>
    <tableColumn id="2" xr3:uid="{00000000-0010-0000-0000-000002000000}" name="v4 Reclassified Metrics"/>
    <tableColumn id="3" xr3:uid="{00000000-0010-0000-0000-000003000000}" name="将盈利修正/经济意外/质量指标从估值类移至增长类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ols_tbl" displayName="controls_tbl" ref="A3:C7" totalsRowShown="0">
  <autoFilter ref="A3:C7" xr:uid="{00000000-0009-0000-0100-000002000000}"/>
  <tableColumns count="3">
    <tableColumn id="1" xr3:uid="{00000000-0010-0000-0100-000001000000}" name="Parameter"/>
    <tableColumn id="2" xr3:uid="{00000000-0010-0000-0100-000002000000}" name="Value"/>
    <tableColumn id="3" xr3:uid="{00000000-0010-0000-0100-000003000000}" name="Descrip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dicator_map_tbl" displayName="indicator_map_tbl" ref="A2:G36" totalsRowShown="0">
  <autoFilter ref="A2:G36" xr:uid="{00000000-0009-0000-0100-000003000000}"/>
  <tableColumns count="7">
    <tableColumn id="1" xr3:uid="{00000000-0010-0000-0200-000001000000}" name="Indicator"/>
    <tableColumn id="2" xr3:uid="{00000000-0010-0000-0200-000002000000}" name="DataSheet"/>
    <tableColumn id="3" xr3:uid="{00000000-0010-0000-0200-000003000000}" name="Category"/>
    <tableColumn id="4" xr3:uid="{00000000-0010-0000-0200-000004000000}" name="PrimaryMetric"/>
    <tableColumn id="5" xr3:uid="{00000000-0010-0000-0200-000005000000}" name="Frequency"/>
    <tableColumn id="6" xr3:uid="{00000000-0010-0000-0200-000006000000}" name="Orientation"/>
    <tableColumn id="7" xr3:uid="{00000000-0010-0000-0200-000007000000}" name="ObsCou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1" displayName="tbl_1" ref="A7:F12" totalsRowShown="0">
  <autoFilter ref="A7:F12" xr:uid="{00000000-0009-0000-0100-000004000000}"/>
  <tableColumns count="6">
    <tableColumn id="1" xr3:uid="{00000000-0010-0000-0300-000001000000}" name="年份"/>
    <tableColumn id="2" xr3:uid="{00000000-0010-0000-0300-000002000000}" name="第一季度 (Q1)"/>
    <tableColumn id="3" xr3:uid="{00000000-0010-0000-0300-000003000000}" name="第二季度 (Q2)"/>
    <tableColumn id="4" xr3:uid="{00000000-0010-0000-0300-000004000000}" name="第三季度 (Q3)"/>
    <tableColumn id="5" xr3:uid="{00000000-0010-0000-0300-000005000000}" name="第四季度 (Q4)"/>
    <tableColumn id="6" xr3:uid="{00000000-0010-0000-0300-000006000000}" name="年度趋势说明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4000000}" name="tbl_2" displayName="tbl_2" ref="A7:C13" totalsRowShown="0">
  <autoFilter ref="A7:C13" xr:uid="{00000000-0009-0000-0100-00000F000000}"/>
  <tableColumns count="3">
    <tableColumn id="1" xr3:uid="{00000000-0010-0000-0400-000001000000}" name="季度 (Quarter)"/>
    <tableColumn id="2" xr3:uid="{00000000-0010-0000-0400-000002000000}" name="花旗标普500盈利上修动能指标 (Citi ERI)"/>
    <tableColumn id="3" xr3:uid="{00000000-0010-0000-0400-000003000000}" name="市场阶段/主要事件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5000000}" name="tbl_3" displayName="tbl_3" ref="A7:E13" totalsRowShown="0">
  <autoFilter ref="A7:E13" xr:uid="{00000000-0009-0000-0100-00001A000000}"/>
  <tableColumns count="5">
    <tableColumn id="1" xr3:uid="{00000000-0010-0000-0500-000001000000}" name="年份"/>
    <tableColumn id="2" xr3:uid="{00000000-0010-0000-0500-000002000000}" name="第一季度 (Q1)"/>
    <tableColumn id="3" xr3:uid="{00000000-0010-0000-0500-000003000000}" name="第二季度 (Q2)"/>
    <tableColumn id="4" xr3:uid="{00000000-0010-0000-0500-000004000000}" name="第三季度 (Q3)"/>
    <tableColumn id="5" xr3:uid="{00000000-0010-0000-0500-000005000000}" name="第四季度 (Q4)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6000000}" name="tbl_4" displayName="tbl_4" ref="A7:C27" totalsRowShown="0">
  <autoFilter ref="A7:C27" xr:uid="{00000000-0009-0000-0100-000021000000}"/>
  <tableColumns count="3">
    <tableColumn id="1" xr3:uid="{00000000-0010-0000-0600-000001000000}" name="季度 (Quarter)"/>
    <tableColumn id="2" xr3:uid="{00000000-0010-0000-0600-000002000000}" name="盈余惊喜幅度 (Surprise %)"/>
    <tableColumn id="3" xr3:uid="{00000000-0010-0000-0600-000003000000}" name="超预期公司占比 (Beat Rate %)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7000000}" name="tbl_5" displayName="tbl_5" ref="A7:D27" totalsRowShown="0">
  <autoFilter ref="A7:D27" xr:uid="{00000000-0009-0000-0100-000022000000}"/>
  <tableColumns count="4">
    <tableColumn id="1" xr3:uid="{00000000-0010-0000-0700-000001000000}" name="季度 (Quarter)"/>
    <tableColumn id="2" xr3:uid="{00000000-0010-0000-0700-000002000000}" name="平均 ROIC (%)"/>
    <tableColumn id="3" xr3:uid="{00000000-0010-0000-0700-000003000000}" name="平均 WACC (%)"/>
    <tableColumn id="4" xr3:uid="{00000000-0010-0000-0700-000004000000}" name="ROIC-WACC Spread (%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8000000}" name="tbl_6" displayName="tbl_6" ref="A7:C27" totalsRowShown="0">
  <autoFilter ref="A7:C27" xr:uid="{00000000-0009-0000-0100-000023000000}"/>
  <tableColumns count="3">
    <tableColumn id="1" xr3:uid="{00000000-0010-0000-0800-000001000000}" name="季度 (Quarter)"/>
    <tableColumn id="2" xr3:uid="{00000000-0010-0000-0800-000002000000}" name="营收同比增长率 (YoY Revenue Growth)"/>
    <tableColumn id="3" xr3:uid="{00000000-0010-0000-0800-000003000000}" name="备注 / 驱动因素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bl_7" displayName="tbl_7" ref="A7:E27" totalsRowShown="0">
  <autoFilter ref="A7:E27" xr:uid="{00000000-0009-0000-0100-000024000000}"/>
  <tableColumns count="5">
    <tableColumn id="1" xr3:uid="{00000000-0010-0000-0900-000001000000}" name="季度 (Quarter)"/>
    <tableColumn id="2" xr3:uid="{00000000-0010-0000-0900-000002000000}" name="标普500 PE (Forward)"/>
    <tableColumn id="3" xr3:uid="{00000000-0010-0000-0900-000003000000}" name="10Y 国债收益率 (%)"/>
    <tableColumn id="4" xr3:uid="{00000000-0010-0000-0900-000004000000}" name="ERP (%)"/>
    <tableColumn id="5" xr3:uid="{00000000-0010-0000-0900-000005000000}" name="10年历史分位数 (%)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A000000}" name="tbl_8" displayName="tbl_8" ref="A7:C27" totalsRowShown="0">
  <autoFilter ref="A7:C27" xr:uid="{00000000-0009-0000-0100-000025000000}"/>
  <tableColumns count="3">
    <tableColumn id="1" xr3:uid="{00000000-0010-0000-0A00-000001000000}" name="季度 (Quarter)"/>
    <tableColumn id="2" xr3:uid="{00000000-0010-0000-0A00-000002000000}" name="花旗盈利修正指数 (Citi ERI)"/>
    <tableColumn id="3" xr3:uid="{00000000-0010-0000-0A00-000003000000}" name="修正趋势 (Market Sentiment)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B000000}" name="tbl_10" displayName="tbl_10" ref="A7:C27" totalsRowShown="0">
  <autoFilter ref="A7:C27" xr:uid="{00000000-0009-0000-0100-000005000000}"/>
  <tableColumns count="3">
    <tableColumn id="1" xr3:uid="{00000000-0010-0000-0B00-000001000000}" name="季度 (Quarter)"/>
    <tableColumn id="2" xr3:uid="{00000000-0010-0000-0B00-000002000000}" name="花旗经济意外指数 (CESI US)"/>
    <tableColumn id="3" xr3:uid="{00000000-0010-0000-0B00-000003000000}" name="经济数据 vs 预期表现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C000000}" name="tbl_11" displayName="tbl_11" ref="A7:D27" totalsRowShown="0">
  <autoFilter ref="A7:D27" xr:uid="{00000000-0009-0000-0100-000006000000}"/>
  <tableColumns count="4">
    <tableColumn id="1" xr3:uid="{00000000-0010-0000-0C00-000001000000}" name="季度 (Quarter)"/>
    <tableColumn id="2" xr3:uid="{00000000-0010-0000-0C00-000002000000}" name="净流入估算 (Est. Net Inflow)"/>
    <tableColumn id="3" xr3:uid="{00000000-0010-0000-0C00-000003000000}" name="主要资金来源 / 动向"/>
    <tableColumn id="4" xr3:uid="{00000000-0010-0000-0C00-000004000000}" name="数据参考源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bl_12" displayName="tbl_12" ref="A7:E27" totalsRowShown="0">
  <autoFilter ref="A7:E27" xr:uid="{00000000-0009-0000-0100-000007000000}"/>
  <tableColumns count="5">
    <tableColumn id="1" xr3:uid="{00000000-0010-0000-0D00-000001000000}" name="季度 (Quarter)"/>
    <tableColumn id="2" xr3:uid="{00000000-0010-0000-0D00-000002000000}" name="平均 P/CF (倍)"/>
    <tableColumn id="3" xr3:uid="{00000000-0010-0000-0D00-000003000000}" name="预期现金流增长率 (%)"/>
    <tableColumn id="4" xr3:uid="{00000000-0010-0000-0D00-000004000000}" name="现金流 PEG"/>
    <tableColumn id="5" xr3:uid="{00000000-0010-0000-0D00-000005000000}" name="估值评判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E000000}" name="tbl_13" displayName="tbl_13" ref="A7:F27" totalsRowShown="0">
  <autoFilter ref="A7:F27" xr:uid="{00000000-0009-0000-0100-000008000000}"/>
  <tableColumns count="6">
    <tableColumn id="1" xr3:uid="{00000000-0010-0000-0E00-000001000000}" name="季度 (Quarter)"/>
    <tableColumn id="2" xr3:uid="{00000000-0010-0000-0E00-000002000000}" name="股息收益率 (%)"/>
    <tableColumn id="3" xr3:uid="{00000000-0010-0000-0E00-000003000000}" name="净回购收益率 (%)"/>
    <tableColumn id="4" xr3:uid="{00000000-0010-0000-0E00-000004000000}" name="TSY (A+B)"/>
    <tableColumn id="5" xr3:uid="{00000000-0010-0000-0E00-000005000000}" name="10Y 国债 (%)"/>
    <tableColumn id="6" xr3:uid="{00000000-0010-0000-0E00-000006000000}" name="利差 (TSY - 10Y)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F000000}" name="tbl_14" displayName="tbl_14" ref="A7:E27" totalsRowShown="0">
  <autoFilter ref="A7:E27" xr:uid="{00000000-0009-0000-0100-000009000000}"/>
  <tableColumns count="5">
    <tableColumn id="1" xr3:uid="{00000000-0010-0000-0F00-000001000000}" name="季度 (Quarter)"/>
    <tableColumn id="2" xr3:uid="{00000000-0010-0000-0F00-000002000000}" name="看多比例 (%)"/>
    <tableColumn id="3" xr3:uid="{00000000-0010-0000-0F00-000003000000}" name="看空比例 (%)"/>
    <tableColumn id="4" xr3:uid="{00000000-0010-0000-0F00-000004000000}" name="净看多比例 (%)"/>
    <tableColumn id="5" xr3:uid="{00000000-0010-0000-0F00-000005000000}" name="市场情绪评价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0000000}" name="tbl_15" displayName="tbl_15" ref="A7:D27" totalsRowShown="0">
  <autoFilter ref="A7:D27" xr:uid="{00000000-0009-0000-0100-00000A000000}"/>
  <tableColumns count="4">
    <tableColumn id="1" xr3:uid="{00000000-0010-0000-1000-000001000000}" name="季度 (Quarter)"/>
    <tableColumn id="2" xr3:uid="{00000000-0010-0000-1000-000002000000}" name="看涨共识指数 (%)"/>
    <tableColumn id="3" xr3:uid="{00000000-0010-0000-1000-000003000000}" name="情绪水位 (Sentiment Level)"/>
    <tableColumn id="4" xr3:uid="{00000000-0010-0000-1000-000004000000}" name="市场背景提示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1000000}" name="tbl_16" displayName="tbl_16" ref="A7:E27" totalsRowShown="0">
  <autoFilter ref="A7:E27" xr:uid="{00000000-0009-0000-0100-00000B000000}"/>
  <tableColumns count="5">
    <tableColumn id="1" xr3:uid="{00000000-0010-0000-1100-000001000000}" name="季度 (Quarter)"/>
    <tableColumn id="2" xr3:uid="{00000000-0010-0000-1100-000002000000}" name="看多比例 (%)"/>
    <tableColumn id="3" xr3:uid="{00000000-0010-0000-1100-000003000000}" name="看空比例 (%)"/>
    <tableColumn id="4" xr3:uid="{00000000-0010-0000-1100-000004000000}" name="净看多比例 (%)"/>
    <tableColumn id="5" xr3:uid="{00000000-0010-0000-1100-000005000000}" name="市场情绪评价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2000000}" name="tbl_17" displayName="tbl_17" ref="A7:E13" totalsRowShown="0">
  <autoFilter ref="A7:E13" xr:uid="{00000000-0009-0000-0100-00000C000000}"/>
  <tableColumns count="5">
    <tableColumn id="1" xr3:uid="{00000000-0010-0000-1200-000001000000}" name="年份"/>
    <tableColumn id="2" xr3:uid="{00000000-0010-0000-1200-000002000000}" name="第一季度 (Q1)"/>
    <tableColumn id="3" xr3:uid="{00000000-0010-0000-1200-000003000000}" name="第二季度 (Q2)"/>
    <tableColumn id="4" xr3:uid="{00000000-0010-0000-1200-000004000000}" name="第三季度 (Q3)"/>
    <tableColumn id="5" xr3:uid="{00000000-0010-0000-1200-000005000000}" name="第四季度 (Q4)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3000000}" name="tbl_18" displayName="tbl_18" ref="A7:D17" totalsRowShown="0">
  <autoFilter ref="A7:D17" xr:uid="{00000000-0009-0000-0100-00000D000000}"/>
  <tableColumns count="4">
    <tableColumn id="1" xr3:uid="{00000000-0010-0000-1300-000001000000}" name="时间段"/>
    <tableColumn id="2" xr3:uid="{00000000-0010-0000-1300-000002000000}" name="主要分布区间 (bps)"/>
    <tableColumn id="3" xr3:uid="{00000000-0010-0000-1300-000003000000}" name="代表性周值 (bps)"/>
    <tableColumn id="4" xr3:uid="{00000000-0010-0000-1300-000004000000}" name="关键事件与市场背景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4000000}" name="tbl_19" displayName="tbl_19" ref="A7:F13" totalsRowShown="0">
  <autoFilter ref="A7:F13" xr:uid="{00000000-0009-0000-0100-00000E000000}"/>
  <tableColumns count="6">
    <tableColumn id="1" xr3:uid="{00000000-0010-0000-1400-000001000000}" name="年份"/>
    <tableColumn id="2" xr3:uid="{00000000-0010-0000-1400-000002000000}" name="第一季度 (Q1)"/>
    <tableColumn id="3" xr3:uid="{00000000-0010-0000-1400-000003000000}" name="第二季度 (Q2)"/>
    <tableColumn id="4" xr3:uid="{00000000-0010-0000-1400-000004000000}" name="第三季度 (Q3)"/>
    <tableColumn id="5" xr3:uid="{00000000-0010-0000-1400-000005000000}" name="第四季度 (Q4)"/>
    <tableColumn id="6" xr3:uid="{00000000-0010-0000-1400-000006000000}" name="市场环境背景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5000000}" name="tbl_20" displayName="tbl_20" ref="A7:F13" totalsRowShown="0">
  <autoFilter ref="A7:F13" xr:uid="{00000000-0009-0000-0100-000010000000}"/>
  <tableColumns count="6">
    <tableColumn id="1" xr3:uid="{00000000-0010-0000-1500-000001000000}" name="年份"/>
    <tableColumn id="2" xr3:uid="{00000000-0010-0000-1500-000002000000}" name="第一季度 (Q1)"/>
    <tableColumn id="3" xr3:uid="{00000000-0010-0000-1500-000003000000}" name="第二季度 (Q2)"/>
    <tableColumn id="4" xr3:uid="{00000000-0010-0000-1500-000004000000}" name="第三季度 (Q3)"/>
    <tableColumn id="5" xr3:uid="{00000000-0010-0000-1500-000005000000}" name="第四季度 (Q4)"/>
    <tableColumn id="6" xr3:uid="{00000000-0010-0000-1500-000006000000}" name="宏观环境逻辑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6000000}" name="tbl_21" displayName="tbl_21" ref="A7:F13" totalsRowShown="0">
  <autoFilter ref="A7:F13" xr:uid="{00000000-0009-0000-0100-000011000000}"/>
  <tableColumns count="6">
    <tableColumn id="1" xr3:uid="{00000000-0010-0000-1600-000001000000}" name="年份"/>
    <tableColumn id="2" xr3:uid="{00000000-0010-0000-1600-000002000000}" name="第一季度 (Q1)"/>
    <tableColumn id="3" xr3:uid="{00000000-0010-0000-1600-000003000000}" name="第二季度 (Q2)"/>
    <tableColumn id="4" xr3:uid="{00000000-0010-0000-1600-000004000000}" name="第三季度 (Q3)"/>
    <tableColumn id="5" xr3:uid="{00000000-0010-0000-1600-000005000000}" name="第四季度 (Q4)"/>
    <tableColumn id="6" xr3:uid="{00000000-0010-0000-1600-000006000000}" name="核心驱动因素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7000000}" name="tbl_22" displayName="tbl_22" ref="A7:F10" totalsRowShown="0">
  <autoFilter ref="A7:F10" xr:uid="{00000000-0009-0000-0100-000012000000}"/>
  <tableColumns count="6">
    <tableColumn id="1" xr3:uid="{00000000-0010-0000-1700-000001000000}" name="年份"/>
    <tableColumn id="2" xr3:uid="{00000000-0010-0000-1700-000002000000}" name="第一季度 (Q1)"/>
    <tableColumn id="3" xr3:uid="{00000000-0010-0000-1700-000003000000}" name="第二季度 (Q2)"/>
    <tableColumn id="4" xr3:uid="{00000000-0010-0000-1700-000004000000}" name="第三季度 (Q3)"/>
    <tableColumn id="5" xr3:uid="{00000000-0010-0000-1700-000005000000}" name="第四季度 (Q4)"/>
    <tableColumn id="6" xr3:uid="{00000000-0010-0000-1700-000006000000}" name="宏观环境说明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tbl_23" displayName="tbl_23" ref="A7:C11" totalsRowShown="0">
  <autoFilter ref="A7:C11" xr:uid="{00000000-0009-0000-0100-000013000000}"/>
  <tableColumns count="3">
    <tableColumn id="1" xr3:uid="{00000000-0010-0000-1800-000001000000}" name="主要贡献项"/>
    <tableColumn id="2" xr3:uid="{00000000-0010-0000-1800-000002000000}" name="贡献度 (估算)"/>
    <tableColumn id="3" xr3:uid="{00000000-0010-0000-1800-000003000000}" name="趋势观察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9000000}" name="tbl_24" displayName="tbl_24" ref="A7:F13" totalsRowShown="0">
  <autoFilter ref="A7:F13" xr:uid="{00000000-0009-0000-0100-000014000000}"/>
  <tableColumns count="6">
    <tableColumn id="1" xr3:uid="{00000000-0010-0000-1900-000001000000}" name="年份"/>
    <tableColumn id="2" xr3:uid="{00000000-0010-0000-1900-000002000000}" name="第一季度 (Q1)"/>
    <tableColumn id="3" xr3:uid="{00000000-0010-0000-1900-000003000000}" name="第二季度 (Q2)"/>
    <tableColumn id="4" xr3:uid="{00000000-0010-0000-1900-000004000000}" name="第三季度 (Q3)"/>
    <tableColumn id="5" xr3:uid="{00000000-0010-0000-1900-000005000000}" name="第四季度 (Q4)"/>
    <tableColumn id="6" xr3:uid="{00000000-0010-0000-1900-000006000000}" name="宏观环境解读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A000000}" name="tbl_25" displayName="tbl_25" ref="A7:F13" totalsRowShown="0">
  <autoFilter ref="A7:F13" xr:uid="{00000000-0009-0000-0100-000015000000}"/>
  <tableColumns count="6">
    <tableColumn id="1" xr3:uid="{00000000-0010-0000-1A00-000001000000}" name="年份"/>
    <tableColumn id="2" xr3:uid="{00000000-0010-0000-1A00-000002000000}" name="第一季度 (Q1)"/>
    <tableColumn id="3" xr3:uid="{00000000-0010-0000-1A00-000003000000}" name="第二季度 (Q2)"/>
    <tableColumn id="4" xr3:uid="{00000000-0010-0000-1A00-000004000000}" name="第三季度 (Q3)"/>
    <tableColumn id="5" xr3:uid="{00000000-0010-0000-1A00-000005000000}" name="第四季度 (Q4)"/>
    <tableColumn id="6" xr3:uid="{00000000-0010-0000-1A00-000006000000}" name="交易员视角的宏观解读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B000000}" name="tbl_26" displayName="tbl_26" ref="A7:E17" totalsRowShown="0">
  <autoFilter ref="A7:E17" xr:uid="{00000000-0009-0000-0100-000016000000}"/>
  <tableColumns count="5">
    <tableColumn id="1" xr3:uid="{00000000-0010-0000-1B00-000001000000}" name="年份"/>
    <tableColumn id="2" xr3:uid="{00000000-0010-0000-1B00-000002000000}" name="季度"/>
    <tableColumn id="3" xr3:uid="{00000000-0010-0000-1B00-000003000000}" name="招聘广告指数 (存量)"/>
    <tableColumn id="4" xr3:uid="{00000000-0010-0000-1B00-000004000000}" name="新发岗位环比变化"/>
    <tableColumn id="5" xr3:uid="{00000000-0010-0000-1B00-000005000000}" name="核心驱动行业与技能趋势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C000000}" name="tbl_27" displayName="tbl_27" ref="A7:F13" totalsRowShown="0">
  <autoFilter ref="A7:F13" xr:uid="{00000000-0009-0000-0100-000017000000}"/>
  <tableColumns count="6">
    <tableColumn id="1" xr3:uid="{00000000-0010-0000-1C00-000001000000}" name="年份"/>
    <tableColumn id="2" xr3:uid="{00000000-0010-0000-1C00-000002000000}" name="第一季度 (Q1)"/>
    <tableColumn id="3" xr3:uid="{00000000-0010-0000-1C00-000003000000}" name="第二季度 (Q2)"/>
    <tableColumn id="4" xr3:uid="{00000000-0010-0000-1C00-000004000000}" name="第三季度 (Q3)"/>
    <tableColumn id="5" xr3:uid="{00000000-0010-0000-1C00-000005000000}" name="第四季度 (Q4)"/>
    <tableColumn id="6" xr3:uid="{00000000-0010-0000-1C00-000006000000}" name="核心行业/背景描述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D000000}" name="tbl_28" displayName="tbl_28" ref="A7:F13" totalsRowShown="0">
  <autoFilter ref="A7:F13" xr:uid="{00000000-0009-0000-0100-000018000000}"/>
  <tableColumns count="6">
    <tableColumn id="1" xr3:uid="{00000000-0010-0000-1D00-000001000000}" name="年份"/>
    <tableColumn id="2" xr3:uid="{00000000-0010-0000-1D00-000002000000}" name="第一季度 (Q1)"/>
    <tableColumn id="3" xr3:uid="{00000000-0010-0000-1D00-000003000000}" name="第二季度 (Q2)"/>
    <tableColumn id="4" xr3:uid="{00000000-0010-0000-1D00-000004000000}" name="第三季度 (Q3)"/>
    <tableColumn id="5" xr3:uid="{00000000-0010-0000-1D00-000005000000}" name="第四季度 (Q4)"/>
    <tableColumn id="6" xr3:uid="{00000000-0010-0000-1D00-000006000000}" name="年度总计 (人)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E000000}" name="tbl_29" displayName="tbl_29" ref="A7:F13" totalsRowShown="0">
  <autoFilter ref="A7:F13" xr:uid="{00000000-0009-0000-0100-000019000000}"/>
  <tableColumns count="6">
    <tableColumn id="1" xr3:uid="{00000000-0010-0000-1E00-000001000000}" name="年份"/>
    <tableColumn id="2" xr3:uid="{00000000-0010-0000-1E00-000002000000}" name="第一季度 (Q1)"/>
    <tableColumn id="3" xr3:uid="{00000000-0010-0000-1E00-000003000000}" name="第二季度 (Q2)"/>
    <tableColumn id="4" xr3:uid="{00000000-0010-0000-1E00-000004000000}" name="第三季度 (Q3)"/>
    <tableColumn id="5" xr3:uid="{00000000-0010-0000-1E00-000005000000}" name="第四季度 (Q4)"/>
    <tableColumn id="6" xr3:uid="{00000000-0010-0000-1E00-000006000000}" name="零售环境背景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F000000}" name="tbl_30" displayName="tbl_30" ref="A7:F13" totalsRowShown="0">
  <autoFilter ref="A7:F13" xr:uid="{00000000-0009-0000-0100-00001B000000}"/>
  <tableColumns count="6">
    <tableColumn id="1" xr3:uid="{00000000-0010-0000-1F00-000001000000}" name="年份"/>
    <tableColumn id="2" xr3:uid="{00000000-0010-0000-1F00-000002000000}" name="第一季度 (Q1)"/>
    <tableColumn id="3" xr3:uid="{00000000-0010-0000-1F00-000003000000}" name="第二季度 (Q2)"/>
    <tableColumn id="4" xr3:uid="{00000000-0010-0000-1F00-000004000000}" name="第三季度 (Q3)"/>
    <tableColumn id="5" xr3:uid="{00000000-0010-0000-1F00-000005000000}" name="第四季度 (Q4)"/>
    <tableColumn id="6" xr3:uid="{00000000-0010-0000-1F00-000006000000}" name="市场情绪特征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0000000}" name="tbl_31" displayName="tbl_31" ref="A7:F13" totalsRowShown="0">
  <autoFilter ref="A7:F13" xr:uid="{00000000-0009-0000-0100-00001C000000}"/>
  <tableColumns count="6">
    <tableColumn id="1" xr3:uid="{00000000-0010-0000-2000-000001000000}" name="年份"/>
    <tableColumn id="2" xr3:uid="{00000000-0010-0000-2000-000002000000}" name="第一季度 (Q1)"/>
    <tableColumn id="3" xr3:uid="{00000000-0010-0000-2000-000003000000}" name="第二季度 (Q2)"/>
    <tableColumn id="4" xr3:uid="{00000000-0010-0000-2000-000004000000}" name="第三季度 (Q3)"/>
    <tableColumn id="5" xr3:uid="{00000000-0010-0000-2000-000005000000}" name="第四季度 (Q4)"/>
    <tableColumn id="6" xr3:uid="{00000000-0010-0000-2000-000006000000}" name="市场核心驱动力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1000000}" name="tbl_32" displayName="tbl_32" ref="A7:F13" totalsRowShown="0">
  <autoFilter ref="A7:F13" xr:uid="{00000000-0009-0000-0100-00001D000000}"/>
  <tableColumns count="6">
    <tableColumn id="1" xr3:uid="{00000000-0010-0000-2100-000001000000}" name="年份"/>
    <tableColumn id="2" xr3:uid="{00000000-0010-0000-2100-000002000000}" name="第一季度 (Q1)"/>
    <tableColumn id="3" xr3:uid="{00000000-0010-0000-2100-000003000000}" name="第二季度 (Q2)"/>
    <tableColumn id="4" xr3:uid="{00000000-0010-0000-2100-000004000000}" name="第三季度 (Q3)"/>
    <tableColumn id="5" xr3:uid="{00000000-0010-0000-2100-000005000000}" name="第四季度 (Q4)"/>
    <tableColumn id="6" xr3:uid="{00000000-0010-0000-2100-000006000000}" name="价格驱动因素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2000000}" name="tbl_33" displayName="tbl_33" ref="A7:M13" totalsRowShown="0">
  <autoFilter ref="A7:M13" xr:uid="{00000000-0009-0000-0100-00001E000000}"/>
  <tableColumns count="13">
    <tableColumn id="1" xr3:uid="{00000000-0010-0000-2200-000001000000}" name="年份"/>
    <tableColumn id="2" xr3:uid="{00000000-0010-0000-2200-000002000000}" name="1月"/>
    <tableColumn id="3" xr3:uid="{00000000-0010-0000-2200-000003000000}" name="2月"/>
    <tableColumn id="4" xr3:uid="{00000000-0010-0000-2200-000004000000}" name="3月"/>
    <tableColumn id="5" xr3:uid="{00000000-0010-0000-2200-000005000000}" name="4月"/>
    <tableColumn id="6" xr3:uid="{00000000-0010-0000-2200-000006000000}" name="5月"/>
    <tableColumn id="7" xr3:uid="{00000000-0010-0000-2200-000007000000}" name="6月"/>
    <tableColumn id="8" xr3:uid="{00000000-0010-0000-2200-000008000000}" name="7月"/>
    <tableColumn id="9" xr3:uid="{00000000-0010-0000-2200-000009000000}" name="8月"/>
    <tableColumn id="10" xr3:uid="{00000000-0010-0000-2200-00000A000000}" name="9月"/>
    <tableColumn id="11" xr3:uid="{00000000-0010-0000-2200-00000B000000}" name="10月"/>
    <tableColumn id="12" xr3:uid="{00000000-0010-0000-2200-00000C000000}" name="11月"/>
    <tableColumn id="13" xr3:uid="{00000000-0010-0000-2200-00000D000000}" name="12月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3000000}" name="tbl_34" displayName="tbl_34" ref="A7:N19" totalsRowShown="0">
  <autoFilter ref="A7:N19" xr:uid="{00000000-0009-0000-0100-00001F000000}"/>
  <tableColumns count="14">
    <tableColumn id="1" xr3:uid="{00000000-0010-0000-2300-000001000000}" name="年份"/>
    <tableColumn id="2" xr3:uid="{00000000-0010-0000-2300-000002000000}" name="指标类型"/>
    <tableColumn id="3" xr3:uid="{00000000-0010-0000-2300-000003000000}" name="1月"/>
    <tableColumn id="4" xr3:uid="{00000000-0010-0000-2300-000004000000}" name="2月"/>
    <tableColumn id="5" xr3:uid="{00000000-0010-0000-2300-000005000000}" name="3月"/>
    <tableColumn id="6" xr3:uid="{00000000-0010-0000-2300-000006000000}" name="4月"/>
    <tableColumn id="7" xr3:uid="{00000000-0010-0000-2300-000007000000}" name="5月"/>
    <tableColumn id="8" xr3:uid="{00000000-0010-0000-2300-000008000000}" name="6月"/>
    <tableColumn id="9" xr3:uid="{00000000-0010-0000-2300-000009000000}" name="7月"/>
    <tableColumn id="10" xr3:uid="{00000000-0010-0000-2300-00000A000000}" name="8月"/>
    <tableColumn id="11" xr3:uid="{00000000-0010-0000-2300-00000B000000}" name="9月"/>
    <tableColumn id="12" xr3:uid="{00000000-0010-0000-2300-00000C000000}" name="10月"/>
    <tableColumn id="13" xr3:uid="{00000000-0010-0000-2300-00000D000000}" name="11月"/>
    <tableColumn id="14" xr3:uid="{00000000-0010-0000-2300-00000E000000}" name="12月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4000000}" name="tbl_35" displayName="tbl_35" ref="A7:M13" totalsRowShown="0">
  <autoFilter ref="A7:M13" xr:uid="{00000000-0009-0000-0100-000020000000}"/>
  <tableColumns count="13">
    <tableColumn id="1" xr3:uid="{00000000-0010-0000-2400-000001000000}" name="年份"/>
    <tableColumn id="2" xr3:uid="{00000000-0010-0000-2400-000002000000}" name="1月"/>
    <tableColumn id="3" xr3:uid="{00000000-0010-0000-2400-000003000000}" name="2月"/>
    <tableColumn id="4" xr3:uid="{00000000-0010-0000-2400-000004000000}" name="3月"/>
    <tableColumn id="5" xr3:uid="{00000000-0010-0000-2400-000005000000}" name="4月"/>
    <tableColumn id="6" xr3:uid="{00000000-0010-0000-2400-000006000000}" name="5月"/>
    <tableColumn id="7" xr3:uid="{00000000-0010-0000-2400-000007000000}" name="6月"/>
    <tableColumn id="8" xr3:uid="{00000000-0010-0000-2400-000008000000}" name="7月"/>
    <tableColumn id="9" xr3:uid="{00000000-0010-0000-2400-000009000000}" name="8月"/>
    <tableColumn id="10" xr3:uid="{00000000-0010-0000-2400-00000A000000}" name="9月"/>
    <tableColumn id="11" xr3:uid="{00000000-0010-0000-2400-00000B000000}" name="10月"/>
    <tableColumn id="12" xr3:uid="{00000000-0010-0000-2400-00000C000000}" name="11月"/>
    <tableColumn id="13" xr3:uid="{00000000-0010-0000-2400-00000D000000}" name="12月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../mnt/data/Macro_Intelligence_Dashboard_v4.xlsx" TargetMode="External"/><Relationship Id="rId18" Type="http://schemas.openxmlformats.org/officeDocument/2006/relationships/hyperlink" Target="../../mnt/data/Macro_Intelligence_Dashboard_v4.xlsx" TargetMode="External"/><Relationship Id="rId26" Type="http://schemas.openxmlformats.org/officeDocument/2006/relationships/hyperlink" Target="../../mnt/data/Macro_Intelligence_Dashboard_v4.xlsx" TargetMode="External"/><Relationship Id="rId3" Type="http://schemas.openxmlformats.org/officeDocument/2006/relationships/hyperlink" Target="../../mnt/data/Macro_Intelligence_Dashboard_v4.xlsx" TargetMode="External"/><Relationship Id="rId21" Type="http://schemas.openxmlformats.org/officeDocument/2006/relationships/hyperlink" Target="../../mnt/data/Macro_Intelligence_Dashboard_v4.xlsx" TargetMode="External"/><Relationship Id="rId34" Type="http://schemas.openxmlformats.org/officeDocument/2006/relationships/hyperlink" Target="../../mnt/data/Macro_Intelligence_Dashboard_v4.xlsx" TargetMode="External"/><Relationship Id="rId7" Type="http://schemas.openxmlformats.org/officeDocument/2006/relationships/hyperlink" Target="../../mnt/data/Macro_Intelligence_Dashboard_v4.xlsx" TargetMode="External"/><Relationship Id="rId12" Type="http://schemas.openxmlformats.org/officeDocument/2006/relationships/hyperlink" Target="../../mnt/data/Macro_Intelligence_Dashboard_v4.xlsx" TargetMode="External"/><Relationship Id="rId17" Type="http://schemas.openxmlformats.org/officeDocument/2006/relationships/hyperlink" Target="../../mnt/data/Macro_Intelligence_Dashboard_v4.xlsx" TargetMode="External"/><Relationship Id="rId25" Type="http://schemas.openxmlformats.org/officeDocument/2006/relationships/hyperlink" Target="../../mnt/data/Macro_Intelligence_Dashboard_v4.xlsx" TargetMode="External"/><Relationship Id="rId33" Type="http://schemas.openxmlformats.org/officeDocument/2006/relationships/hyperlink" Target="../../mnt/data/Macro_Intelligence_Dashboard_v4.xlsx" TargetMode="External"/><Relationship Id="rId2" Type="http://schemas.openxmlformats.org/officeDocument/2006/relationships/hyperlink" Target="../../mnt/data/Macro_Intelligence_Dashboard_v4.xlsx" TargetMode="External"/><Relationship Id="rId16" Type="http://schemas.openxmlformats.org/officeDocument/2006/relationships/hyperlink" Target="../../mnt/data/Macro_Intelligence_Dashboard_v4.xlsx" TargetMode="External"/><Relationship Id="rId20" Type="http://schemas.openxmlformats.org/officeDocument/2006/relationships/hyperlink" Target="../../mnt/data/Macro_Intelligence_Dashboard_v4.xlsx" TargetMode="External"/><Relationship Id="rId29" Type="http://schemas.openxmlformats.org/officeDocument/2006/relationships/hyperlink" Target="../../mnt/data/Macro_Intelligence_Dashboard_v4.xlsx" TargetMode="External"/><Relationship Id="rId1" Type="http://schemas.openxmlformats.org/officeDocument/2006/relationships/hyperlink" Target="../../mnt/data/Macro_Intelligence_Dashboard_v4.xlsx" TargetMode="External"/><Relationship Id="rId6" Type="http://schemas.openxmlformats.org/officeDocument/2006/relationships/hyperlink" Target="../../mnt/data/Macro_Intelligence_Dashboard_v4.xlsx" TargetMode="External"/><Relationship Id="rId11" Type="http://schemas.openxmlformats.org/officeDocument/2006/relationships/hyperlink" Target="../../mnt/data/Macro_Intelligence_Dashboard_v4.xlsx" TargetMode="External"/><Relationship Id="rId24" Type="http://schemas.openxmlformats.org/officeDocument/2006/relationships/hyperlink" Target="../../mnt/data/Macro_Intelligence_Dashboard_v4.xlsx" TargetMode="External"/><Relationship Id="rId32" Type="http://schemas.openxmlformats.org/officeDocument/2006/relationships/hyperlink" Target="../../mnt/data/Macro_Intelligence_Dashboard_v4.xlsx" TargetMode="External"/><Relationship Id="rId5" Type="http://schemas.openxmlformats.org/officeDocument/2006/relationships/hyperlink" Target="../../mnt/data/Macro_Intelligence_Dashboard_v4.xlsx" TargetMode="External"/><Relationship Id="rId15" Type="http://schemas.openxmlformats.org/officeDocument/2006/relationships/hyperlink" Target="../../mnt/data/Macro_Intelligence_Dashboard_v4.xlsx" TargetMode="External"/><Relationship Id="rId23" Type="http://schemas.openxmlformats.org/officeDocument/2006/relationships/hyperlink" Target="../../mnt/data/Macro_Intelligence_Dashboard_v4.xlsx" TargetMode="External"/><Relationship Id="rId28" Type="http://schemas.openxmlformats.org/officeDocument/2006/relationships/hyperlink" Target="../../mnt/data/Macro_Intelligence_Dashboard_v4.xlsx" TargetMode="External"/><Relationship Id="rId36" Type="http://schemas.openxmlformats.org/officeDocument/2006/relationships/comments" Target="../comments1.xml"/><Relationship Id="rId10" Type="http://schemas.openxmlformats.org/officeDocument/2006/relationships/hyperlink" Target="../../mnt/data/Macro_Intelligence_Dashboard_v4.xlsx" TargetMode="External"/><Relationship Id="rId19" Type="http://schemas.openxmlformats.org/officeDocument/2006/relationships/hyperlink" Target="../../mnt/data/Macro_Intelligence_Dashboard_v4.xlsx" TargetMode="External"/><Relationship Id="rId31" Type="http://schemas.openxmlformats.org/officeDocument/2006/relationships/hyperlink" Target="../../mnt/data/Macro_Intelligence_Dashboard_v4.xlsx" TargetMode="External"/><Relationship Id="rId4" Type="http://schemas.openxmlformats.org/officeDocument/2006/relationships/hyperlink" Target="../../mnt/data/Macro_Intelligence_Dashboard_v4.xlsx" TargetMode="External"/><Relationship Id="rId9" Type="http://schemas.openxmlformats.org/officeDocument/2006/relationships/hyperlink" Target="../../mnt/data/Macro_Intelligence_Dashboard_v4.xlsx" TargetMode="External"/><Relationship Id="rId14" Type="http://schemas.openxmlformats.org/officeDocument/2006/relationships/hyperlink" Target="../../mnt/data/Macro_Intelligence_Dashboard_v4.xlsx" TargetMode="External"/><Relationship Id="rId22" Type="http://schemas.openxmlformats.org/officeDocument/2006/relationships/hyperlink" Target="../../mnt/data/Macro_Intelligence_Dashboard_v4.xlsx" TargetMode="External"/><Relationship Id="rId27" Type="http://schemas.openxmlformats.org/officeDocument/2006/relationships/hyperlink" Target="../../mnt/data/Macro_Intelligence_Dashboard_v4.xlsx" TargetMode="External"/><Relationship Id="rId30" Type="http://schemas.openxmlformats.org/officeDocument/2006/relationships/hyperlink" Target="../../mnt/data/Macro_Intelligence_Dashboard_v4.xlsx" TargetMode="External"/><Relationship Id="rId35" Type="http://schemas.openxmlformats.org/officeDocument/2006/relationships/vmlDrawing" Target="../drawings/vmlDrawing1.vml"/><Relationship Id="rId8" Type="http://schemas.openxmlformats.org/officeDocument/2006/relationships/hyperlink" Target="../../mnt/data/Macro_Intelligence_Dashboard_v4.xlsx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../../mnt/data/Macro_Intelligence_Dashboard_v4.xlsx" TargetMode="External"/><Relationship Id="rId18" Type="http://schemas.openxmlformats.org/officeDocument/2006/relationships/hyperlink" Target="../../mnt/data/Macro_Intelligence_Dashboard_v4.xlsx" TargetMode="External"/><Relationship Id="rId26" Type="http://schemas.openxmlformats.org/officeDocument/2006/relationships/hyperlink" Target="../../mnt/data/Macro_Intelligence_Dashboard_v4.xlsx" TargetMode="External"/><Relationship Id="rId3" Type="http://schemas.openxmlformats.org/officeDocument/2006/relationships/hyperlink" Target="../../mnt/data/Macro_Intelligence_Dashboard_v4.xlsx" TargetMode="External"/><Relationship Id="rId21" Type="http://schemas.openxmlformats.org/officeDocument/2006/relationships/hyperlink" Target="../../mnt/data/Macro_Intelligence_Dashboard_v4.xlsx" TargetMode="External"/><Relationship Id="rId34" Type="http://schemas.openxmlformats.org/officeDocument/2006/relationships/hyperlink" Target="../../mnt/data/Macro_Intelligence_Dashboard_v4.xlsx" TargetMode="External"/><Relationship Id="rId7" Type="http://schemas.openxmlformats.org/officeDocument/2006/relationships/hyperlink" Target="../../mnt/data/Macro_Intelligence_Dashboard_v4.xlsx" TargetMode="External"/><Relationship Id="rId12" Type="http://schemas.openxmlformats.org/officeDocument/2006/relationships/hyperlink" Target="../../mnt/data/Macro_Intelligence_Dashboard_v4.xlsx" TargetMode="External"/><Relationship Id="rId17" Type="http://schemas.openxmlformats.org/officeDocument/2006/relationships/hyperlink" Target="../../mnt/data/Macro_Intelligence_Dashboard_v4.xlsx" TargetMode="External"/><Relationship Id="rId25" Type="http://schemas.openxmlformats.org/officeDocument/2006/relationships/hyperlink" Target="../../mnt/data/Macro_Intelligence_Dashboard_v4.xlsx" TargetMode="External"/><Relationship Id="rId33" Type="http://schemas.openxmlformats.org/officeDocument/2006/relationships/hyperlink" Target="../../mnt/data/Macro_Intelligence_Dashboard_v4.xlsx" TargetMode="External"/><Relationship Id="rId2" Type="http://schemas.openxmlformats.org/officeDocument/2006/relationships/hyperlink" Target="../../mnt/data/Macro_Intelligence_Dashboard_v4.xlsx" TargetMode="External"/><Relationship Id="rId16" Type="http://schemas.openxmlformats.org/officeDocument/2006/relationships/hyperlink" Target="../../mnt/data/Macro_Intelligence_Dashboard_v4.xlsx" TargetMode="External"/><Relationship Id="rId20" Type="http://schemas.openxmlformats.org/officeDocument/2006/relationships/hyperlink" Target="../../mnt/data/Macro_Intelligence_Dashboard_v4.xlsx" TargetMode="External"/><Relationship Id="rId29" Type="http://schemas.openxmlformats.org/officeDocument/2006/relationships/hyperlink" Target="../../mnt/data/Macro_Intelligence_Dashboard_v4.xlsx" TargetMode="External"/><Relationship Id="rId1" Type="http://schemas.openxmlformats.org/officeDocument/2006/relationships/hyperlink" Target="../../mnt/data/Macro_Intelligence_Dashboard_v4.xlsx" TargetMode="External"/><Relationship Id="rId6" Type="http://schemas.openxmlformats.org/officeDocument/2006/relationships/hyperlink" Target="../../mnt/data/Macro_Intelligence_Dashboard_v4.xlsx" TargetMode="External"/><Relationship Id="rId11" Type="http://schemas.openxmlformats.org/officeDocument/2006/relationships/hyperlink" Target="../../mnt/data/Macro_Intelligence_Dashboard_v4.xlsx" TargetMode="External"/><Relationship Id="rId24" Type="http://schemas.openxmlformats.org/officeDocument/2006/relationships/hyperlink" Target="../../mnt/data/Macro_Intelligence_Dashboard_v4.xlsx" TargetMode="External"/><Relationship Id="rId32" Type="http://schemas.openxmlformats.org/officeDocument/2006/relationships/hyperlink" Target="../../mnt/data/Macro_Intelligence_Dashboard_v4.xlsx" TargetMode="External"/><Relationship Id="rId5" Type="http://schemas.openxmlformats.org/officeDocument/2006/relationships/hyperlink" Target="../../mnt/data/Macro_Intelligence_Dashboard_v4.xlsx" TargetMode="External"/><Relationship Id="rId15" Type="http://schemas.openxmlformats.org/officeDocument/2006/relationships/hyperlink" Target="../../mnt/data/Macro_Intelligence_Dashboard_v4.xlsx" TargetMode="External"/><Relationship Id="rId23" Type="http://schemas.openxmlformats.org/officeDocument/2006/relationships/hyperlink" Target="../../mnt/data/Macro_Intelligence_Dashboard_v4.xlsx" TargetMode="External"/><Relationship Id="rId28" Type="http://schemas.openxmlformats.org/officeDocument/2006/relationships/hyperlink" Target="../../mnt/data/Macro_Intelligence_Dashboard_v4.xlsx" TargetMode="External"/><Relationship Id="rId10" Type="http://schemas.openxmlformats.org/officeDocument/2006/relationships/hyperlink" Target="../../mnt/data/Macro_Intelligence_Dashboard_v4.xlsx" TargetMode="External"/><Relationship Id="rId19" Type="http://schemas.openxmlformats.org/officeDocument/2006/relationships/hyperlink" Target="../../mnt/data/Macro_Intelligence_Dashboard_v4.xlsx" TargetMode="External"/><Relationship Id="rId31" Type="http://schemas.openxmlformats.org/officeDocument/2006/relationships/hyperlink" Target="../../mnt/data/Macro_Intelligence_Dashboard_v4.xlsx" TargetMode="External"/><Relationship Id="rId4" Type="http://schemas.openxmlformats.org/officeDocument/2006/relationships/hyperlink" Target="../../mnt/data/Macro_Intelligence_Dashboard_v4.xlsx" TargetMode="External"/><Relationship Id="rId9" Type="http://schemas.openxmlformats.org/officeDocument/2006/relationships/hyperlink" Target="../../mnt/data/Macro_Intelligence_Dashboard_v4.xlsx" TargetMode="External"/><Relationship Id="rId14" Type="http://schemas.openxmlformats.org/officeDocument/2006/relationships/hyperlink" Target="../../mnt/data/Macro_Intelligence_Dashboard_v4.xlsx" TargetMode="External"/><Relationship Id="rId22" Type="http://schemas.openxmlformats.org/officeDocument/2006/relationships/hyperlink" Target="../../mnt/data/Macro_Intelligence_Dashboard_v4.xlsx" TargetMode="External"/><Relationship Id="rId27" Type="http://schemas.openxmlformats.org/officeDocument/2006/relationships/hyperlink" Target="../../mnt/data/Macro_Intelligence_Dashboard_v4.xlsx" TargetMode="External"/><Relationship Id="rId30" Type="http://schemas.openxmlformats.org/officeDocument/2006/relationships/hyperlink" Target="../../mnt/data/Macro_Intelligence_Dashboard_v4.xlsx" TargetMode="External"/><Relationship Id="rId35" Type="http://schemas.openxmlformats.org/officeDocument/2006/relationships/table" Target="../tables/table3.xml"/><Relationship Id="rId8" Type="http://schemas.openxmlformats.org/officeDocument/2006/relationships/hyperlink" Target="../../mnt/data/Macro_Intelligence_Dashboard_v4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hyperlink" Target="../../mnt/data/Macro_Intelligence_Dashboard_v4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hyperlink" Target="../../mnt/data/Macro_Intelligence_Dashboard_v4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hyperlink" Target="../../mnt/data/Macro_Intelligence_Dashboard_v4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hyperlink" Target="../../mnt/data/Macro_Intelligence_Dashboard_v4.xls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hyperlink" Target="../../mnt/data/Macro_Intelligence_Dashboard_v4.xlsx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7.xml"/><Relationship Id="rId1" Type="http://schemas.openxmlformats.org/officeDocument/2006/relationships/hyperlink" Target="../../mnt/data/Macro_Intelligence_Dashboard_v4.xlsx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8.xml"/><Relationship Id="rId1" Type="http://schemas.openxmlformats.org/officeDocument/2006/relationships/hyperlink" Target="../../mnt/data/Macro_Intelligence_Dashboard_v4.xlsx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9.xml"/><Relationship Id="rId1" Type="http://schemas.openxmlformats.org/officeDocument/2006/relationships/hyperlink" Target="../../mnt/data/Macro_Intelligence_Dashboard_v4.xlsx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0.xml"/><Relationship Id="rId1" Type="http://schemas.openxmlformats.org/officeDocument/2006/relationships/hyperlink" Target="../../mnt/data/Macro_Intelligence_Dashboard_v4.xlsx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1.xml"/><Relationship Id="rId1" Type="http://schemas.openxmlformats.org/officeDocument/2006/relationships/hyperlink" Target="../../mnt/data/Macro_Intelligence_Dashboard_v4.xlsx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2.xml"/><Relationship Id="rId1" Type="http://schemas.openxmlformats.org/officeDocument/2006/relationships/hyperlink" Target="../../mnt/data/Macro_Intelligence_Dashboard_v4.xlsx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3.xml"/><Relationship Id="rId1" Type="http://schemas.openxmlformats.org/officeDocument/2006/relationships/hyperlink" Target="../../mnt/data/Macro_Intelligence_Dashboard_v4.xlsx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4.xml"/><Relationship Id="rId1" Type="http://schemas.openxmlformats.org/officeDocument/2006/relationships/hyperlink" Target="../../mnt/data/Macro_Intelligence_Dashboard_v4.xlsx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5.xml"/><Relationship Id="rId1" Type="http://schemas.openxmlformats.org/officeDocument/2006/relationships/hyperlink" Target="../../mnt/data/Macro_Intelligence_Dashboard_v4.xlsx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6.xml"/><Relationship Id="rId1" Type="http://schemas.openxmlformats.org/officeDocument/2006/relationships/hyperlink" Target="../../mnt/data/Macro_Intelligence_Dashboard_v4.xlsx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7.xml"/><Relationship Id="rId1" Type="http://schemas.openxmlformats.org/officeDocument/2006/relationships/hyperlink" Target="../../mnt/data/Macro_Intelligence_Dashboard_v4.xlsx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18.xml"/><Relationship Id="rId1" Type="http://schemas.openxmlformats.org/officeDocument/2006/relationships/hyperlink" Target="../../mnt/data/Macro_Intelligence_Dashboard_v4.xlsx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9.xml"/><Relationship Id="rId1" Type="http://schemas.openxmlformats.org/officeDocument/2006/relationships/hyperlink" Target="../../mnt/data/Macro_Intelligence_Dashboard_v4.xlsx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drawing" Target="../drawings/drawing20.xml"/><Relationship Id="rId1" Type="http://schemas.openxmlformats.org/officeDocument/2006/relationships/hyperlink" Target="../../mnt/data/Macro_Intelligence_Dashboard_v4.xlsx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21.xml"/><Relationship Id="rId1" Type="http://schemas.openxmlformats.org/officeDocument/2006/relationships/hyperlink" Target="../../mnt/data/Macro_Intelligence_Dashboard_v4.xlsx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drawing" Target="../drawings/drawing22.xml"/><Relationship Id="rId1" Type="http://schemas.openxmlformats.org/officeDocument/2006/relationships/hyperlink" Target="../../mnt/data/Macro_Intelligence_Dashboard_v4.xlsx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23.xml"/><Relationship Id="rId1" Type="http://schemas.openxmlformats.org/officeDocument/2006/relationships/hyperlink" Target="../../mnt/data/Macro_Intelligence_Dashboard_v4.xlsx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drawing" Target="../drawings/drawing24.xml"/><Relationship Id="rId1" Type="http://schemas.openxmlformats.org/officeDocument/2006/relationships/hyperlink" Target="../../mnt/data/Macro_Intelligence_Dashboard_v4.xlsx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25.xml"/><Relationship Id="rId1" Type="http://schemas.openxmlformats.org/officeDocument/2006/relationships/hyperlink" Target="../../mnt/data/Macro_Intelligence_Dashboard_v4.xlsx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26.xml"/><Relationship Id="rId1" Type="http://schemas.openxmlformats.org/officeDocument/2006/relationships/hyperlink" Target="../../mnt/data/Macro_Intelligence_Dashboard_v4.xlsx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27.xml"/><Relationship Id="rId1" Type="http://schemas.openxmlformats.org/officeDocument/2006/relationships/hyperlink" Target="../../mnt/data/Macro_Intelligence_Dashboard_v4.xlsx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28.xml"/><Relationship Id="rId1" Type="http://schemas.openxmlformats.org/officeDocument/2006/relationships/hyperlink" Target="../../mnt/data/Macro_Intelligence_Dashboard_v4.xlsx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29.xml"/><Relationship Id="rId1" Type="http://schemas.openxmlformats.org/officeDocument/2006/relationships/hyperlink" Target="../../mnt/data/Macro_Intelligence_Dashboard_v4.xlsx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drawing" Target="../drawings/drawing30.xml"/><Relationship Id="rId1" Type="http://schemas.openxmlformats.org/officeDocument/2006/relationships/hyperlink" Target="../../mnt/data/Macro_Intelligence_Dashboard_v4.xlsx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31.xml"/><Relationship Id="rId1" Type="http://schemas.openxmlformats.org/officeDocument/2006/relationships/hyperlink" Target="../../mnt/data/Macro_Intelligence_Dashboard_v4.xlsx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drawing" Target="../drawings/drawing32.xml"/><Relationship Id="rId1" Type="http://schemas.openxmlformats.org/officeDocument/2006/relationships/hyperlink" Target="../../mnt/data/Macro_Intelligence_Dashboard_v4.xlsx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33.xml"/><Relationship Id="rId1" Type="http://schemas.openxmlformats.org/officeDocument/2006/relationships/hyperlink" Target="../../mnt/data/Macro_Intelligence_Dashboard_v4.xlsx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drawing" Target="../drawings/drawing34.xml"/><Relationship Id="rId1" Type="http://schemas.openxmlformats.org/officeDocument/2006/relationships/hyperlink" Target="../../mnt/data/Macro_Intelligence_Dashboard_v4.xlsx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35.xml"/><Relationship Id="rId1" Type="http://schemas.openxmlformats.org/officeDocument/2006/relationships/hyperlink" Target="../../mnt/data/Macro_Intelligence_Dashboard_v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activeCell="A16" sqref="A16"/>
    </sheetView>
  </sheetViews>
  <sheetFormatPr defaultColWidth="8.6640625" defaultRowHeight="15" customHeight="1"/>
  <cols>
    <col min="1" max="1" width="18" customWidth="1"/>
    <col min="2" max="8" width="26" customWidth="1"/>
  </cols>
  <sheetData>
    <row r="1" spans="1:8" ht="25.5" customHeight="1">
      <c r="A1" s="35" t="s">
        <v>0</v>
      </c>
      <c r="B1" s="35"/>
      <c r="C1" s="35"/>
      <c r="D1" s="35"/>
      <c r="E1" s="35"/>
      <c r="F1" s="35"/>
      <c r="G1" s="35"/>
      <c r="H1" s="35"/>
    </row>
    <row r="2" spans="1:8" ht="9.75" customHeight="1">
      <c r="A2" s="35"/>
      <c r="B2" s="35"/>
      <c r="C2" s="35"/>
      <c r="D2" s="35"/>
      <c r="E2" s="35"/>
      <c r="F2" s="35"/>
      <c r="G2" s="35"/>
      <c r="H2" s="35"/>
    </row>
    <row r="4" spans="1:8" ht="99.6">
      <c r="A4" s="32" t="s">
        <v>1</v>
      </c>
      <c r="B4" s="33" t="s">
        <v>2</v>
      </c>
    </row>
    <row r="6" spans="1:8" ht="72">
      <c r="A6" s="32" t="s">
        <v>3</v>
      </c>
      <c r="B6" s="23" t="s">
        <v>4</v>
      </c>
    </row>
    <row r="8" spans="1:8" ht="57.6">
      <c r="A8" s="32" t="s">
        <v>5</v>
      </c>
      <c r="B8" s="23" t="s">
        <v>6</v>
      </c>
    </row>
    <row r="10" spans="1:8" ht="43.2">
      <c r="A10" s="32" t="s">
        <v>7</v>
      </c>
      <c r="B10" s="33" t="s">
        <v>8</v>
      </c>
    </row>
    <row r="12" spans="1:8" ht="43.2">
      <c r="A12" s="32" t="s">
        <v>9</v>
      </c>
      <c r="B12" s="33" t="s">
        <v>10</v>
      </c>
    </row>
    <row r="15" spans="1:8" ht="14.4">
      <c r="A15" s="34" t="s">
        <v>11</v>
      </c>
    </row>
    <row r="16" spans="1:8" ht="26.4">
      <c r="A16" s="2" t="s">
        <v>12</v>
      </c>
    </row>
    <row r="17" spans="1:1" ht="26.4">
      <c r="A17" s="2" t="s">
        <v>13</v>
      </c>
    </row>
    <row r="18" spans="1:1" ht="26.4">
      <c r="A18" s="2" t="s">
        <v>14</v>
      </c>
    </row>
    <row r="19" spans="1:1" ht="26.4">
      <c r="A19" s="2" t="s">
        <v>15</v>
      </c>
    </row>
  </sheetData>
  <mergeCells count="1">
    <mergeCell ref="A1:H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workbookViewId="0">
      <selection activeCell="E10" sqref="E10"/>
    </sheetView>
  </sheetViews>
  <sheetFormatPr defaultColWidth="8.6640625" defaultRowHeight="15" customHeight="1"/>
  <cols>
    <col min="1" max="1" width="19" customWidth="1"/>
    <col min="2" max="2" width="8" customWidth="1"/>
    <col min="3" max="3" width="28" customWidth="1"/>
    <col min="4" max="5" width="8" customWidth="1"/>
  </cols>
  <sheetData>
    <row r="1" spans="1:5" ht="20.399999999999999">
      <c r="A1" s="35" t="s">
        <v>16</v>
      </c>
      <c r="B1" s="35"/>
      <c r="C1" s="35"/>
      <c r="D1" s="35"/>
      <c r="E1" s="35"/>
    </row>
    <row r="3" spans="1:5" ht="14.4">
      <c r="A3" s="7" t="s">
        <v>17</v>
      </c>
      <c r="B3" s="7" t="s">
        <v>18</v>
      </c>
      <c r="C3" s="7" t="s">
        <v>19</v>
      </c>
    </row>
    <row r="4" spans="1:5" ht="26.4">
      <c r="A4" s="2" t="s">
        <v>20</v>
      </c>
      <c r="B4" s="12">
        <v>0.03</v>
      </c>
      <c r="C4" s="3" t="s">
        <v>21</v>
      </c>
    </row>
    <row r="5" spans="1:5" ht="14.4">
      <c r="A5" s="2" t="s">
        <v>22</v>
      </c>
      <c r="B5" s="5">
        <v>1</v>
      </c>
      <c r="C5" s="2" t="s">
        <v>23</v>
      </c>
    </row>
    <row r="6" spans="1:5" ht="14.4">
      <c r="A6" s="2" t="s">
        <v>24</v>
      </c>
      <c r="B6" s="12">
        <v>0</v>
      </c>
      <c r="C6" s="2" t="s">
        <v>25</v>
      </c>
    </row>
    <row r="7" spans="1:5" ht="14.4">
      <c r="A7" s="2" t="s">
        <v>26</v>
      </c>
      <c r="B7" s="5">
        <v>-1</v>
      </c>
      <c r="C7" s="2" t="s">
        <v>27</v>
      </c>
    </row>
    <row r="8" spans="1:5" ht="14.4">
      <c r="A8" t="s">
        <v>28</v>
      </c>
      <c r="B8" t="s">
        <v>29</v>
      </c>
      <c r="C8" s="30" t="s">
        <v>30</v>
      </c>
    </row>
    <row r="9" spans="1:5" ht="14.4">
      <c r="A9" t="s">
        <v>31</v>
      </c>
      <c r="B9" t="s">
        <v>29</v>
      </c>
      <c r="C9" s="30" t="s">
        <v>32</v>
      </c>
    </row>
    <row r="10" spans="1:5" ht="52.8">
      <c r="A10" s="7" t="s">
        <v>33</v>
      </c>
      <c r="B10" s="7" t="s">
        <v>34</v>
      </c>
      <c r="C10" s="6" t="s">
        <v>35</v>
      </c>
    </row>
    <row r="11" spans="1:5" ht="14.4">
      <c r="A11" s="2" t="s">
        <v>36</v>
      </c>
      <c r="B11" s="31">
        <v>1</v>
      </c>
      <c r="C11" s="2" t="s">
        <v>37</v>
      </c>
    </row>
    <row r="12" spans="1:5" ht="14.4">
      <c r="A12" s="2" t="s">
        <v>38</v>
      </c>
      <c r="B12" s="31">
        <v>1</v>
      </c>
      <c r="C12" s="2" t="s">
        <v>37</v>
      </c>
    </row>
    <row r="13" spans="1:5" ht="14.4">
      <c r="A13" s="2" t="s">
        <v>39</v>
      </c>
      <c r="B13" s="31">
        <v>1</v>
      </c>
      <c r="C13" s="2" t="s">
        <v>37</v>
      </c>
    </row>
    <row r="14" spans="1:5" ht="14.4">
      <c r="A14" s="2" t="s">
        <v>40</v>
      </c>
      <c r="B14" s="31">
        <v>1</v>
      </c>
      <c r="C14" s="2" t="s">
        <v>37</v>
      </c>
    </row>
    <row r="15" spans="1:5" ht="14.4">
      <c r="A15" s="2" t="s">
        <v>41</v>
      </c>
      <c r="B15" s="31">
        <v>1</v>
      </c>
      <c r="C15" s="2" t="s">
        <v>37</v>
      </c>
    </row>
    <row r="16" spans="1:5" ht="14.4">
      <c r="A16" s="2" t="s">
        <v>42</v>
      </c>
      <c r="B16" s="31">
        <v>1</v>
      </c>
      <c r="C16" s="2" t="s">
        <v>37</v>
      </c>
    </row>
  </sheetData>
  <mergeCells count="1">
    <mergeCell ref="A1:E1"/>
  </mergeCells>
  <phoneticPr fontId="19" type="noConversion"/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"/>
  <sheetViews>
    <sheetView showGridLines="0" tabSelected="1" workbookViewId="0">
      <pane ySplit="8" topLeftCell="A12" activePane="bottomLeft" state="frozen"/>
      <selection pane="bottomLeft" activeCell="L8" sqref="L8"/>
    </sheetView>
  </sheetViews>
  <sheetFormatPr defaultColWidth="8.6640625" defaultRowHeight="15" customHeight="1"/>
  <cols>
    <col min="1" max="1" width="26" customWidth="1"/>
    <col min="2" max="7" width="12" customWidth="1"/>
    <col min="8" max="8" width="10" customWidth="1"/>
    <col min="9" max="10" width="14" customWidth="1"/>
  </cols>
  <sheetData>
    <row r="1" spans="1:10" ht="14.4">
      <c r="A1" s="35" t="s">
        <v>43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14.4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ht="273.60000000000002">
      <c r="A3" s="22" t="s">
        <v>44</v>
      </c>
      <c r="B3" s="23" t="s">
        <v>45</v>
      </c>
    </row>
    <row r="4" spans="1:10">
      <c r="A4" s="24" t="s">
        <v>46</v>
      </c>
      <c r="B4" s="25">
        <f>ROUND(AVERAGE(B7:G7),2)</f>
        <v>-0.04</v>
      </c>
      <c r="D4" s="24" t="s">
        <v>47</v>
      </c>
      <c r="E4" s="26" t="str">
        <f>IF(B4&gt;=0.5,"Risk-On / Expansion",IF(B4&lt;=-0.5,"Risk-Off / Tightening","Mixed / Transition"))</f>
        <v>Mixed / Transition</v>
      </c>
    </row>
    <row r="6" spans="1:10" ht="14.4">
      <c r="B6" s="24" t="s">
        <v>36</v>
      </c>
      <c r="C6" s="24" t="s">
        <v>38</v>
      </c>
      <c r="D6" s="24" t="s">
        <v>39</v>
      </c>
      <c r="E6" s="24" t="s">
        <v>40</v>
      </c>
      <c r="F6" s="24" t="s">
        <v>41</v>
      </c>
      <c r="G6" s="24" t="s">
        <v>42</v>
      </c>
    </row>
    <row r="7" spans="1:10">
      <c r="B7" s="27">
        <f>ROUND(AVERAGEIF(Indicators!$C$3:$C$36,"Growth",Indicators!$M$3:$M$36),2)</f>
        <v>0.36</v>
      </c>
      <c r="C7" s="28">
        <f>ROUND(AVERAGEIF(Indicators!$C$3:$C$36,"Inflation",Indicators!$M$3:$M$36),2)</f>
        <v>0.33</v>
      </c>
      <c r="D7" s="27">
        <f>ROUND(AVERAGEIF(Indicators!$C$3:$C$36,"Liquidity",Indicators!$M$3:$M$36),2)</f>
        <v>-0.56999999999999995</v>
      </c>
      <c r="E7" s="27">
        <f>ROUND(AVERAGEIF(Indicators!$C$3:$C$36,"Valuation",Indicators!$M$3:$M$36),2)</f>
        <v>-1</v>
      </c>
      <c r="F7" s="27">
        <f>ROUND(AVERAGEIF(Indicators!$C$3:$C$36,"Sentiment",Indicators!$M$3:$M$36),2)</f>
        <v>1</v>
      </c>
      <c r="G7" s="27">
        <f>ROUND(AVERAGEIF(Indicators!$C$3:$C$36,"Housing",Indicators!$M$3:$M$36),2)</f>
        <v>-0.33</v>
      </c>
    </row>
    <row r="8" spans="1:10" ht="26.4">
      <c r="B8" s="20" t="str">
        <f>IF(B7&gt;0,"Supportive",IF(B7&lt;0,"Headwind","Neutral"))</f>
        <v>Supportive</v>
      </c>
      <c r="C8" s="20" t="str">
        <f>IF(C7&gt;0,"Supportive",IF(C7&lt;0,"Headwind","Neutral"))</f>
        <v>Supportive</v>
      </c>
      <c r="D8" s="20" t="str">
        <f>IF(D7&gt;0,"Supportive",IF(D7&lt;0,"Headwind","Neutral"))</f>
        <v>Headwind</v>
      </c>
      <c r="E8" s="20" t="str">
        <f>IF(E7&gt;0,"Supportive / Cheap",IF(E7&lt;0,"Headwind / Expensive","Neutral"))</f>
        <v>Headwind / Expensive</v>
      </c>
      <c r="F8" s="20" t="str">
        <f>IF(F7&gt;0,"Supportive / Fear",IF(F7&lt;0,"Headwind / Greed","Neutral"))</f>
        <v>Supportive / Fear</v>
      </c>
      <c r="G8" s="20" t="str">
        <f>IF(G7&gt;0,"Supportive",IF(G7&lt;0,"Headwind","Neutral"))</f>
        <v>Headwind</v>
      </c>
    </row>
    <row r="11" spans="1:10" ht="14.4">
      <c r="A11" s="36" t="s">
        <v>48</v>
      </c>
      <c r="B11" s="36"/>
      <c r="C11" s="36"/>
      <c r="D11" s="36"/>
      <c r="E11" s="36"/>
      <c r="F11" s="36"/>
      <c r="G11" s="36"/>
      <c r="H11" s="36"/>
    </row>
    <row r="12" spans="1:10" ht="14.4">
      <c r="A12" s="7" t="s">
        <v>49</v>
      </c>
      <c r="B12" s="7" t="s">
        <v>50</v>
      </c>
      <c r="C12" s="7" t="s">
        <v>51</v>
      </c>
      <c r="D12" s="7" t="s">
        <v>52</v>
      </c>
      <c r="E12" s="7" t="s">
        <v>53</v>
      </c>
      <c r="F12" s="7" t="s">
        <v>54</v>
      </c>
      <c r="G12" s="7" t="s">
        <v>55</v>
      </c>
      <c r="H12" s="7" t="s">
        <v>56</v>
      </c>
    </row>
    <row r="13" spans="1:10" ht="14.4">
      <c r="A13" s="2" t="str">
        <f>Indicators!A8</f>
        <v>纳斯达克营收增长</v>
      </c>
      <c r="B13" s="5">
        <f>Indicators!G8</f>
        <v>0.19600000000000001</v>
      </c>
      <c r="C13" s="5">
        <f>Indicators!H8</f>
        <v>0.28399999999999997</v>
      </c>
      <c r="D13" s="5">
        <f>Indicators!I8</f>
        <v>-8.7999999999999995E-2</v>
      </c>
      <c r="E13" s="12">
        <f>Indicators!J8</f>
        <v>-0.309859154929577</v>
      </c>
      <c r="F13" s="2" t="str">
        <f>Indicators!K8</f>
        <v>Down</v>
      </c>
      <c r="G13" s="2" t="str">
        <f>Indicators!L8</f>
        <v>Negative</v>
      </c>
      <c r="H13" s="29">
        <f>Indicators!M8</f>
        <v>-1</v>
      </c>
    </row>
    <row r="14" spans="1:10" ht="14.4">
      <c r="A14" s="2" t="str">
        <f>Indicators!A24</f>
        <v>GDP Now 预测</v>
      </c>
      <c r="B14" s="38">
        <f>Indicators!G24</f>
        <v>2.1000000000000001E-2</v>
      </c>
      <c r="C14" s="38">
        <f>Indicators!H24</f>
        <v>0.03</v>
      </c>
      <c r="D14" s="5">
        <f>Indicators!I24</f>
        <v>-8.9999999999999976E-3</v>
      </c>
      <c r="E14" s="12">
        <f>Indicators!J24</f>
        <v>-0.29999999999999993</v>
      </c>
      <c r="F14" s="2" t="str">
        <f>Indicators!K24</f>
        <v>Down</v>
      </c>
      <c r="G14" s="2" t="str">
        <f>Indicators!L24</f>
        <v>Negative</v>
      </c>
      <c r="H14" s="29">
        <f>Indicators!M24</f>
        <v>-1</v>
      </c>
    </row>
    <row r="15" spans="1:10" ht="26.4">
      <c r="A15" s="2" t="str">
        <f>Indicators!A25</f>
        <v>St. Louis Fed Economic News Ind</v>
      </c>
      <c r="B15" s="5">
        <f>Indicators!G25</f>
        <v>2.41</v>
      </c>
      <c r="C15" s="39">
        <f>Indicators!H25</f>
        <v>-1.6999999999999999E-3</v>
      </c>
      <c r="D15" s="5">
        <f>Indicators!I25</f>
        <v>2.4117000000000002</v>
      </c>
      <c r="E15" s="12">
        <f>Indicators!J25</f>
        <v>1418.64705882353</v>
      </c>
      <c r="F15" s="2" t="str">
        <f>Indicators!K25</f>
        <v>Up</v>
      </c>
      <c r="G15" s="2" t="str">
        <f>Indicators!L25</f>
        <v>Positive</v>
      </c>
      <c r="H15" s="29">
        <f>Indicators!M25</f>
        <v>1</v>
      </c>
    </row>
    <row r="16" spans="1:10" ht="39.6">
      <c r="A16" s="2" t="str">
        <f>Indicators!A26</f>
        <v>ADS 商业景气指数(华尔街交易员股市应用稀缺的实时高频指引)</v>
      </c>
      <c r="B16" s="5">
        <f>Indicators!G26</f>
        <v>0.32</v>
      </c>
      <c r="C16" s="5">
        <f>Indicators!H26</f>
        <v>-0.35</v>
      </c>
      <c r="D16" s="5">
        <f>Indicators!I26</f>
        <v>0.67</v>
      </c>
      <c r="E16" s="12">
        <f>Indicators!J26</f>
        <v>1.9142857142857099</v>
      </c>
      <c r="F16" s="2" t="str">
        <f>Indicators!K26</f>
        <v>Up</v>
      </c>
      <c r="G16" s="2" t="str">
        <f>Indicators!L26</f>
        <v>Positive</v>
      </c>
      <c r="H16" s="29">
        <f>Indicators!M26</f>
        <v>1</v>
      </c>
    </row>
    <row r="17" spans="1:8" ht="14.4">
      <c r="A17" s="2" t="str">
        <f>Indicators!A27</f>
        <v>Lightcast 数据</v>
      </c>
      <c r="B17" s="5">
        <f>Indicators!G27</f>
        <v>74.5</v>
      </c>
      <c r="C17" s="5">
        <f>Indicators!H27</f>
        <v>72</v>
      </c>
      <c r="D17" s="5">
        <f>Indicators!I27</f>
        <v>2.5</v>
      </c>
      <c r="E17" s="12">
        <f>Indicators!J27</f>
        <v>3.4722222222222203E-2</v>
      </c>
      <c r="F17" s="2" t="str">
        <f>Indicators!K27</f>
        <v>Up</v>
      </c>
      <c r="G17" s="2" t="str">
        <f>Indicators!L27</f>
        <v>Positive</v>
      </c>
      <c r="H17" s="29">
        <f>Indicators!M27</f>
        <v>1</v>
      </c>
    </row>
    <row r="18" spans="1:8" ht="14.4">
      <c r="A18" s="2" t="str">
        <f>Indicators!A28</f>
        <v>WARN Notice裁员数据</v>
      </c>
      <c r="B18" s="5">
        <f>Indicators!G28</f>
        <v>15.2</v>
      </c>
      <c r="C18" s="5">
        <f>Indicators!H28</f>
        <v>14.8</v>
      </c>
      <c r="D18" s="5">
        <f>Indicators!I28</f>
        <v>0.39999999999999902</v>
      </c>
      <c r="E18" s="12">
        <f>Indicators!J28</f>
        <v>2.70270270270269E-2</v>
      </c>
      <c r="F18" s="2" t="str">
        <f>Indicators!K28</f>
        <v>Flat</v>
      </c>
      <c r="G18" s="2" t="str">
        <f>Indicators!L28</f>
        <v>Neutral</v>
      </c>
      <c r="H18" s="29">
        <f>Indicators!M28</f>
        <v>0</v>
      </c>
    </row>
    <row r="19" spans="1:8" ht="14.4">
      <c r="A19" s="2" t="str">
        <f>Indicators!A29</f>
        <v>ADP 新增就业人数</v>
      </c>
      <c r="B19" s="5">
        <f>Indicators!G29</f>
        <v>22000</v>
      </c>
      <c r="C19" s="5">
        <f>Indicators!H29</f>
        <v>22000</v>
      </c>
      <c r="D19" s="5">
        <f>Indicators!I29</f>
        <v>0</v>
      </c>
      <c r="E19" s="12">
        <f>Indicators!J29</f>
        <v>0</v>
      </c>
      <c r="F19" s="2" t="str">
        <f>Indicators!K29</f>
        <v>Flat</v>
      </c>
      <c r="G19" s="2" t="str">
        <f>Indicators!L29</f>
        <v>Neutral</v>
      </c>
      <c r="H19" s="29">
        <f>Indicators!M29</f>
        <v>0</v>
      </c>
    </row>
    <row r="20" spans="1:8" ht="14.4">
      <c r="A20" s="2" t="str">
        <f>Indicators!A30</f>
        <v>RedBook 零售指数</v>
      </c>
      <c r="B20" s="5">
        <f>Indicators!G30</f>
        <v>6.9</v>
      </c>
      <c r="C20" s="5">
        <f>Indicators!H30</f>
        <v>7.5999999999999998E-2</v>
      </c>
      <c r="D20" s="5">
        <f>Indicators!I30</f>
        <v>6.8239999999999998</v>
      </c>
      <c r="E20" s="12">
        <f>Indicators!J30</f>
        <v>89.789473684210506</v>
      </c>
      <c r="F20" s="2" t="str">
        <f>Indicators!K30</f>
        <v>Up</v>
      </c>
      <c r="G20" s="2" t="str">
        <f>Indicators!L30</f>
        <v>Positive</v>
      </c>
      <c r="H20" s="29">
        <f>Indicators!M30</f>
        <v>1</v>
      </c>
    </row>
    <row r="23" spans="1:8" ht="14.4">
      <c r="A23" s="36" t="s">
        <v>57</v>
      </c>
      <c r="B23" s="36"/>
      <c r="C23" s="36"/>
      <c r="D23" s="36"/>
      <c r="E23" s="36"/>
      <c r="F23" s="36"/>
      <c r="G23" s="36"/>
      <c r="H23" s="36"/>
    </row>
    <row r="24" spans="1:8" ht="14.4">
      <c r="A24" s="7" t="s">
        <v>49</v>
      </c>
      <c r="B24" s="7" t="s">
        <v>50</v>
      </c>
      <c r="C24" s="7" t="s">
        <v>51</v>
      </c>
      <c r="D24" s="7" t="s">
        <v>52</v>
      </c>
      <c r="E24" s="7" t="s">
        <v>53</v>
      </c>
      <c r="F24" s="7" t="s">
        <v>54</v>
      </c>
      <c r="G24" s="7" t="s">
        <v>55</v>
      </c>
      <c r="H24" s="7" t="s">
        <v>56</v>
      </c>
    </row>
    <row r="25" spans="1:8" ht="26.4">
      <c r="A25" s="2" t="str">
        <f>Indicators!A34</f>
        <v>薪资增速 (Average Hourly Earnings)</v>
      </c>
      <c r="B25" s="5">
        <f>Indicators!G34</f>
        <v>3.8</v>
      </c>
      <c r="C25" s="5">
        <f>Indicators!H34</f>
        <v>3.7</v>
      </c>
      <c r="D25" s="5">
        <f>Indicators!I34</f>
        <v>9.9999999999999603E-2</v>
      </c>
      <c r="E25" s="12">
        <f>Indicators!J34</f>
        <v>2.70270270270269E-2</v>
      </c>
      <c r="F25" s="2" t="str">
        <f>Indicators!K34</f>
        <v>Flat</v>
      </c>
      <c r="G25" s="2" t="str">
        <f>Indicators!L34</f>
        <v>Neutral</v>
      </c>
      <c r="H25" s="29">
        <f>Indicators!M34</f>
        <v>0</v>
      </c>
    </row>
    <row r="26" spans="1:8" ht="14.4">
      <c r="A26" s="2" t="str">
        <f>Indicators!A35</f>
        <v>ISM 制造业和服务业价格指数</v>
      </c>
      <c r="B26" s="5">
        <f>Indicators!G35</f>
        <v>61.2</v>
      </c>
      <c r="C26" s="5">
        <f>Indicators!H35</f>
        <v>60.5</v>
      </c>
      <c r="D26" s="5">
        <f>Indicators!I35</f>
        <v>0.70000000000000295</v>
      </c>
      <c r="E26" s="12">
        <f>Indicators!J35</f>
        <v>1.15702479338843E-2</v>
      </c>
      <c r="F26" s="2" t="str">
        <f>Indicators!K35</f>
        <v>Flat</v>
      </c>
      <c r="G26" s="2" t="str">
        <f>Indicators!L35</f>
        <v>Neutral</v>
      </c>
      <c r="H26" s="29">
        <f>Indicators!M35</f>
        <v>0</v>
      </c>
    </row>
    <row r="27" spans="1:8" ht="14.4">
      <c r="A27" s="2" t="str">
        <f>Indicators!A36</f>
        <v>美国核心PCE物价指数</v>
      </c>
      <c r="B27" s="5">
        <f>Indicators!G36</f>
        <v>2.9</v>
      </c>
      <c r="C27" s="5">
        <f>Indicators!H36</f>
        <v>3</v>
      </c>
      <c r="D27" s="5">
        <f>Indicators!I36</f>
        <v>-0.1</v>
      </c>
      <c r="E27" s="12">
        <f>Indicators!J36</f>
        <v>-3.3333333333333402E-2</v>
      </c>
      <c r="F27" s="2" t="str">
        <f>Indicators!K36</f>
        <v>Down</v>
      </c>
      <c r="G27" s="2" t="str">
        <f>Indicators!L36</f>
        <v>Positive</v>
      </c>
      <c r="H27" s="29">
        <f>Indicators!M36</f>
        <v>1</v>
      </c>
    </row>
    <row r="30" spans="1:8" ht="14.4">
      <c r="A30" s="36" t="s">
        <v>58</v>
      </c>
      <c r="B30" s="36"/>
      <c r="C30" s="36"/>
      <c r="D30" s="36"/>
      <c r="E30" s="36"/>
      <c r="F30" s="36"/>
      <c r="G30" s="36"/>
      <c r="H30" s="36"/>
    </row>
    <row r="31" spans="1:8" ht="14.4">
      <c r="A31" s="7" t="s">
        <v>49</v>
      </c>
      <c r="B31" s="7" t="s">
        <v>50</v>
      </c>
      <c r="C31" s="7" t="s">
        <v>51</v>
      </c>
      <c r="D31" s="7" t="s">
        <v>52</v>
      </c>
      <c r="E31" s="7" t="s">
        <v>53</v>
      </c>
      <c r="F31" s="7" t="s">
        <v>54</v>
      </c>
      <c r="G31" s="7" t="s">
        <v>55</v>
      </c>
      <c r="H31" s="7" t="s">
        <v>56</v>
      </c>
    </row>
    <row r="32" spans="1:8" ht="14.4">
      <c r="A32" s="2" t="str">
        <f>Indicators!A5</f>
        <v>TGA账户</v>
      </c>
      <c r="B32" s="5">
        <f>Indicators!G5</f>
        <v>871</v>
      </c>
      <c r="C32" s="5">
        <f>Indicators!H5</f>
        <v>820</v>
      </c>
      <c r="D32" s="5">
        <f>Indicators!I5</f>
        <v>51</v>
      </c>
      <c r="E32" s="12">
        <f>Indicators!J5</f>
        <v>6.2195121951219498E-2</v>
      </c>
      <c r="F32" s="2" t="str">
        <f>Indicators!K5</f>
        <v>Up</v>
      </c>
      <c r="G32" s="2" t="str">
        <f>Indicators!L5</f>
        <v>Negative</v>
      </c>
      <c r="H32" s="29">
        <f>Indicators!M5</f>
        <v>-1</v>
      </c>
    </row>
    <row r="33" spans="1:8" ht="14.4">
      <c r="A33" s="2" t="str">
        <f>Indicators!A18</f>
        <v>TGA账户余额</v>
      </c>
      <c r="B33" s="5">
        <f>Indicators!G18</f>
        <v>871</v>
      </c>
      <c r="C33" s="5">
        <f>Indicators!H18</f>
        <v>820</v>
      </c>
      <c r="D33" s="5">
        <f>Indicators!I18</f>
        <v>51</v>
      </c>
      <c r="E33" s="12">
        <f>Indicators!J18</f>
        <v>6.2195121951219498E-2</v>
      </c>
      <c r="F33" s="2" t="str">
        <f>Indicators!K18</f>
        <v>Up</v>
      </c>
      <c r="G33" s="2" t="str">
        <f>Indicators!L18</f>
        <v>Negative</v>
      </c>
      <c r="H33" s="29">
        <f>Indicators!M18</f>
        <v>-1</v>
      </c>
    </row>
    <row r="34" spans="1:8" ht="14.4">
      <c r="A34" s="2" t="str">
        <f>Indicators!A19</f>
        <v>SOFR-OIS 基差</v>
      </c>
      <c r="B34" s="5">
        <f>Indicators!G19</f>
        <v>18</v>
      </c>
      <c r="C34" s="5">
        <f>Indicators!H19</f>
        <v>16</v>
      </c>
      <c r="D34" s="5">
        <f>Indicators!I19</f>
        <v>2</v>
      </c>
      <c r="E34" s="12">
        <f>Indicators!J19</f>
        <v>0.125</v>
      </c>
      <c r="F34" s="2" t="str">
        <f>Indicators!K19</f>
        <v>Up</v>
      </c>
      <c r="G34" s="2" t="str">
        <f>Indicators!L19</f>
        <v>Negative</v>
      </c>
      <c r="H34" s="29">
        <f>Indicators!M19</f>
        <v>-1</v>
      </c>
    </row>
    <row r="35" spans="1:8" ht="14.4">
      <c r="A35" s="2" t="str">
        <f>Indicators!A20</f>
        <v>CARRY TO RISK RITIO</v>
      </c>
      <c r="B35" s="5">
        <f>Indicators!G20</f>
        <v>0.12</v>
      </c>
      <c r="C35" s="5">
        <f>Indicators!H20</f>
        <v>0.15</v>
      </c>
      <c r="D35" s="5">
        <f>Indicators!I20</f>
        <v>-0.03</v>
      </c>
      <c r="E35" s="12">
        <f>Indicators!J20</f>
        <v>-0.2</v>
      </c>
      <c r="F35" s="2" t="str">
        <f>Indicators!K20</f>
        <v>Down</v>
      </c>
      <c r="G35" s="2" t="str">
        <f>Indicators!L20</f>
        <v>Negative</v>
      </c>
      <c r="H35" s="29">
        <f>Indicators!M20</f>
        <v>-1</v>
      </c>
    </row>
    <row r="36" spans="1:8" ht="14.4">
      <c r="A36" s="2" t="str">
        <f>Indicators!A22</f>
        <v>彭博美国金融条件指数</v>
      </c>
      <c r="B36" s="5">
        <f>Indicators!G22</f>
        <v>0.85</v>
      </c>
      <c r="C36" s="5">
        <f>Indicators!H22</f>
        <v>1.02</v>
      </c>
      <c r="D36" s="5">
        <f>Indicators!I22</f>
        <v>-0.17</v>
      </c>
      <c r="E36" s="12">
        <f>Indicators!J22</f>
        <v>-0.16666666666666699</v>
      </c>
      <c r="F36" s="2" t="str">
        <f>Indicators!K22</f>
        <v>Down</v>
      </c>
      <c r="G36" s="2" t="str">
        <f>Indicators!L22</f>
        <v>Negative</v>
      </c>
      <c r="H36" s="29">
        <f>Indicators!M22</f>
        <v>-1</v>
      </c>
    </row>
    <row r="37" spans="1:8" ht="26.4">
      <c r="A37" s="2" t="str">
        <f>Indicators!A23</f>
        <v>芝加哥联储全国金融条件指数 (NFCI)</v>
      </c>
      <c r="B37" s="5">
        <f>Indicators!G23</f>
        <v>-0.48</v>
      </c>
      <c r="C37" s="5">
        <f>Indicators!H23</f>
        <v>-0.36</v>
      </c>
      <c r="D37" s="5">
        <f>Indicators!I23</f>
        <v>-0.12</v>
      </c>
      <c r="E37" s="12">
        <f>Indicators!J23</f>
        <v>-0.33333333333333298</v>
      </c>
      <c r="F37" s="2" t="str">
        <f>Indicators!K23</f>
        <v>Down</v>
      </c>
      <c r="G37" s="2" t="str">
        <f>Indicators!L23</f>
        <v>Positive</v>
      </c>
      <c r="H37" s="29">
        <f>Indicators!M23</f>
        <v>1</v>
      </c>
    </row>
    <row r="40" spans="1:8" ht="14.4">
      <c r="A40" s="36" t="s">
        <v>59</v>
      </c>
      <c r="B40" s="36"/>
      <c r="C40" s="36"/>
      <c r="D40" s="36"/>
      <c r="E40" s="36"/>
      <c r="F40" s="36"/>
      <c r="G40" s="36"/>
      <c r="H40" s="36"/>
    </row>
    <row r="41" spans="1:8" ht="14.4">
      <c r="A41" s="7" t="s">
        <v>49</v>
      </c>
      <c r="B41" s="7" t="s">
        <v>50</v>
      </c>
      <c r="C41" s="7" t="s">
        <v>51</v>
      </c>
      <c r="D41" s="7" t="s">
        <v>52</v>
      </c>
      <c r="E41" s="7" t="s">
        <v>53</v>
      </c>
      <c r="F41" s="7" t="s">
        <v>54</v>
      </c>
      <c r="G41" s="7" t="s">
        <v>55</v>
      </c>
      <c r="H41" s="7" t="s">
        <v>56</v>
      </c>
    </row>
    <row r="42" spans="1:8" ht="14.4">
      <c r="A42" s="2" t="str">
        <f>Indicators!A3</f>
        <v>纳斯达克100毛利率五年趋势</v>
      </c>
      <c r="B42" s="5">
        <f>Indicators!G3</f>
        <v>0.54800000000000004</v>
      </c>
      <c r="C42" s="5">
        <f>Indicators!H3</f>
        <v>0.54500000000000004</v>
      </c>
      <c r="D42" s="5">
        <f>Indicators!I3</f>
        <v>3.0000000000000001E-3</v>
      </c>
      <c r="E42" s="12">
        <f>Indicators!J3</f>
        <v>5.50458715596331E-3</v>
      </c>
      <c r="F42" s="2" t="str">
        <f>Indicators!K3</f>
        <v>Flat</v>
      </c>
      <c r="G42" s="2" t="str">
        <f>Indicators!L3</f>
        <v>Neutral</v>
      </c>
      <c r="H42" s="29">
        <f>Indicators!M3</f>
        <v>0</v>
      </c>
    </row>
    <row r="43" spans="1:8" ht="26.4">
      <c r="A43" s="2" t="str">
        <f>Indicators!A4</f>
        <v>花旗标普500盈利上修动能指标</v>
      </c>
      <c r="B43" s="5">
        <f>Indicators!G4</f>
        <v>0.08</v>
      </c>
      <c r="C43" s="5">
        <f>Indicators!H4</f>
        <v>-0.28000000000000003</v>
      </c>
      <c r="D43" s="5">
        <f>Indicators!I4</f>
        <v>0.36</v>
      </c>
      <c r="E43" s="12">
        <f>Indicators!J4</f>
        <v>1.28571428571429</v>
      </c>
      <c r="F43" s="2" t="str">
        <f>Indicators!K4</f>
        <v>Up</v>
      </c>
      <c r="G43" s="2" t="str">
        <f>Indicators!L4</f>
        <v>Positive</v>
      </c>
      <c r="H43" s="29">
        <f>Indicators!M4</f>
        <v>1</v>
      </c>
    </row>
    <row r="44" spans="1:8" ht="14.4">
      <c r="A44" s="2" t="str">
        <f>Indicators!A6</f>
        <v>标普500盈余惊喜</v>
      </c>
      <c r="B44" s="5">
        <f>Indicators!G6</f>
        <v>0.22500000000000001</v>
      </c>
      <c r="C44" s="5">
        <f>Indicators!H6</f>
        <v>0.182</v>
      </c>
      <c r="D44" s="5">
        <f>Indicators!I6</f>
        <v>4.2999999999999997E-2</v>
      </c>
      <c r="E44" s="12">
        <f>Indicators!J6</f>
        <v>0.23626373626373601</v>
      </c>
      <c r="F44" s="2" t="str">
        <f>Indicators!K6</f>
        <v>Up</v>
      </c>
      <c r="G44" s="2" t="str">
        <f>Indicators!L6</f>
        <v>Positive</v>
      </c>
      <c r="H44" s="29">
        <f>Indicators!M6</f>
        <v>1</v>
      </c>
    </row>
    <row r="45" spans="1:8" ht="14.4">
      <c r="A45" s="2" t="str">
        <f>Indicators!A7</f>
        <v>标普500的roic-wacc</v>
      </c>
      <c r="B45" s="5">
        <f>Indicators!G7</f>
        <v>9.8000000000000004E-2</v>
      </c>
      <c r="C45" s="5">
        <f>Indicators!H7</f>
        <v>0.10299999999999999</v>
      </c>
      <c r="D45" s="5">
        <f>Indicators!I7</f>
        <v>-4.9999999999999897E-3</v>
      </c>
      <c r="E45" s="12">
        <f>Indicators!J7</f>
        <v>-4.85436893203883E-2</v>
      </c>
      <c r="F45" s="2" t="str">
        <f>Indicators!K7</f>
        <v>Down</v>
      </c>
      <c r="G45" s="2" t="str">
        <f>Indicators!L7</f>
        <v>Negative</v>
      </c>
      <c r="H45" s="29">
        <f>Indicators!M7</f>
        <v>-1</v>
      </c>
    </row>
    <row r="46" spans="1:8" ht="14.4">
      <c r="A46" s="2" t="str">
        <f>Indicators!A9</f>
        <v>标普500的ERP</v>
      </c>
      <c r="B46" s="5">
        <f>Indicators!G9</f>
        <v>2.8899999999999999E-2</v>
      </c>
      <c r="C46" s="5">
        <f>Indicators!H9</f>
        <v>3.15E-2</v>
      </c>
      <c r="D46" s="5">
        <f>Indicators!I9</f>
        <v>-2.5999999999999999E-3</v>
      </c>
      <c r="E46" s="12">
        <f>Indicators!J9</f>
        <v>-8.2539682539682593E-2</v>
      </c>
      <c r="F46" s="2" t="str">
        <f>Indicators!K9</f>
        <v>Down</v>
      </c>
      <c r="G46" s="2" t="str">
        <f>Indicators!L9</f>
        <v>Negative</v>
      </c>
      <c r="H46" s="29">
        <f>Indicators!M9</f>
        <v>-1</v>
      </c>
    </row>
    <row r="47" spans="1:8" ht="26.4">
      <c r="A47" s="2" t="str">
        <f>Indicators!A10</f>
        <v>标普500的花旗盈利修正指数 (ERI)</v>
      </c>
      <c r="B47" s="5">
        <f>Indicators!G10</f>
        <v>0.55000000000000004</v>
      </c>
      <c r="C47" s="5">
        <f>Indicators!H10</f>
        <v>0.48</v>
      </c>
      <c r="D47" s="5">
        <f>Indicators!I10</f>
        <v>7.0000000000000104E-2</v>
      </c>
      <c r="E47" s="12">
        <f>Indicators!J10</f>
        <v>0.14583333333333301</v>
      </c>
      <c r="F47" s="2" t="str">
        <f>Indicators!K10</f>
        <v>Up</v>
      </c>
      <c r="G47" s="2" t="str">
        <f>Indicators!L10</f>
        <v>Positive</v>
      </c>
      <c r="H47" s="29">
        <f>Indicators!M10</f>
        <v>1</v>
      </c>
    </row>
    <row r="48" spans="1:8" ht="26.4">
      <c r="A48" s="2" t="str">
        <f>Indicators!A11</f>
        <v>标普500的花旗经济意外指数 (CESI US)</v>
      </c>
      <c r="B48" s="5">
        <f>Indicators!G11</f>
        <v>40</v>
      </c>
      <c r="C48" s="5">
        <f>Indicators!H11</f>
        <v>20</v>
      </c>
      <c r="D48" s="5">
        <f>Indicators!I11</f>
        <v>20</v>
      </c>
      <c r="E48" s="12">
        <f>Indicators!J11</f>
        <v>1</v>
      </c>
      <c r="F48" s="2" t="str">
        <f>Indicators!K11</f>
        <v>Up</v>
      </c>
      <c r="G48" s="2" t="str">
        <f>Indicators!L11</f>
        <v>Positive</v>
      </c>
      <c r="H48" s="29">
        <f>Indicators!M11</f>
        <v>1</v>
      </c>
    </row>
    <row r="49" spans="1:8" ht="14.4">
      <c r="A49" s="2" t="str">
        <f>Indicators!A13</f>
        <v>标普500的现金流 PEG</v>
      </c>
      <c r="B49" s="5">
        <f>Indicators!G13</f>
        <v>1.0900000000000001</v>
      </c>
      <c r="C49" s="5">
        <f>Indicators!H13</f>
        <v>1.03</v>
      </c>
      <c r="D49" s="5">
        <f>Indicators!I13</f>
        <v>6.0000000000000102E-2</v>
      </c>
      <c r="E49" s="12">
        <f>Indicators!J13</f>
        <v>5.8252427184466098E-2</v>
      </c>
      <c r="F49" s="2" t="str">
        <f>Indicators!K13</f>
        <v>Up</v>
      </c>
      <c r="G49" s="2" t="str">
        <f>Indicators!L13</f>
        <v>Negative</v>
      </c>
      <c r="H49" s="29">
        <f>Indicators!M13</f>
        <v>-1</v>
      </c>
    </row>
    <row r="50" spans="1:8" ht="26.4">
      <c r="A50" s="2" t="str">
        <f>Indicators!A14</f>
        <v>标普500的真实股东收益率（Total Shareholder</v>
      </c>
      <c r="B50" s="5">
        <f>Indicators!G14</f>
        <v>3.9800000000000002E-2</v>
      </c>
      <c r="C50" s="5">
        <f>Indicators!H14</f>
        <v>4.4699999999999997E-2</v>
      </c>
      <c r="D50" s="5">
        <f>Indicators!I14</f>
        <v>-4.8999999999999903E-3</v>
      </c>
      <c r="E50" s="12">
        <f>Indicators!J14</f>
        <v>-0.109619686800895</v>
      </c>
      <c r="F50" s="2" t="str">
        <f>Indicators!K14</f>
        <v>Down</v>
      </c>
      <c r="G50" s="2" t="str">
        <f>Indicators!L14</f>
        <v>Negative</v>
      </c>
      <c r="H50" s="29">
        <f>Indicators!M14</f>
        <v>-1</v>
      </c>
    </row>
    <row r="51" spans="1:8" ht="14.4">
      <c r="A51" s="2" t="str">
        <f>Indicators!A21</f>
        <v>高盛美国宏观金融指数</v>
      </c>
      <c r="B51" s="5">
        <f>Indicators!G21</f>
        <v>97.6</v>
      </c>
      <c r="C51" s="5">
        <f>Indicators!H21</f>
        <v>97.8</v>
      </c>
      <c r="D51" s="5">
        <f>Indicators!I21</f>
        <v>-0.20000000000000301</v>
      </c>
      <c r="E51" s="12">
        <f>Indicators!J21</f>
        <v>-2.0449897750511501E-3</v>
      </c>
      <c r="F51" s="2" t="str">
        <f>Indicators!K21</f>
        <v>Flat</v>
      </c>
      <c r="G51" s="2" t="str">
        <f>Indicators!L21</f>
        <v>Neutral</v>
      </c>
      <c r="H51" s="29">
        <f>Indicators!M21</f>
        <v>0</v>
      </c>
    </row>
    <row r="54" spans="1:8" ht="14.4">
      <c r="A54" s="36" t="s">
        <v>60</v>
      </c>
      <c r="B54" s="36"/>
      <c r="C54" s="36"/>
      <c r="D54" s="36"/>
      <c r="E54" s="36"/>
      <c r="F54" s="36"/>
      <c r="G54" s="36"/>
      <c r="H54" s="36"/>
    </row>
    <row r="55" spans="1:8" ht="14.4">
      <c r="A55" s="7" t="s">
        <v>49</v>
      </c>
      <c r="B55" s="7" t="s">
        <v>50</v>
      </c>
      <c r="C55" s="7" t="s">
        <v>51</v>
      </c>
      <c r="D55" s="7" t="s">
        <v>52</v>
      </c>
      <c r="E55" s="7" t="s">
        <v>53</v>
      </c>
      <c r="F55" s="7" t="s">
        <v>54</v>
      </c>
      <c r="G55" s="7" t="s">
        <v>55</v>
      </c>
      <c r="H55" s="7" t="s">
        <v>56</v>
      </c>
    </row>
    <row r="56" spans="1:8" ht="14.4">
      <c r="A56" s="2" t="str">
        <f>Indicators!A12</f>
        <v>主权基金净流入情况</v>
      </c>
      <c r="B56" s="5">
        <f>Indicators!G12</f>
        <v>50.2</v>
      </c>
      <c r="C56" s="5">
        <f>Indicators!H12</f>
        <v>55.6</v>
      </c>
      <c r="D56" s="5">
        <f>Indicators!I12</f>
        <v>-5.4</v>
      </c>
      <c r="E56" s="12">
        <f>Indicators!J12</f>
        <v>-9.7122302158273305E-2</v>
      </c>
      <c r="F56" s="2" t="str">
        <f>Indicators!K12</f>
        <v>Down</v>
      </c>
      <c r="G56" s="2" t="str">
        <f>Indicators!L12</f>
        <v>Positive</v>
      </c>
      <c r="H56" s="29">
        <f>Indicators!M12</f>
        <v>1</v>
      </c>
    </row>
    <row r="57" spans="1:8" ht="14.4">
      <c r="A57" s="2" t="str">
        <f>Indicators!A15</f>
        <v>AAII个人投资者净看多比例</v>
      </c>
      <c r="B57" s="5">
        <f>Indicators!G15</f>
        <v>0.25700000000000001</v>
      </c>
      <c r="C57" s="5">
        <f>Indicators!H15</f>
        <v>0.29699999999999999</v>
      </c>
      <c r="D57" s="5">
        <f>Indicators!I15</f>
        <v>-0.04</v>
      </c>
      <c r="E57" s="12">
        <f>Indicators!J15</f>
        <v>-0.13468013468013501</v>
      </c>
      <c r="F57" s="2" t="str">
        <f>Indicators!K15</f>
        <v>Down</v>
      </c>
      <c r="G57" s="2" t="str">
        <f>Indicators!L15</f>
        <v>Positive</v>
      </c>
      <c r="H57" s="29">
        <f>Indicators!M15</f>
        <v>1</v>
      </c>
    </row>
    <row r="58" spans="1:8" ht="14.4">
      <c r="A58" s="2" t="str">
        <f>Indicators!A16</f>
        <v>Market Vane 股市看涨情绪</v>
      </c>
      <c r="B58" s="5">
        <f>Indicators!G16</f>
        <v>0.75</v>
      </c>
      <c r="C58" s="5">
        <f>Indicators!H16</f>
        <v>0.78</v>
      </c>
      <c r="D58" s="5">
        <f>Indicators!I16</f>
        <v>-0.03</v>
      </c>
      <c r="E58" s="12">
        <f>Indicators!J16</f>
        <v>-3.8461538461538498E-2</v>
      </c>
      <c r="F58" s="2" t="str">
        <f>Indicators!K16</f>
        <v>Down</v>
      </c>
      <c r="G58" s="2" t="str">
        <f>Indicators!L16</f>
        <v>Positive</v>
      </c>
      <c r="H58" s="29">
        <f>Indicators!M16</f>
        <v>1</v>
      </c>
    </row>
    <row r="59" spans="1:8" ht="14.4">
      <c r="A59" s="2" t="str">
        <f>Indicators!A17</f>
        <v>保证金债务和市值比率</v>
      </c>
      <c r="B59" s="5">
        <f>Indicators!G17</f>
        <v>0.25700000000000001</v>
      </c>
      <c r="C59" s="5">
        <f>Indicators!H17</f>
        <v>0.29699999999999999</v>
      </c>
      <c r="D59" s="5">
        <f>Indicators!I17</f>
        <v>-0.04</v>
      </c>
      <c r="E59" s="12">
        <f>Indicators!J17</f>
        <v>-0.13468013468013501</v>
      </c>
      <c r="F59" s="2" t="str">
        <f>Indicators!K17</f>
        <v>Down</v>
      </c>
      <c r="G59" s="2" t="str">
        <f>Indicators!L17</f>
        <v>Positive</v>
      </c>
      <c r="H59" s="29">
        <f>Indicators!M17</f>
        <v>1</v>
      </c>
    </row>
    <row r="62" spans="1:8" ht="14.4">
      <c r="A62" s="36" t="s">
        <v>61</v>
      </c>
      <c r="B62" s="36"/>
      <c r="C62" s="36"/>
      <c r="D62" s="36"/>
      <c r="E62" s="36"/>
      <c r="F62" s="36"/>
      <c r="G62" s="36"/>
      <c r="H62" s="36"/>
    </row>
    <row r="63" spans="1:8" ht="14.4">
      <c r="A63" s="7" t="s">
        <v>49</v>
      </c>
      <c r="B63" s="7" t="s">
        <v>50</v>
      </c>
      <c r="C63" s="7" t="s">
        <v>51</v>
      </c>
      <c r="D63" s="7" t="s">
        <v>52</v>
      </c>
      <c r="E63" s="7" t="s">
        <v>53</v>
      </c>
      <c r="F63" s="7" t="s">
        <v>54</v>
      </c>
      <c r="G63" s="7" t="s">
        <v>55</v>
      </c>
      <c r="H63" s="7" t="s">
        <v>56</v>
      </c>
    </row>
    <row r="64" spans="1:8" ht="14.4">
      <c r="A64" s="2" t="str">
        <f>Indicators!A31</f>
        <v>房地产待售时长（4WMA）</v>
      </c>
      <c r="B64" s="5">
        <f>Indicators!G31</f>
        <v>78</v>
      </c>
      <c r="C64" s="5">
        <f>Indicators!H31</f>
        <v>58</v>
      </c>
      <c r="D64" s="5">
        <f>Indicators!I31</f>
        <v>20</v>
      </c>
      <c r="E64" s="12">
        <f>Indicators!J31</f>
        <v>0.34482758620689702</v>
      </c>
      <c r="F64" s="2" t="str">
        <f>Indicators!K31</f>
        <v>Up</v>
      </c>
      <c r="G64" s="2" t="str">
        <f>Indicators!L31</f>
        <v>Negative</v>
      </c>
      <c r="H64" s="29">
        <f>Indicators!M31</f>
        <v>-1</v>
      </c>
    </row>
    <row r="65" spans="1:8" ht="14.4">
      <c r="A65" s="2" t="str">
        <f>Indicators!A32</f>
        <v>Redfin 房屋销售量</v>
      </c>
      <c r="B65" s="5">
        <f>Indicators!G32</f>
        <v>3.55</v>
      </c>
      <c r="C65" s="5">
        <f>Indicators!H32</f>
        <v>3.6</v>
      </c>
      <c r="D65" s="5">
        <f>Indicators!I32</f>
        <v>-5.0000000000000301E-2</v>
      </c>
      <c r="E65" s="12">
        <f>Indicators!J32</f>
        <v>-1.3888888888888999E-2</v>
      </c>
      <c r="F65" s="2" t="str">
        <f>Indicators!K32</f>
        <v>Flat</v>
      </c>
      <c r="G65" s="2" t="str">
        <f>Indicators!L32</f>
        <v>Neutral</v>
      </c>
      <c r="H65" s="29">
        <f>Indicators!M32</f>
        <v>0</v>
      </c>
    </row>
    <row r="66" spans="1:8" ht="14.4">
      <c r="A66" s="2" t="str">
        <f>Indicators!A33</f>
        <v>美国中位数房价</v>
      </c>
      <c r="B66" s="5">
        <f>Indicators!G33</f>
        <v>415</v>
      </c>
      <c r="C66" s="5">
        <f>Indicators!H33</f>
        <v>408</v>
      </c>
      <c r="D66" s="5">
        <f>Indicators!I33</f>
        <v>7</v>
      </c>
      <c r="E66" s="12">
        <f>Indicators!J33</f>
        <v>1.7156862745097999E-2</v>
      </c>
      <c r="F66" s="2" t="str">
        <f>Indicators!K33</f>
        <v>Flat</v>
      </c>
      <c r="G66" s="2" t="str">
        <f>Indicators!L33</f>
        <v>Neutral</v>
      </c>
      <c r="H66" s="29">
        <f>Indicators!M33</f>
        <v>0</v>
      </c>
    </row>
  </sheetData>
  <mergeCells count="7">
    <mergeCell ref="A62:H62"/>
    <mergeCell ref="A1:J2"/>
    <mergeCell ref="A11:H11"/>
    <mergeCell ref="A23:H23"/>
    <mergeCell ref="A30:H30"/>
    <mergeCell ref="A40:H40"/>
    <mergeCell ref="A54:H54"/>
  </mergeCells>
  <phoneticPr fontId="19" type="noConversion"/>
  <conditionalFormatting sqref="H13:H20">
    <cfRule type="colorScale" priority="2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conditionalFormatting sqref="H25:H27">
    <cfRule type="colorScale" priority="3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conditionalFormatting sqref="H32:H37">
    <cfRule type="colorScale" priority="4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conditionalFormatting sqref="H42:H51">
    <cfRule type="colorScale" priority="5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conditionalFormatting sqref="H56:H59">
    <cfRule type="colorScale" priority="6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conditionalFormatting sqref="H64:H66">
    <cfRule type="colorScale" priority="7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6"/>
  <sheetViews>
    <sheetView showGridLines="0" workbookViewId="0">
      <pane ySplit="2" topLeftCell="A15" activePane="bottomLeft" state="frozen"/>
      <selection pane="bottomLeft" activeCell="H25" sqref="H25"/>
    </sheetView>
  </sheetViews>
  <sheetFormatPr defaultColWidth="8.6640625" defaultRowHeight="15" customHeight="1"/>
  <cols>
    <col min="1" max="2" width="32" customWidth="1"/>
    <col min="3" max="3" width="11" customWidth="1"/>
    <col min="4" max="4" width="32" customWidth="1"/>
    <col min="5" max="5" width="11" customWidth="1"/>
    <col min="6" max="6" width="14" customWidth="1"/>
    <col min="7" max="7" width="9" customWidth="1"/>
    <col min="8" max="8" width="10" customWidth="1"/>
    <col min="9" max="14" width="32" customWidth="1"/>
  </cols>
  <sheetData>
    <row r="1" spans="1:14" ht="20.399999999999999">
      <c r="A1" s="35" t="s">
        <v>62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4.4">
      <c r="A2" s="7" t="s">
        <v>49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50</v>
      </c>
      <c r="H2" s="7" t="s">
        <v>51</v>
      </c>
      <c r="I2" s="7" t="s">
        <v>52</v>
      </c>
      <c r="J2" s="7" t="s">
        <v>53</v>
      </c>
      <c r="K2" s="7" t="s">
        <v>54</v>
      </c>
      <c r="L2" s="7" t="s">
        <v>55</v>
      </c>
      <c r="M2" s="7" t="s">
        <v>56</v>
      </c>
      <c r="N2" s="7" t="s">
        <v>68</v>
      </c>
    </row>
    <row r="3" spans="1:14" ht="26.4">
      <c r="A3" s="3" t="s">
        <v>69</v>
      </c>
      <c r="B3" s="19" t="s">
        <v>70</v>
      </c>
      <c r="C3" s="2" t="s">
        <v>36</v>
      </c>
      <c r="D3" s="3" t="s">
        <v>69</v>
      </c>
      <c r="E3" s="2" t="s">
        <v>71</v>
      </c>
      <c r="F3" s="2" t="s">
        <v>72</v>
      </c>
      <c r="G3" s="12">
        <v>0.54800000000000004</v>
      </c>
      <c r="H3" s="12">
        <v>0.54500000000000004</v>
      </c>
      <c r="I3" s="5">
        <f t="shared" ref="I3:I36" si="0">IF(OR(G3="",H3=""),"",G3-H3)</f>
        <v>3.0000000000000001E-3</v>
      </c>
      <c r="J3" s="12">
        <f t="shared" ref="J3:J36" si="1">IF(OR(H3=0,H3=""),"",I3/ABS(H3))</f>
        <v>5.50458715596331E-3</v>
      </c>
      <c r="K3" s="20" t="str">
        <f>IF(OR(G3="",H3=""),"N/A",IF(ABS(J3)&gt;=Controls!$B$4,IF(J3&gt;0,"Up","Down"),"Flat"))</f>
        <v>Flat</v>
      </c>
      <c r="L3" s="20" t="str">
        <f t="shared" ref="L3:L36" si="2">IF(F3="HigherBetter",IF(K3="Up","Positive",IF(K3="Down","Negative","Neutral")),IF(F3="HigherWorse",IF(K3="Up","Negative",IF(K3="Down","Positive","Neutral")),IF(F3="LowerBetter",IF(K3="Up","Negative",IF(K3="Down","Positive","Neutral")),"Neutral")))</f>
        <v>Neutral</v>
      </c>
      <c r="M3" s="21">
        <f>IF(L3="Positive",Controls!$B$5,IF(L3="Negative",Controls!$B$7,Controls!$B$6))</f>
        <v>0</v>
      </c>
      <c r="N3" s="3" t="s">
        <v>73</v>
      </c>
    </row>
    <row r="4" spans="1:14" ht="26.4">
      <c r="A4" s="3" t="s">
        <v>74</v>
      </c>
      <c r="B4" s="19" t="s">
        <v>75</v>
      </c>
      <c r="C4" s="2" t="s">
        <v>36</v>
      </c>
      <c r="D4" s="3" t="s">
        <v>76</v>
      </c>
      <c r="E4" s="2" t="s">
        <v>71</v>
      </c>
      <c r="F4" s="2" t="s">
        <v>72</v>
      </c>
      <c r="G4" s="12">
        <v>0.08</v>
      </c>
      <c r="H4" s="12">
        <v>-0.28000000000000003</v>
      </c>
      <c r="I4" s="5">
        <f t="shared" si="0"/>
        <v>0.36</v>
      </c>
      <c r="J4" s="12">
        <f t="shared" si="1"/>
        <v>1.28571428571429</v>
      </c>
      <c r="K4" s="20" t="str">
        <f>IF(OR(G4="",H4=""),"N/A",IF(ABS(J4)&gt;=Controls!$B$4,IF(J4&gt;0,"Up","Down"),"Flat"))</f>
        <v>Up</v>
      </c>
      <c r="L4" s="20" t="str">
        <f t="shared" si="2"/>
        <v>Positive</v>
      </c>
      <c r="M4" s="21">
        <f>IF(L4="Positive",Controls!$B$5,IF(L4="Negative",Controls!$B$7,Controls!$B$6))</f>
        <v>1</v>
      </c>
      <c r="N4" s="3" t="s">
        <v>77</v>
      </c>
    </row>
    <row r="5" spans="1:14" ht="26.4">
      <c r="A5" s="2" t="s">
        <v>78</v>
      </c>
      <c r="B5" s="19" t="s">
        <v>79</v>
      </c>
      <c r="C5" s="2" t="s">
        <v>39</v>
      </c>
      <c r="D5" s="2" t="s">
        <v>78</v>
      </c>
      <c r="E5" s="2" t="s">
        <v>71</v>
      </c>
      <c r="F5" s="2" t="s">
        <v>80</v>
      </c>
      <c r="G5" s="5">
        <v>871</v>
      </c>
      <c r="H5" s="5">
        <v>820</v>
      </c>
      <c r="I5" s="5">
        <f t="shared" si="0"/>
        <v>51</v>
      </c>
      <c r="J5" s="12">
        <f t="shared" si="1"/>
        <v>6.2195121951219498E-2</v>
      </c>
      <c r="K5" s="20" t="str">
        <f>IF(OR(G5="",H5=""),"N/A",IF(ABS(J5)&gt;=Controls!$B$4,IF(J5&gt;0,"Up","Down"),"Flat"))</f>
        <v>Up</v>
      </c>
      <c r="L5" s="20" t="str">
        <f t="shared" si="2"/>
        <v>Negative</v>
      </c>
      <c r="M5" s="21">
        <f>IF(L5="Positive",Controls!$B$5,IF(L5="Negative",Controls!$B$7,Controls!$B$6))</f>
        <v>-1</v>
      </c>
      <c r="N5" s="2" t="s">
        <v>81</v>
      </c>
    </row>
    <row r="6" spans="1:14" ht="14.4">
      <c r="A6" s="3" t="s">
        <v>82</v>
      </c>
      <c r="B6" s="19" t="s">
        <v>83</v>
      </c>
      <c r="C6" s="2" t="s">
        <v>36</v>
      </c>
      <c r="D6" s="3" t="s">
        <v>84</v>
      </c>
      <c r="E6" s="2" t="s">
        <v>71</v>
      </c>
      <c r="F6" s="2" t="s">
        <v>72</v>
      </c>
      <c r="G6" s="12">
        <v>0.22500000000000001</v>
      </c>
      <c r="H6" s="12">
        <v>0.182</v>
      </c>
      <c r="I6" s="5">
        <f t="shared" si="0"/>
        <v>4.2999999999999997E-2</v>
      </c>
      <c r="J6" s="12">
        <f t="shared" si="1"/>
        <v>0.23626373626373601</v>
      </c>
      <c r="K6" s="20" t="str">
        <f>IF(OR(G6="",H6=""),"N/A",IF(ABS(J6)&gt;=Controls!$B$4,IF(J6&gt;0,"Up","Down"),"Flat"))</f>
        <v>Up</v>
      </c>
      <c r="L6" s="20" t="str">
        <f t="shared" si="2"/>
        <v>Positive</v>
      </c>
      <c r="M6" s="21">
        <f>IF(L6="Positive",Controls!$B$5,IF(L6="Negative",Controls!$B$7,Controls!$B$6))</f>
        <v>1</v>
      </c>
      <c r="N6" s="3" t="s">
        <v>85</v>
      </c>
    </row>
    <row r="7" spans="1:14" ht="26.4">
      <c r="A7" s="3" t="s">
        <v>86</v>
      </c>
      <c r="B7" s="19" t="s">
        <v>87</v>
      </c>
      <c r="C7" s="2" t="s">
        <v>36</v>
      </c>
      <c r="D7" s="2" t="s">
        <v>88</v>
      </c>
      <c r="E7" s="2" t="s">
        <v>71</v>
      </c>
      <c r="F7" s="2" t="s">
        <v>72</v>
      </c>
      <c r="G7" s="12">
        <v>9.8000000000000004E-2</v>
      </c>
      <c r="H7" s="12">
        <v>0.10299999999999999</v>
      </c>
      <c r="I7" s="5">
        <f t="shared" si="0"/>
        <v>-4.9999999999999897E-3</v>
      </c>
      <c r="J7" s="12">
        <f t="shared" si="1"/>
        <v>-4.85436893203883E-2</v>
      </c>
      <c r="K7" s="20" t="str">
        <f>IF(OR(G7="",H7=""),"N/A",IF(ABS(J7)&gt;=Controls!$B$4,IF(J7&gt;0,"Up","Down"),"Flat"))</f>
        <v>Down</v>
      </c>
      <c r="L7" s="20" t="str">
        <f t="shared" si="2"/>
        <v>Negative</v>
      </c>
      <c r="M7" s="21">
        <f>IF(L7="Positive",Controls!$B$5,IF(L7="Negative",Controls!$B$7,Controls!$B$6))</f>
        <v>-1</v>
      </c>
      <c r="N7" s="3" t="s">
        <v>89</v>
      </c>
    </row>
    <row r="8" spans="1:14" ht="26.4">
      <c r="A8" s="3" t="s">
        <v>90</v>
      </c>
      <c r="B8" s="19" t="s">
        <v>91</v>
      </c>
      <c r="C8" s="2" t="s">
        <v>36</v>
      </c>
      <c r="D8" s="3" t="s">
        <v>92</v>
      </c>
      <c r="E8" s="2" t="s">
        <v>71</v>
      </c>
      <c r="F8" s="2" t="s">
        <v>72</v>
      </c>
      <c r="G8" s="12">
        <v>0.19600000000000001</v>
      </c>
      <c r="H8" s="12">
        <v>0.28399999999999997</v>
      </c>
      <c r="I8" s="5">
        <f t="shared" si="0"/>
        <v>-8.7999999999999995E-2</v>
      </c>
      <c r="J8" s="12">
        <f t="shared" si="1"/>
        <v>-0.309859154929577</v>
      </c>
      <c r="K8" s="20" t="str">
        <f>IF(OR(G8="",H8=""),"N/A",IF(ABS(J8)&gt;=Controls!$B$4,IF(J8&gt;0,"Up","Down"),"Flat"))</f>
        <v>Down</v>
      </c>
      <c r="L8" s="20" t="str">
        <f t="shared" si="2"/>
        <v>Negative</v>
      </c>
      <c r="M8" s="21">
        <f>IF(L8="Positive",Controls!$B$5,IF(L8="Negative",Controls!$B$7,Controls!$B$6))</f>
        <v>-1</v>
      </c>
      <c r="N8" s="2" t="s">
        <v>81</v>
      </c>
    </row>
    <row r="9" spans="1:14" ht="26.4">
      <c r="A9" s="3" t="s">
        <v>93</v>
      </c>
      <c r="B9" s="19" t="s">
        <v>94</v>
      </c>
      <c r="C9" s="2" t="s">
        <v>40</v>
      </c>
      <c r="D9" s="2" t="s">
        <v>95</v>
      </c>
      <c r="E9" s="2" t="s">
        <v>71</v>
      </c>
      <c r="F9" s="2" t="s">
        <v>72</v>
      </c>
      <c r="G9" s="12">
        <v>2.8899999999999999E-2</v>
      </c>
      <c r="H9" s="12">
        <v>3.15E-2</v>
      </c>
      <c r="I9" s="5">
        <f t="shared" si="0"/>
        <v>-2.5999999999999999E-3</v>
      </c>
      <c r="J9" s="12">
        <f t="shared" si="1"/>
        <v>-8.2539682539682593E-2</v>
      </c>
      <c r="K9" s="20" t="str">
        <f>IF(OR(G9="",H9=""),"N/A",IF(ABS(J9)&gt;=Controls!$B$4,IF(J9&gt;0,"Up","Down"),"Flat"))</f>
        <v>Down</v>
      </c>
      <c r="L9" s="20" t="str">
        <f t="shared" si="2"/>
        <v>Negative</v>
      </c>
      <c r="M9" s="21">
        <f>IF(L9="Positive",Controls!$B$5,IF(L9="Negative",Controls!$B$7,Controls!$B$6))</f>
        <v>-1</v>
      </c>
      <c r="N9" s="2" t="s">
        <v>81</v>
      </c>
    </row>
    <row r="10" spans="1:14" ht="26.4">
      <c r="A10" s="3" t="s">
        <v>96</v>
      </c>
      <c r="B10" s="19" t="s">
        <v>97</v>
      </c>
      <c r="C10" s="2" t="s">
        <v>36</v>
      </c>
      <c r="D10" s="3" t="s">
        <v>98</v>
      </c>
      <c r="E10" s="2" t="s">
        <v>71</v>
      </c>
      <c r="F10" s="2" t="s">
        <v>72</v>
      </c>
      <c r="G10" s="12">
        <v>0.55000000000000004</v>
      </c>
      <c r="H10" s="12">
        <v>0.48</v>
      </c>
      <c r="I10" s="5">
        <f t="shared" si="0"/>
        <v>7.0000000000000104E-2</v>
      </c>
      <c r="J10" s="12">
        <f t="shared" si="1"/>
        <v>0.14583333333333301</v>
      </c>
      <c r="K10" s="20" t="str">
        <f>IF(OR(G10="",H10=""),"N/A",IF(ABS(J10)&gt;=Controls!$B$4,IF(J10&gt;0,"Up","Down"),"Flat"))</f>
        <v>Up</v>
      </c>
      <c r="L10" s="20" t="str">
        <f t="shared" si="2"/>
        <v>Positive</v>
      </c>
      <c r="M10" s="21">
        <f>IF(L10="Positive",Controls!$B$5,IF(L10="Negative",Controls!$B$7,Controls!$B$6))</f>
        <v>1</v>
      </c>
      <c r="N10" s="3" t="s">
        <v>99</v>
      </c>
    </row>
    <row r="11" spans="1:14" ht="26.4">
      <c r="A11" s="3" t="s">
        <v>100</v>
      </c>
      <c r="B11" s="19" t="s">
        <v>101</v>
      </c>
      <c r="C11" s="2" t="s">
        <v>36</v>
      </c>
      <c r="D11" s="3" t="s">
        <v>102</v>
      </c>
      <c r="E11" s="2" t="s">
        <v>71</v>
      </c>
      <c r="F11" s="2" t="s">
        <v>72</v>
      </c>
      <c r="G11" s="5">
        <v>40</v>
      </c>
      <c r="H11" s="5">
        <v>20</v>
      </c>
      <c r="I11" s="5">
        <f t="shared" si="0"/>
        <v>20</v>
      </c>
      <c r="J11" s="12">
        <f t="shared" si="1"/>
        <v>1</v>
      </c>
      <c r="K11" s="20" t="str">
        <f>IF(OR(G11="",H11=""),"N/A",IF(ABS(J11)&gt;=Controls!$B$4,IF(J11&gt;0,"Up","Down"),"Flat"))</f>
        <v>Up</v>
      </c>
      <c r="L11" s="20" t="str">
        <f t="shared" si="2"/>
        <v>Positive</v>
      </c>
      <c r="M11" s="21">
        <f>IF(L11="Positive",Controls!$B$5,IF(L11="Negative",Controls!$B$7,Controls!$B$6))</f>
        <v>1</v>
      </c>
      <c r="N11" s="3" t="s">
        <v>103</v>
      </c>
    </row>
    <row r="12" spans="1:14" ht="26.4">
      <c r="A12" s="3" t="s">
        <v>104</v>
      </c>
      <c r="B12" s="19" t="s">
        <v>105</v>
      </c>
      <c r="C12" s="2" t="s">
        <v>41</v>
      </c>
      <c r="D12" s="3" t="s">
        <v>106</v>
      </c>
      <c r="E12" s="2" t="s">
        <v>71</v>
      </c>
      <c r="F12" s="2" t="s">
        <v>80</v>
      </c>
      <c r="G12" s="5">
        <v>50.2</v>
      </c>
      <c r="H12" s="5">
        <v>55.6</v>
      </c>
      <c r="I12" s="5">
        <f t="shared" si="0"/>
        <v>-5.4</v>
      </c>
      <c r="J12" s="12">
        <f t="shared" si="1"/>
        <v>-9.7122302158273305E-2</v>
      </c>
      <c r="K12" s="20" t="str">
        <f>IF(OR(G12="",H12=""),"N/A",IF(ABS(J12)&gt;=Controls!$B$4,IF(J12&gt;0,"Up","Down"),"Flat"))</f>
        <v>Down</v>
      </c>
      <c r="L12" s="20" t="str">
        <f t="shared" si="2"/>
        <v>Positive</v>
      </c>
      <c r="M12" s="21">
        <f>IF(L12="Positive",Controls!$B$5,IF(L12="Negative",Controls!$B$7,Controls!$B$6))</f>
        <v>1</v>
      </c>
      <c r="N12" s="3" t="s">
        <v>107</v>
      </c>
    </row>
    <row r="13" spans="1:14" ht="26.4">
      <c r="A13" s="3" t="s">
        <v>108</v>
      </c>
      <c r="B13" s="19" t="s">
        <v>109</v>
      </c>
      <c r="C13" s="2" t="s">
        <v>40</v>
      </c>
      <c r="D13" s="3" t="s">
        <v>110</v>
      </c>
      <c r="E13" s="2" t="s">
        <v>71</v>
      </c>
      <c r="F13" s="2" t="s">
        <v>80</v>
      </c>
      <c r="G13" s="5">
        <v>1.0900000000000001</v>
      </c>
      <c r="H13" s="5">
        <v>1.03</v>
      </c>
      <c r="I13" s="5">
        <f t="shared" si="0"/>
        <v>6.0000000000000102E-2</v>
      </c>
      <c r="J13" s="12">
        <f t="shared" si="1"/>
        <v>5.8252427184466098E-2</v>
      </c>
      <c r="K13" s="20" t="str">
        <f>IF(OR(G13="",H13=""),"N/A",IF(ABS(J13)&gt;=Controls!$B$4,IF(J13&gt;0,"Up","Down"),"Flat"))</f>
        <v>Up</v>
      </c>
      <c r="L13" s="20" t="str">
        <f t="shared" si="2"/>
        <v>Negative</v>
      </c>
      <c r="M13" s="21">
        <f>IF(L13="Positive",Controls!$B$5,IF(L13="Negative",Controls!$B$7,Controls!$B$6))</f>
        <v>-1</v>
      </c>
      <c r="N13" s="2" t="s">
        <v>81</v>
      </c>
    </row>
    <row r="14" spans="1:14" ht="26.4">
      <c r="A14" s="3" t="s">
        <v>111</v>
      </c>
      <c r="B14" s="19" t="s">
        <v>112</v>
      </c>
      <c r="C14" s="2" t="s">
        <v>40</v>
      </c>
      <c r="D14" s="2" t="s">
        <v>113</v>
      </c>
      <c r="E14" s="2" t="s">
        <v>71</v>
      </c>
      <c r="F14" s="2" t="s">
        <v>72</v>
      </c>
      <c r="G14" s="12">
        <v>3.9800000000000002E-2</v>
      </c>
      <c r="H14" s="12">
        <v>4.4699999999999997E-2</v>
      </c>
      <c r="I14" s="5">
        <f t="shared" si="0"/>
        <v>-4.8999999999999903E-3</v>
      </c>
      <c r="J14" s="12">
        <f t="shared" si="1"/>
        <v>-0.109619686800895</v>
      </c>
      <c r="K14" s="20" t="str">
        <f>IF(OR(G14="",H14=""),"N/A",IF(ABS(J14)&gt;=Controls!$B$4,IF(J14&gt;0,"Up","Down"),"Flat"))</f>
        <v>Down</v>
      </c>
      <c r="L14" s="20" t="str">
        <f t="shared" si="2"/>
        <v>Negative</v>
      </c>
      <c r="M14" s="21">
        <f>IF(L14="Positive",Controls!$B$5,IF(L14="Negative",Controls!$B$7,Controls!$B$6))</f>
        <v>-1</v>
      </c>
      <c r="N14" s="2" t="s">
        <v>81</v>
      </c>
    </row>
    <row r="15" spans="1:14" ht="26.4">
      <c r="A15" s="2" t="s">
        <v>114</v>
      </c>
      <c r="B15" s="19" t="s">
        <v>115</v>
      </c>
      <c r="C15" s="2" t="s">
        <v>41</v>
      </c>
      <c r="D15" s="3" t="s">
        <v>116</v>
      </c>
      <c r="E15" s="2" t="s">
        <v>71</v>
      </c>
      <c r="F15" s="2" t="s">
        <v>80</v>
      </c>
      <c r="G15" s="12">
        <v>0.25700000000000001</v>
      </c>
      <c r="H15" s="12">
        <v>0.29699999999999999</v>
      </c>
      <c r="I15" s="5">
        <f t="shared" si="0"/>
        <v>-0.04</v>
      </c>
      <c r="J15" s="12">
        <f t="shared" si="1"/>
        <v>-0.13468013468013501</v>
      </c>
      <c r="K15" s="20" t="str">
        <f>IF(OR(G15="",H15=""),"N/A",IF(ABS(J15)&gt;=Controls!$B$4,IF(J15&gt;0,"Up","Down"),"Flat"))</f>
        <v>Down</v>
      </c>
      <c r="L15" s="20" t="str">
        <f t="shared" si="2"/>
        <v>Positive</v>
      </c>
      <c r="M15" s="21">
        <f>IF(L15="Positive",Controls!$B$5,IF(L15="Negative",Controls!$B$7,Controls!$B$6))</f>
        <v>1</v>
      </c>
      <c r="N15" s="2" t="s">
        <v>81</v>
      </c>
    </row>
    <row r="16" spans="1:14" ht="26.4">
      <c r="A16" s="2" t="s">
        <v>117</v>
      </c>
      <c r="B16" s="19" t="s">
        <v>118</v>
      </c>
      <c r="C16" s="2" t="s">
        <v>41</v>
      </c>
      <c r="D16" s="3" t="s">
        <v>119</v>
      </c>
      <c r="E16" s="2" t="s">
        <v>71</v>
      </c>
      <c r="F16" s="2" t="s">
        <v>80</v>
      </c>
      <c r="G16" s="12">
        <v>0.75</v>
      </c>
      <c r="H16" s="12">
        <v>0.78</v>
      </c>
      <c r="I16" s="5">
        <f t="shared" si="0"/>
        <v>-0.03</v>
      </c>
      <c r="J16" s="12">
        <f t="shared" si="1"/>
        <v>-3.8461538461538498E-2</v>
      </c>
      <c r="K16" s="20" t="str">
        <f>IF(OR(G16="",H16=""),"N/A",IF(ABS(J16)&gt;=Controls!$B$4,IF(J16&gt;0,"Up","Down"),"Flat"))</f>
        <v>Down</v>
      </c>
      <c r="L16" s="20" t="str">
        <f t="shared" si="2"/>
        <v>Positive</v>
      </c>
      <c r="M16" s="21">
        <f>IF(L16="Positive",Controls!$B$5,IF(L16="Negative",Controls!$B$7,Controls!$B$6))</f>
        <v>1</v>
      </c>
      <c r="N16" s="2" t="s">
        <v>81</v>
      </c>
    </row>
    <row r="17" spans="1:14" ht="26.4">
      <c r="A17" s="3" t="s">
        <v>120</v>
      </c>
      <c r="B17" s="19" t="s">
        <v>121</v>
      </c>
      <c r="C17" s="2" t="s">
        <v>41</v>
      </c>
      <c r="D17" s="3" t="s">
        <v>116</v>
      </c>
      <c r="E17" s="2" t="s">
        <v>71</v>
      </c>
      <c r="F17" s="2" t="s">
        <v>80</v>
      </c>
      <c r="G17" s="12">
        <v>0.25700000000000001</v>
      </c>
      <c r="H17" s="12">
        <v>0.29699999999999999</v>
      </c>
      <c r="I17" s="5">
        <f t="shared" si="0"/>
        <v>-0.04</v>
      </c>
      <c r="J17" s="12">
        <f t="shared" si="1"/>
        <v>-0.13468013468013501</v>
      </c>
      <c r="K17" s="20" t="str">
        <f>IF(OR(G17="",H17=""),"N/A",IF(ABS(J17)&gt;=Controls!$B$4,IF(J17&gt;0,"Up","Down"),"Flat"))</f>
        <v>Down</v>
      </c>
      <c r="L17" s="20" t="str">
        <f t="shared" si="2"/>
        <v>Positive</v>
      </c>
      <c r="M17" s="21">
        <f>IF(L17="Positive",Controls!$B$5,IF(L17="Negative",Controls!$B$7,Controls!$B$6))</f>
        <v>1</v>
      </c>
      <c r="N17" s="2" t="s">
        <v>81</v>
      </c>
    </row>
    <row r="18" spans="1:14" ht="26.4">
      <c r="A18" s="2" t="s">
        <v>122</v>
      </c>
      <c r="B18" s="19" t="s">
        <v>123</v>
      </c>
      <c r="C18" s="2" t="s">
        <v>39</v>
      </c>
      <c r="D18" s="2" t="s">
        <v>122</v>
      </c>
      <c r="E18" s="2" t="s">
        <v>71</v>
      </c>
      <c r="F18" s="2" t="s">
        <v>80</v>
      </c>
      <c r="G18" s="5">
        <v>871</v>
      </c>
      <c r="H18" s="5">
        <v>820</v>
      </c>
      <c r="I18" s="5">
        <f t="shared" si="0"/>
        <v>51</v>
      </c>
      <c r="J18" s="12">
        <f t="shared" si="1"/>
        <v>6.2195121951219498E-2</v>
      </c>
      <c r="K18" s="20" t="str">
        <f>IF(OR(G18="",H18=""),"N/A",IF(ABS(J18)&gt;=Controls!$B$4,IF(J18&gt;0,"Up","Down"),"Flat"))</f>
        <v>Up</v>
      </c>
      <c r="L18" s="20" t="str">
        <f t="shared" si="2"/>
        <v>Negative</v>
      </c>
      <c r="M18" s="21">
        <f>IF(L18="Positive",Controls!$B$5,IF(L18="Negative",Controls!$B$7,Controls!$B$6))</f>
        <v>-1</v>
      </c>
      <c r="N18" s="2" t="s">
        <v>81</v>
      </c>
    </row>
    <row r="19" spans="1:14" ht="26.4">
      <c r="A19" s="2" t="s">
        <v>124</v>
      </c>
      <c r="B19" s="19" t="s">
        <v>125</v>
      </c>
      <c r="C19" s="2" t="s">
        <v>39</v>
      </c>
      <c r="D19" s="3" t="s">
        <v>126</v>
      </c>
      <c r="E19" s="2" t="s">
        <v>127</v>
      </c>
      <c r="F19" s="2" t="s">
        <v>80</v>
      </c>
      <c r="G19" s="5">
        <v>18</v>
      </c>
      <c r="H19" s="5">
        <v>16</v>
      </c>
      <c r="I19" s="5">
        <f t="shared" si="0"/>
        <v>2</v>
      </c>
      <c r="J19" s="12">
        <f t="shared" si="1"/>
        <v>0.125</v>
      </c>
      <c r="K19" s="20" t="str">
        <f>IF(OR(G19="",H19=""),"N/A",IF(ABS(J19)&gt;=Controls!$B$4,IF(J19&gt;0,"Up","Down"),"Flat"))</f>
        <v>Up</v>
      </c>
      <c r="L19" s="20" t="str">
        <f t="shared" si="2"/>
        <v>Negative</v>
      </c>
      <c r="M19" s="21">
        <f>IF(L19="Positive",Controls!$B$5,IF(L19="Negative",Controls!$B$7,Controls!$B$6))</f>
        <v>-1</v>
      </c>
      <c r="N19" s="2" t="s">
        <v>81</v>
      </c>
    </row>
    <row r="20" spans="1:14" ht="26.4">
      <c r="A20" s="2" t="s">
        <v>128</v>
      </c>
      <c r="B20" s="19" t="s">
        <v>129</v>
      </c>
      <c r="C20" s="2" t="s">
        <v>39</v>
      </c>
      <c r="D20" s="2" t="s">
        <v>128</v>
      </c>
      <c r="E20" s="2" t="s">
        <v>71</v>
      </c>
      <c r="F20" s="2" t="s">
        <v>72</v>
      </c>
      <c r="G20" s="12">
        <v>0.12</v>
      </c>
      <c r="H20" s="12">
        <v>0.15</v>
      </c>
      <c r="I20" s="5">
        <f t="shared" si="0"/>
        <v>-0.03</v>
      </c>
      <c r="J20" s="12">
        <f t="shared" si="1"/>
        <v>-0.2</v>
      </c>
      <c r="K20" s="20" t="str">
        <f>IF(OR(G20="",H20=""),"N/A",IF(ABS(J20)&gt;=Controls!$B$4,IF(J20&gt;0,"Up","Down"),"Flat"))</f>
        <v>Down</v>
      </c>
      <c r="L20" s="20" t="str">
        <f t="shared" si="2"/>
        <v>Negative</v>
      </c>
      <c r="M20" s="21">
        <f>IF(L20="Positive",Controls!$B$5,IF(L20="Negative",Controls!$B$7,Controls!$B$6))</f>
        <v>-1</v>
      </c>
      <c r="N20" s="2" t="s">
        <v>81</v>
      </c>
    </row>
    <row r="21" spans="1:14" ht="26.4">
      <c r="A21" s="3" t="s">
        <v>130</v>
      </c>
      <c r="B21" s="19" t="s">
        <v>131</v>
      </c>
      <c r="C21" s="2" t="s">
        <v>39</v>
      </c>
      <c r="D21" s="3" t="s">
        <v>130</v>
      </c>
      <c r="E21" s="2" t="s">
        <v>71</v>
      </c>
      <c r="F21" s="2" t="s">
        <v>132</v>
      </c>
      <c r="G21" s="5">
        <v>97.6</v>
      </c>
      <c r="H21" s="5">
        <v>97.8</v>
      </c>
      <c r="I21" s="5">
        <f t="shared" si="0"/>
        <v>-0.20000000000000301</v>
      </c>
      <c r="J21" s="12">
        <f t="shared" si="1"/>
        <v>-2.0449897750511501E-3</v>
      </c>
      <c r="K21" s="20" t="str">
        <f>IF(OR(G21="",H21=""),"N/A",IF(ABS(J21)&gt;=Controls!$B$4,IF(J21&gt;0,"Up","Down"),"Flat"))</f>
        <v>Flat</v>
      </c>
      <c r="L21" s="20" t="str">
        <f t="shared" si="2"/>
        <v>Neutral</v>
      </c>
      <c r="M21" s="21">
        <f>IF(L21="Positive",Controls!$B$5,IF(L21="Negative",Controls!$B$7,Controls!$B$6))</f>
        <v>0</v>
      </c>
      <c r="N21" s="3" t="s">
        <v>133</v>
      </c>
    </row>
    <row r="22" spans="1:14" ht="26.4">
      <c r="A22" s="3" t="s">
        <v>134</v>
      </c>
      <c r="B22" s="19" t="s">
        <v>135</v>
      </c>
      <c r="C22" s="2" t="s">
        <v>39</v>
      </c>
      <c r="D22" s="3" t="s">
        <v>134</v>
      </c>
      <c r="E22" s="2" t="s">
        <v>71</v>
      </c>
      <c r="F22" s="2" t="s">
        <v>72</v>
      </c>
      <c r="G22" s="12">
        <v>0.85</v>
      </c>
      <c r="H22" s="5">
        <v>1.02</v>
      </c>
      <c r="I22" s="5">
        <f t="shared" si="0"/>
        <v>-0.17</v>
      </c>
      <c r="J22" s="12">
        <f t="shared" si="1"/>
        <v>-0.16666666666666699</v>
      </c>
      <c r="K22" s="20" t="str">
        <f>IF(OR(G22="",H22=""),"N/A",IF(ABS(J22)&gt;=Controls!$B$4,IF(J22&gt;0,"Up","Down"),"Flat"))</f>
        <v>Down</v>
      </c>
      <c r="L22" s="20" t="str">
        <f t="shared" si="2"/>
        <v>Negative</v>
      </c>
      <c r="M22" s="21">
        <f>IF(L22="Positive",Controls!$B$5,IF(L22="Negative",Controls!$B$7,Controls!$B$6))</f>
        <v>-1</v>
      </c>
      <c r="N22" s="2" t="s">
        <v>81</v>
      </c>
    </row>
    <row r="23" spans="1:14" ht="26.4">
      <c r="A23" s="3" t="s">
        <v>136</v>
      </c>
      <c r="B23" s="19" t="s">
        <v>137</v>
      </c>
      <c r="C23" s="2" t="s">
        <v>39</v>
      </c>
      <c r="D23" s="3" t="s">
        <v>136</v>
      </c>
      <c r="E23" s="2" t="s">
        <v>71</v>
      </c>
      <c r="F23" s="2" t="s">
        <v>132</v>
      </c>
      <c r="G23" s="12">
        <v>-0.48</v>
      </c>
      <c r="H23" s="12">
        <v>-0.36</v>
      </c>
      <c r="I23" s="5">
        <f t="shared" si="0"/>
        <v>-0.12</v>
      </c>
      <c r="J23" s="12">
        <f t="shared" si="1"/>
        <v>-0.33333333333333298</v>
      </c>
      <c r="K23" s="20" t="str">
        <f>IF(OR(G23="",H23=""),"N/A",IF(ABS(J23)&gt;=Controls!$B$4,IF(J23&gt;0,"Up","Down"),"Flat"))</f>
        <v>Down</v>
      </c>
      <c r="L23" s="20" t="str">
        <f t="shared" si="2"/>
        <v>Positive</v>
      </c>
      <c r="M23" s="21">
        <f>IF(L23="Positive",Controls!$B$5,IF(L23="Negative",Controls!$B$7,Controls!$B$6))</f>
        <v>1</v>
      </c>
      <c r="N23" s="2" t="s">
        <v>81</v>
      </c>
    </row>
    <row r="24" spans="1:14" ht="26.4">
      <c r="A24" s="2" t="s">
        <v>138</v>
      </c>
      <c r="B24" s="19" t="s">
        <v>139</v>
      </c>
      <c r="C24" s="2" t="s">
        <v>36</v>
      </c>
      <c r="D24" s="3" t="s">
        <v>140</v>
      </c>
      <c r="E24" s="2" t="s">
        <v>127</v>
      </c>
      <c r="F24" s="2" t="s">
        <v>72</v>
      </c>
      <c r="G24" s="12">
        <v>2.1000000000000001E-2</v>
      </c>
      <c r="H24" s="12">
        <v>0.03</v>
      </c>
      <c r="I24" s="5">
        <f t="shared" si="0"/>
        <v>-8.9999999999999976E-3</v>
      </c>
      <c r="J24" s="12">
        <f t="shared" si="1"/>
        <v>-0.29999999999999993</v>
      </c>
      <c r="K24" s="20" t="str">
        <f>IF(OR(G24="",H24=""),"N/A",IF(ABS(J24)&gt;=Controls!$B$4,IF(J24&gt;0,"Up","Down"),"Flat"))</f>
        <v>Down</v>
      </c>
      <c r="L24" s="20" t="str">
        <f t="shared" si="2"/>
        <v>Negative</v>
      </c>
      <c r="M24" s="21">
        <f>IF(L24="Positive",Controls!$B$5,IF(L24="Negative",Controls!$B$7,Controls!$B$6))</f>
        <v>-1</v>
      </c>
      <c r="N24" s="2" t="s">
        <v>81</v>
      </c>
    </row>
    <row r="25" spans="1:14" ht="26.4">
      <c r="A25" s="2" t="s">
        <v>141</v>
      </c>
      <c r="B25" s="19" t="s">
        <v>142</v>
      </c>
      <c r="C25" s="2" t="s">
        <v>36</v>
      </c>
      <c r="D25" s="2" t="s">
        <v>141</v>
      </c>
      <c r="E25" s="2" t="s">
        <v>71</v>
      </c>
      <c r="F25" s="2" t="s">
        <v>72</v>
      </c>
      <c r="G25" s="5">
        <v>2.41</v>
      </c>
      <c r="H25" s="12">
        <v>-1.6999999999999999E-3</v>
      </c>
      <c r="I25" s="5">
        <f t="shared" si="0"/>
        <v>2.4117000000000002</v>
      </c>
      <c r="J25" s="12">
        <f t="shared" si="1"/>
        <v>1418.64705882353</v>
      </c>
      <c r="K25" s="20" t="str">
        <f>IF(OR(G25="",H25=""),"N/A",IF(ABS(J25)&gt;=Controls!$B$4,IF(J25&gt;0,"Up","Down"),"Flat"))</f>
        <v>Up</v>
      </c>
      <c r="L25" s="20" t="str">
        <f t="shared" si="2"/>
        <v>Positive</v>
      </c>
      <c r="M25" s="21">
        <f>IF(L25="Positive",Controls!$B$5,IF(L25="Negative",Controls!$B$7,Controls!$B$6))</f>
        <v>1</v>
      </c>
      <c r="N25" s="2" t="s">
        <v>81</v>
      </c>
    </row>
    <row r="26" spans="1:14" ht="26.4">
      <c r="A26" s="2" t="s">
        <v>143</v>
      </c>
      <c r="B26" s="19" t="s">
        <v>144</v>
      </c>
      <c r="C26" s="2" t="s">
        <v>36</v>
      </c>
      <c r="D26" s="2" t="s">
        <v>143</v>
      </c>
      <c r="E26" s="2" t="s">
        <v>71</v>
      </c>
      <c r="F26" s="2" t="s">
        <v>72</v>
      </c>
      <c r="G26" s="12">
        <v>0.32</v>
      </c>
      <c r="H26" s="12">
        <v>-0.35</v>
      </c>
      <c r="I26" s="5">
        <f t="shared" si="0"/>
        <v>0.67</v>
      </c>
      <c r="J26" s="12">
        <f t="shared" si="1"/>
        <v>1.9142857142857099</v>
      </c>
      <c r="K26" s="20" t="str">
        <f>IF(OR(G26="",H26=""),"N/A",IF(ABS(J26)&gt;=Controls!$B$4,IF(J26&gt;0,"Up","Down"),"Flat"))</f>
        <v>Up</v>
      </c>
      <c r="L26" s="20" t="str">
        <f t="shared" si="2"/>
        <v>Positive</v>
      </c>
      <c r="M26" s="21">
        <f>IF(L26="Positive",Controls!$B$5,IF(L26="Negative",Controls!$B$7,Controls!$B$6))</f>
        <v>1</v>
      </c>
      <c r="N26" s="2" t="s">
        <v>81</v>
      </c>
    </row>
    <row r="27" spans="1:14" ht="26.4">
      <c r="A27" s="2" t="s">
        <v>145</v>
      </c>
      <c r="B27" s="19" t="s">
        <v>146</v>
      </c>
      <c r="C27" s="2" t="s">
        <v>36</v>
      </c>
      <c r="D27" s="3" t="s">
        <v>147</v>
      </c>
      <c r="E27" s="2" t="s">
        <v>71</v>
      </c>
      <c r="F27" s="2" t="s">
        <v>72</v>
      </c>
      <c r="G27" s="5">
        <v>74.5</v>
      </c>
      <c r="H27" s="5">
        <v>72</v>
      </c>
      <c r="I27" s="5">
        <f t="shared" si="0"/>
        <v>2.5</v>
      </c>
      <c r="J27" s="12">
        <f t="shared" si="1"/>
        <v>3.4722222222222203E-2</v>
      </c>
      <c r="K27" s="20" t="str">
        <f>IF(OR(G27="",H27=""),"N/A",IF(ABS(J27)&gt;=Controls!$B$4,IF(J27&gt;0,"Up","Down"),"Flat"))</f>
        <v>Up</v>
      </c>
      <c r="L27" s="20" t="str">
        <f t="shared" si="2"/>
        <v>Positive</v>
      </c>
      <c r="M27" s="21">
        <f>IF(L27="Positive",Controls!$B$5,IF(L27="Negative",Controls!$B$7,Controls!$B$6))</f>
        <v>1</v>
      </c>
      <c r="N27" s="2" t="s">
        <v>81</v>
      </c>
    </row>
    <row r="28" spans="1:14" ht="26.4">
      <c r="A28" s="2" t="s">
        <v>148</v>
      </c>
      <c r="B28" s="19" t="s">
        <v>149</v>
      </c>
      <c r="C28" s="2" t="s">
        <v>36</v>
      </c>
      <c r="D28" s="2" t="s">
        <v>148</v>
      </c>
      <c r="E28" s="2" t="s">
        <v>71</v>
      </c>
      <c r="F28" s="2" t="s">
        <v>80</v>
      </c>
      <c r="G28" s="5">
        <v>15.2</v>
      </c>
      <c r="H28" s="5">
        <v>14.8</v>
      </c>
      <c r="I28" s="5">
        <f t="shared" si="0"/>
        <v>0.39999999999999902</v>
      </c>
      <c r="J28" s="12">
        <f t="shared" si="1"/>
        <v>2.70270270270269E-2</v>
      </c>
      <c r="K28" s="20" t="str">
        <f>IF(OR(G28="",H28=""),"N/A",IF(ABS(J28)&gt;=Controls!$B$4,IF(J28&gt;0,"Up","Down"),"Flat"))</f>
        <v>Flat</v>
      </c>
      <c r="L28" s="20" t="str">
        <f t="shared" si="2"/>
        <v>Neutral</v>
      </c>
      <c r="M28" s="21">
        <f>IF(L28="Positive",Controls!$B$5,IF(L28="Negative",Controls!$B$7,Controls!$B$6))</f>
        <v>0</v>
      </c>
      <c r="N28" s="2" t="s">
        <v>81</v>
      </c>
    </row>
    <row r="29" spans="1:14" ht="26.4">
      <c r="A29" s="2" t="s">
        <v>150</v>
      </c>
      <c r="B29" s="19" t="s">
        <v>151</v>
      </c>
      <c r="C29" s="2" t="s">
        <v>36</v>
      </c>
      <c r="D29" s="2" t="s">
        <v>150</v>
      </c>
      <c r="E29" s="2" t="s">
        <v>71</v>
      </c>
      <c r="F29" s="2" t="s">
        <v>72</v>
      </c>
      <c r="G29" s="8">
        <v>22000</v>
      </c>
      <c r="H29" s="8">
        <v>22000</v>
      </c>
      <c r="I29" s="5">
        <f t="shared" si="0"/>
        <v>0</v>
      </c>
      <c r="J29" s="12">
        <f t="shared" si="1"/>
        <v>0</v>
      </c>
      <c r="K29" s="20" t="str">
        <f>IF(OR(G29="",H29=""),"N/A",IF(ABS(J29)&gt;=Controls!$B$4,IF(J29&gt;0,"Up","Down"),"Flat"))</f>
        <v>Flat</v>
      </c>
      <c r="L29" s="20" t="str">
        <f t="shared" si="2"/>
        <v>Neutral</v>
      </c>
      <c r="M29" s="21">
        <f>IF(L29="Positive",Controls!$B$5,IF(L29="Negative",Controls!$B$7,Controls!$B$6))</f>
        <v>0</v>
      </c>
      <c r="N29" s="2" t="s">
        <v>81</v>
      </c>
    </row>
    <row r="30" spans="1:14" ht="26.4">
      <c r="A30" s="2" t="s">
        <v>152</v>
      </c>
      <c r="B30" s="19" t="s">
        <v>153</v>
      </c>
      <c r="C30" s="2" t="s">
        <v>36</v>
      </c>
      <c r="D30" s="2" t="s">
        <v>152</v>
      </c>
      <c r="E30" s="2" t="s">
        <v>71</v>
      </c>
      <c r="F30" s="2" t="s">
        <v>72</v>
      </c>
      <c r="G30" s="5">
        <v>6.9</v>
      </c>
      <c r="H30" s="12">
        <v>7.5999999999999998E-2</v>
      </c>
      <c r="I30" s="5">
        <f t="shared" si="0"/>
        <v>6.8239999999999998</v>
      </c>
      <c r="J30" s="12">
        <f t="shared" si="1"/>
        <v>89.789473684210506</v>
      </c>
      <c r="K30" s="20" t="str">
        <f>IF(OR(G30="",H30=""),"N/A",IF(ABS(J30)&gt;=Controls!$B$4,IF(J30&gt;0,"Up","Down"),"Flat"))</f>
        <v>Up</v>
      </c>
      <c r="L30" s="20" t="str">
        <f t="shared" si="2"/>
        <v>Positive</v>
      </c>
      <c r="M30" s="21">
        <f>IF(L30="Positive",Controls!$B$5,IF(L30="Negative",Controls!$B$7,Controls!$B$6))</f>
        <v>1</v>
      </c>
      <c r="N30" s="2" t="s">
        <v>81</v>
      </c>
    </row>
    <row r="31" spans="1:14" ht="26.4">
      <c r="A31" s="3" t="s">
        <v>154</v>
      </c>
      <c r="B31" s="19" t="s">
        <v>155</v>
      </c>
      <c r="C31" s="2" t="s">
        <v>42</v>
      </c>
      <c r="D31" s="3" t="s">
        <v>154</v>
      </c>
      <c r="E31" s="2" t="s">
        <v>71</v>
      </c>
      <c r="F31" s="2" t="s">
        <v>80</v>
      </c>
      <c r="G31" s="5">
        <v>78</v>
      </c>
      <c r="H31" s="5">
        <v>58</v>
      </c>
      <c r="I31" s="5">
        <f t="shared" si="0"/>
        <v>20</v>
      </c>
      <c r="J31" s="12">
        <f t="shared" si="1"/>
        <v>0.34482758620689702</v>
      </c>
      <c r="K31" s="20" t="str">
        <f>IF(OR(G31="",H31=""),"N/A",IF(ABS(J31)&gt;=Controls!$B$4,IF(J31&gt;0,"Up","Down"),"Flat"))</f>
        <v>Up</v>
      </c>
      <c r="L31" s="20" t="str">
        <f t="shared" si="2"/>
        <v>Negative</v>
      </c>
      <c r="M31" s="21">
        <f>IF(L31="Positive",Controls!$B$5,IF(L31="Negative",Controls!$B$7,Controls!$B$6))</f>
        <v>-1</v>
      </c>
      <c r="N31" s="2" t="s">
        <v>81</v>
      </c>
    </row>
    <row r="32" spans="1:14" ht="26.4">
      <c r="A32" s="2" t="s">
        <v>156</v>
      </c>
      <c r="B32" s="19" t="s">
        <v>157</v>
      </c>
      <c r="C32" s="2" t="s">
        <v>42</v>
      </c>
      <c r="D32" s="2" t="s">
        <v>156</v>
      </c>
      <c r="E32" s="2" t="s">
        <v>71</v>
      </c>
      <c r="F32" s="2" t="s">
        <v>72</v>
      </c>
      <c r="G32" s="5">
        <v>3.55</v>
      </c>
      <c r="H32" s="5">
        <v>3.6</v>
      </c>
      <c r="I32" s="5">
        <f t="shared" si="0"/>
        <v>-5.0000000000000301E-2</v>
      </c>
      <c r="J32" s="12">
        <f t="shared" si="1"/>
        <v>-1.3888888888888999E-2</v>
      </c>
      <c r="K32" s="20" t="str">
        <f>IF(OR(G32="",H32=""),"N/A",IF(ABS(J32)&gt;=Controls!$B$4,IF(J32&gt;0,"Up","Down"),"Flat"))</f>
        <v>Flat</v>
      </c>
      <c r="L32" s="20" t="str">
        <f t="shared" si="2"/>
        <v>Neutral</v>
      </c>
      <c r="M32" s="21">
        <f>IF(L32="Positive",Controls!$B$5,IF(L32="Negative",Controls!$B$7,Controls!$B$6))</f>
        <v>0</v>
      </c>
      <c r="N32" s="2" t="s">
        <v>81</v>
      </c>
    </row>
    <row r="33" spans="1:14" ht="26.4">
      <c r="A33" s="3" t="s">
        <v>158</v>
      </c>
      <c r="B33" s="19" t="s">
        <v>159</v>
      </c>
      <c r="C33" s="2" t="s">
        <v>42</v>
      </c>
      <c r="D33" s="3" t="s">
        <v>158</v>
      </c>
      <c r="E33" s="2" t="s">
        <v>71</v>
      </c>
      <c r="F33" s="2" t="s">
        <v>80</v>
      </c>
      <c r="G33" s="5">
        <v>415</v>
      </c>
      <c r="H33" s="5">
        <v>408</v>
      </c>
      <c r="I33" s="5">
        <f t="shared" si="0"/>
        <v>7</v>
      </c>
      <c r="J33" s="12">
        <f t="shared" si="1"/>
        <v>1.7156862745097999E-2</v>
      </c>
      <c r="K33" s="20" t="str">
        <f>IF(OR(G33="",H33=""),"N/A",IF(ABS(J33)&gt;=Controls!$B$4,IF(J33&gt;0,"Up","Down"),"Flat"))</f>
        <v>Flat</v>
      </c>
      <c r="L33" s="20" t="str">
        <f t="shared" si="2"/>
        <v>Neutral</v>
      </c>
      <c r="M33" s="21">
        <f>IF(L33="Positive",Controls!$B$5,IF(L33="Negative",Controls!$B$7,Controls!$B$6))</f>
        <v>0</v>
      </c>
      <c r="N33" s="2" t="s">
        <v>81</v>
      </c>
    </row>
    <row r="34" spans="1:14" ht="26.4">
      <c r="A34" s="3" t="s">
        <v>160</v>
      </c>
      <c r="B34" s="19" t="s">
        <v>161</v>
      </c>
      <c r="C34" s="2" t="s">
        <v>38</v>
      </c>
      <c r="D34" s="3" t="s">
        <v>160</v>
      </c>
      <c r="E34" s="2" t="s">
        <v>162</v>
      </c>
      <c r="F34" s="2" t="s">
        <v>80</v>
      </c>
      <c r="G34" s="5">
        <v>3.8</v>
      </c>
      <c r="H34" s="5">
        <v>3.7</v>
      </c>
      <c r="I34" s="5">
        <f t="shared" si="0"/>
        <v>9.9999999999999603E-2</v>
      </c>
      <c r="J34" s="12">
        <f t="shared" si="1"/>
        <v>2.70270270270269E-2</v>
      </c>
      <c r="K34" s="20" t="str">
        <f>IF(OR(G34="",H34=""),"N/A",IF(ABS(J34)&gt;=Controls!$B$4,IF(J34&gt;0,"Up","Down"),"Flat"))</f>
        <v>Flat</v>
      </c>
      <c r="L34" s="20" t="str">
        <f t="shared" si="2"/>
        <v>Neutral</v>
      </c>
      <c r="M34" s="21">
        <f>IF(L34="Positive",Controls!$B$5,IF(L34="Negative",Controls!$B$7,Controls!$B$6))</f>
        <v>0</v>
      </c>
      <c r="N34" s="2" t="s">
        <v>81</v>
      </c>
    </row>
    <row r="35" spans="1:14" ht="26.4">
      <c r="A35" s="2" t="s">
        <v>163</v>
      </c>
      <c r="B35" s="19" t="s">
        <v>164</v>
      </c>
      <c r="C35" s="2" t="s">
        <v>38</v>
      </c>
      <c r="D35" s="2" t="s">
        <v>163</v>
      </c>
      <c r="E35" s="2" t="s">
        <v>162</v>
      </c>
      <c r="F35" s="2" t="s">
        <v>80</v>
      </c>
      <c r="G35" s="5">
        <v>61.2</v>
      </c>
      <c r="H35" s="5">
        <v>60.5</v>
      </c>
      <c r="I35" s="5">
        <f t="shared" si="0"/>
        <v>0.70000000000000295</v>
      </c>
      <c r="J35" s="12">
        <f t="shared" si="1"/>
        <v>1.15702479338843E-2</v>
      </c>
      <c r="K35" s="20" t="str">
        <f>IF(OR(G35="",H35=""),"N/A",IF(ABS(J35)&gt;=Controls!$B$4,IF(J35&gt;0,"Up","Down"),"Flat"))</f>
        <v>Flat</v>
      </c>
      <c r="L35" s="20" t="str">
        <f t="shared" si="2"/>
        <v>Neutral</v>
      </c>
      <c r="M35" s="21">
        <f>IF(L35="Positive",Controls!$B$5,IF(L35="Negative",Controls!$B$7,Controls!$B$6))</f>
        <v>0</v>
      </c>
      <c r="N35" s="2" t="s">
        <v>81</v>
      </c>
    </row>
    <row r="36" spans="1:14" ht="26.4">
      <c r="A36" s="3" t="s">
        <v>165</v>
      </c>
      <c r="B36" s="19" t="s">
        <v>166</v>
      </c>
      <c r="C36" s="2" t="s">
        <v>38</v>
      </c>
      <c r="D36" s="3" t="s">
        <v>165</v>
      </c>
      <c r="E36" s="2" t="s">
        <v>162</v>
      </c>
      <c r="F36" s="2" t="s">
        <v>80</v>
      </c>
      <c r="G36" s="5">
        <v>2.9</v>
      </c>
      <c r="H36" s="5">
        <v>3</v>
      </c>
      <c r="I36" s="5">
        <f t="shared" si="0"/>
        <v>-0.1</v>
      </c>
      <c r="J36" s="12">
        <f t="shared" si="1"/>
        <v>-3.3333333333333402E-2</v>
      </c>
      <c r="K36" s="20" t="str">
        <f>IF(OR(G36="",H36=""),"N/A",IF(ABS(J36)&gt;=Controls!$B$4,IF(J36&gt;0,"Up","Down"),"Flat"))</f>
        <v>Down</v>
      </c>
      <c r="L36" s="20" t="str">
        <f t="shared" si="2"/>
        <v>Positive</v>
      </c>
      <c r="M36" s="21">
        <f>IF(L36="Positive",Controls!$B$5,IF(L36="Negative",Controls!$B$7,Controls!$B$6))</f>
        <v>1</v>
      </c>
      <c r="N36" s="2" t="s">
        <v>81</v>
      </c>
    </row>
  </sheetData>
  <mergeCells count="1">
    <mergeCell ref="A1:N1"/>
  </mergeCells>
  <phoneticPr fontId="19" type="noConversion"/>
  <conditionalFormatting sqref="M3:M36">
    <cfRule type="colorScale" priority="2">
      <colorScale>
        <cfvo type="num" val="-1"/>
        <cfvo type="num" val="0"/>
        <cfvo type="num" val="1"/>
        <color rgb="FFF4CCCC"/>
        <color rgb="FFFFF2CC"/>
        <color rgb="FFD9EAD3"/>
      </colorScale>
    </cfRule>
  </conditionalFormatting>
  <hyperlinks>
    <hyperlink ref="B3" r:id="rId1" location="S01_纳斯达克100毛利率五年趋势!A1" xr:uid="{00000000-0004-0000-0300-000000000000}"/>
    <hyperlink ref="B4" r:id="rId2" location="S02_花旗标普500盈利上修动能指标!A1" xr:uid="{00000000-0004-0000-0300-000001000000}"/>
    <hyperlink ref="B5" r:id="rId3" location="S03_TGA账户!A1" xr:uid="{00000000-0004-0000-0300-000002000000}"/>
    <hyperlink ref="B6" r:id="rId4" location="S04_标普500盈余惊喜!A1" xr:uid="{00000000-0004-0000-0300-000003000000}"/>
    <hyperlink ref="B7" r:id="rId5" location="S05_标普500的roic-wacc!A1" xr:uid="{00000000-0004-0000-0300-000004000000}"/>
    <hyperlink ref="B8" r:id="rId6" location="S06_纳斯达克营收增长!A1" xr:uid="{00000000-0004-0000-0300-000005000000}"/>
    <hyperlink ref="B9" r:id="rId7" location="S07_标普500的ERP!A1" xr:uid="{00000000-0004-0000-0300-000006000000}"/>
    <hyperlink ref="B10" r:id="rId8" location="S08_标普500的花旗盈利修正指数%20(ERI)!A1" xr:uid="{00000000-0004-0000-0300-000007000000}"/>
    <hyperlink ref="B11" r:id="rId9" location="S09_标普500的花旗经济意外指数%20(CESI%20US)!A1" xr:uid="{00000000-0004-0000-0300-000008000000}"/>
    <hyperlink ref="B12" r:id="rId10" location="S10_主权基金净流入情况!A1" xr:uid="{00000000-0004-0000-0300-000009000000}"/>
    <hyperlink ref="B13" r:id="rId11" location="S11_标普500的现金流%20PEG!A1" xr:uid="{00000000-0004-0000-0300-00000A000000}"/>
    <hyperlink ref="B14" r:id="rId12" location="S12_标普500的真实股东收益率（Total%20Shareho!A1" xr:uid="{00000000-0004-0000-0300-00000B000000}"/>
    <hyperlink ref="B15" r:id="rId13" location="S13_AAII个人投资者净看多比例!A1" xr:uid="{00000000-0004-0000-0300-00000C000000}"/>
    <hyperlink ref="B16" r:id="rId14" location="S14_Market%20Vane%20股市看涨情绪!A1" xr:uid="{00000000-0004-0000-0300-00000D000000}"/>
    <hyperlink ref="B17" r:id="rId15" location="S15_保证金债务和市值比率!A1" xr:uid="{00000000-0004-0000-0300-00000E000000}"/>
    <hyperlink ref="B18" r:id="rId16" location="S16_TGA账户余额!A1" xr:uid="{00000000-0004-0000-0300-00000F000000}"/>
    <hyperlink ref="B19" r:id="rId17" location="S17_SOFR-OIS%20基差!A1" xr:uid="{00000000-0004-0000-0300-000010000000}"/>
    <hyperlink ref="B20" r:id="rId18" location="S18_CARRY%20TO%20RISK%20RITIO!A1" xr:uid="{00000000-0004-0000-0300-000011000000}"/>
    <hyperlink ref="B21" r:id="rId19" location="S19_高盛美国宏观金融指数!A1" xr:uid="{00000000-0004-0000-0300-000012000000}"/>
    <hyperlink ref="B22" r:id="rId20" location="S20_彭博美国金融条件指数!A1" xr:uid="{00000000-0004-0000-0300-000013000000}"/>
    <hyperlink ref="B23" r:id="rId21" location="S21_芝加哥联储全国金融条件指数%20(NFCI)!A1" xr:uid="{00000000-0004-0000-0300-000014000000}"/>
    <hyperlink ref="B24" r:id="rId22" location="S22_GDP%20Now%20预测!A1" xr:uid="{00000000-0004-0000-0300-000015000000}"/>
    <hyperlink ref="B25" r:id="rId23" location="S23_St.%20Louis%20Fed%20Economic%20News!A1" xr:uid="{00000000-0004-0000-0300-000016000000}"/>
    <hyperlink ref="B26" r:id="rId24" location="S24_ADS%20商业景气指数(华尔街交易员股市应用稀缺的实时高!A1" xr:uid="{00000000-0004-0000-0300-000017000000}"/>
    <hyperlink ref="B27" r:id="rId25" location="S25_Lightcast%20数据!A1" xr:uid="{00000000-0004-0000-0300-000018000000}"/>
    <hyperlink ref="B28" r:id="rId26" location="S26_WARN%20Notice裁员数据!A1" xr:uid="{00000000-0004-0000-0300-000019000000}"/>
    <hyperlink ref="B29" r:id="rId27" location="S27_ADP%20新增就业人数!A1" xr:uid="{00000000-0004-0000-0300-00001A000000}"/>
    <hyperlink ref="B30" r:id="rId28" location="S28_RedBook%20零售指数!A1" xr:uid="{00000000-0004-0000-0300-00001B000000}"/>
    <hyperlink ref="B31" r:id="rId29" location="S29_房地产待售时长（4WMA）!A1" xr:uid="{00000000-0004-0000-0300-00001C000000}"/>
    <hyperlink ref="B32" r:id="rId30" location="S30_Redfin%20房屋销售量!A1" xr:uid="{00000000-0004-0000-0300-00001D000000}"/>
    <hyperlink ref="B33" r:id="rId31" location="S31_美国中位数房价!A1" xr:uid="{00000000-0004-0000-0300-00001E000000}"/>
    <hyperlink ref="B34" r:id="rId32" location="S32_薪资增速%20(Average%20Hourly%20Earnin!A1" xr:uid="{00000000-0004-0000-0300-00001F000000}"/>
    <hyperlink ref="B35" r:id="rId33" location="S33_ISM%20制造业和服务业价格指数!A1" xr:uid="{00000000-0004-0000-0300-000020000000}"/>
    <hyperlink ref="B36" r:id="rId34" location="S34_美国核心PCE物价指数!A1" xr:uid="{00000000-0004-0000-0300-000021000000}"/>
  </hyperlinks>
  <pageMargins left="0.75" right="0.75" top="1" bottom="1" header="0.511811023622047" footer="0.511811023622047"/>
  <pageSetup paperSize="9" orientation="portrait" horizontalDpi="300" verticalDpi="300"/>
  <legacy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showGridLines="0" workbookViewId="0">
      <pane ySplit="2" topLeftCell="A3" activePane="bottomLeft" state="frozen"/>
      <selection pane="bottomLeft" sqref="A1:H1"/>
    </sheetView>
  </sheetViews>
  <sheetFormatPr defaultColWidth="8.6640625" defaultRowHeight="15" customHeight="1"/>
  <cols>
    <col min="1" max="2" width="32" customWidth="1"/>
    <col min="3" max="3" width="11" customWidth="1"/>
    <col min="4" max="4" width="32" customWidth="1"/>
    <col min="5" max="5" width="11" customWidth="1"/>
    <col min="6" max="6" width="14" customWidth="1"/>
    <col min="7" max="7" width="10" customWidth="1"/>
    <col min="8" max="8" width="8" customWidth="1"/>
  </cols>
  <sheetData>
    <row r="1" spans="1:8" ht="20.399999999999999">
      <c r="A1" s="35" t="s">
        <v>167</v>
      </c>
      <c r="B1" s="35"/>
      <c r="C1" s="35"/>
      <c r="D1" s="35"/>
      <c r="E1" s="35"/>
      <c r="F1" s="35"/>
      <c r="G1" s="35"/>
      <c r="H1" s="35"/>
    </row>
    <row r="2" spans="1:8" ht="14.4">
      <c r="A2" s="7" t="s">
        <v>49</v>
      </c>
      <c r="B2" s="7" t="s">
        <v>63</v>
      </c>
      <c r="C2" s="7" t="s">
        <v>64</v>
      </c>
      <c r="D2" s="7" t="s">
        <v>168</v>
      </c>
      <c r="E2" s="7" t="s">
        <v>66</v>
      </c>
      <c r="F2" s="7" t="s">
        <v>67</v>
      </c>
      <c r="G2" s="7" t="s">
        <v>169</v>
      </c>
    </row>
    <row r="3" spans="1:8" ht="14.4">
      <c r="A3" s="3" t="s">
        <v>69</v>
      </c>
      <c r="B3" s="19" t="s">
        <v>70</v>
      </c>
      <c r="C3" s="2" t="s">
        <v>36</v>
      </c>
      <c r="D3" s="3" t="s">
        <v>69</v>
      </c>
      <c r="E3" s="2" t="s">
        <v>71</v>
      </c>
      <c r="F3" s="2" t="s">
        <v>72</v>
      </c>
      <c r="G3" s="8">
        <v>20</v>
      </c>
    </row>
    <row r="4" spans="1:8" ht="26.4">
      <c r="A4" s="3" t="s">
        <v>74</v>
      </c>
      <c r="B4" s="19" t="s">
        <v>75</v>
      </c>
      <c r="C4" s="2" t="s">
        <v>36</v>
      </c>
      <c r="D4" s="3" t="s">
        <v>76</v>
      </c>
      <c r="E4" s="2" t="s">
        <v>71</v>
      </c>
      <c r="F4" s="2" t="s">
        <v>72</v>
      </c>
      <c r="G4" s="8">
        <v>6</v>
      </c>
    </row>
    <row r="5" spans="1:8" ht="14.4">
      <c r="A5" s="2" t="s">
        <v>78</v>
      </c>
      <c r="B5" s="19" t="s">
        <v>79</v>
      </c>
      <c r="C5" s="2" t="s">
        <v>39</v>
      </c>
      <c r="D5" s="2" t="s">
        <v>78</v>
      </c>
      <c r="E5" s="2" t="s">
        <v>71</v>
      </c>
      <c r="F5" s="2" t="s">
        <v>80</v>
      </c>
      <c r="G5" s="8">
        <v>21</v>
      </c>
    </row>
    <row r="6" spans="1:8" ht="14.4">
      <c r="A6" s="3" t="s">
        <v>82</v>
      </c>
      <c r="B6" s="19" t="s">
        <v>83</v>
      </c>
      <c r="C6" s="2" t="s">
        <v>36</v>
      </c>
      <c r="D6" s="3" t="s">
        <v>84</v>
      </c>
      <c r="E6" s="2" t="s">
        <v>71</v>
      </c>
      <c r="F6" s="2" t="s">
        <v>72</v>
      </c>
      <c r="G6" s="8">
        <v>20</v>
      </c>
    </row>
    <row r="7" spans="1:8" ht="14.4">
      <c r="A7" s="3" t="s">
        <v>86</v>
      </c>
      <c r="B7" s="19" t="s">
        <v>87</v>
      </c>
      <c r="C7" s="2" t="s">
        <v>36</v>
      </c>
      <c r="D7" s="2" t="s">
        <v>88</v>
      </c>
      <c r="E7" s="2" t="s">
        <v>71</v>
      </c>
      <c r="F7" s="2" t="s">
        <v>72</v>
      </c>
      <c r="G7" s="8">
        <v>20</v>
      </c>
    </row>
    <row r="8" spans="1:8" ht="26.4">
      <c r="A8" s="3" t="s">
        <v>90</v>
      </c>
      <c r="B8" s="19" t="s">
        <v>91</v>
      </c>
      <c r="C8" s="2" t="s">
        <v>36</v>
      </c>
      <c r="D8" s="3" t="s">
        <v>92</v>
      </c>
      <c r="E8" s="2" t="s">
        <v>71</v>
      </c>
      <c r="F8" s="2" t="s">
        <v>72</v>
      </c>
      <c r="G8" s="8">
        <v>20</v>
      </c>
    </row>
    <row r="9" spans="1:8" ht="14.4">
      <c r="A9" s="3" t="s">
        <v>93</v>
      </c>
      <c r="B9" s="19" t="s">
        <v>94</v>
      </c>
      <c r="C9" s="2" t="s">
        <v>40</v>
      </c>
      <c r="D9" s="2" t="s">
        <v>95</v>
      </c>
      <c r="E9" s="2" t="s">
        <v>71</v>
      </c>
      <c r="F9" s="2" t="s">
        <v>72</v>
      </c>
      <c r="G9" s="8">
        <v>20</v>
      </c>
    </row>
    <row r="10" spans="1:8" ht="26.4">
      <c r="A10" s="3" t="s">
        <v>96</v>
      </c>
      <c r="B10" s="19" t="s">
        <v>97</v>
      </c>
      <c r="C10" s="2" t="s">
        <v>36</v>
      </c>
      <c r="D10" s="3" t="s">
        <v>98</v>
      </c>
      <c r="E10" s="2" t="s">
        <v>71</v>
      </c>
      <c r="F10" s="2" t="s">
        <v>72</v>
      </c>
      <c r="G10" s="8">
        <v>20</v>
      </c>
    </row>
    <row r="11" spans="1:8" ht="26.4">
      <c r="A11" s="3" t="s">
        <v>100</v>
      </c>
      <c r="B11" s="19" t="s">
        <v>101</v>
      </c>
      <c r="C11" s="2" t="s">
        <v>36</v>
      </c>
      <c r="D11" s="3" t="s">
        <v>102</v>
      </c>
      <c r="E11" s="2" t="s">
        <v>71</v>
      </c>
      <c r="F11" s="2" t="s">
        <v>72</v>
      </c>
      <c r="G11" s="8">
        <v>20</v>
      </c>
    </row>
    <row r="12" spans="1:8" ht="14.4">
      <c r="A12" s="3" t="s">
        <v>104</v>
      </c>
      <c r="B12" s="19" t="s">
        <v>105</v>
      </c>
      <c r="C12" s="2" t="s">
        <v>41</v>
      </c>
      <c r="D12" s="3" t="s">
        <v>106</v>
      </c>
      <c r="E12" s="2" t="s">
        <v>71</v>
      </c>
      <c r="F12" s="2" t="s">
        <v>80</v>
      </c>
      <c r="G12" s="8">
        <v>20</v>
      </c>
    </row>
    <row r="13" spans="1:8" ht="14.4">
      <c r="A13" s="3" t="s">
        <v>108</v>
      </c>
      <c r="B13" s="19" t="s">
        <v>109</v>
      </c>
      <c r="C13" s="2" t="s">
        <v>40</v>
      </c>
      <c r="D13" s="3" t="s">
        <v>110</v>
      </c>
      <c r="E13" s="2" t="s">
        <v>71</v>
      </c>
      <c r="F13" s="2" t="s">
        <v>80</v>
      </c>
      <c r="G13" s="8">
        <v>20</v>
      </c>
    </row>
    <row r="14" spans="1:8" ht="26.4">
      <c r="A14" s="3" t="s">
        <v>111</v>
      </c>
      <c r="B14" s="19" t="s">
        <v>112</v>
      </c>
      <c r="C14" s="2" t="s">
        <v>40</v>
      </c>
      <c r="D14" s="2" t="s">
        <v>113</v>
      </c>
      <c r="E14" s="2" t="s">
        <v>71</v>
      </c>
      <c r="F14" s="2" t="s">
        <v>72</v>
      </c>
      <c r="G14" s="8">
        <v>20</v>
      </c>
    </row>
    <row r="15" spans="1:8" ht="14.4">
      <c r="A15" s="2" t="s">
        <v>114</v>
      </c>
      <c r="B15" s="19" t="s">
        <v>115</v>
      </c>
      <c r="C15" s="2" t="s">
        <v>41</v>
      </c>
      <c r="D15" s="3" t="s">
        <v>116</v>
      </c>
      <c r="E15" s="2" t="s">
        <v>71</v>
      </c>
      <c r="F15" s="2" t="s">
        <v>80</v>
      </c>
      <c r="G15" s="8">
        <v>20</v>
      </c>
    </row>
    <row r="16" spans="1:8" ht="14.4">
      <c r="A16" s="2" t="s">
        <v>117</v>
      </c>
      <c r="B16" s="19" t="s">
        <v>118</v>
      </c>
      <c r="C16" s="2" t="s">
        <v>41</v>
      </c>
      <c r="D16" s="3" t="s">
        <v>119</v>
      </c>
      <c r="E16" s="2" t="s">
        <v>71</v>
      </c>
      <c r="F16" s="2" t="s">
        <v>80</v>
      </c>
      <c r="G16" s="8">
        <v>20</v>
      </c>
    </row>
    <row r="17" spans="1:7" ht="14.4">
      <c r="A17" s="3" t="s">
        <v>120</v>
      </c>
      <c r="B17" s="19" t="s">
        <v>121</v>
      </c>
      <c r="C17" s="2" t="s">
        <v>41</v>
      </c>
      <c r="D17" s="3" t="s">
        <v>116</v>
      </c>
      <c r="E17" s="2" t="s">
        <v>71</v>
      </c>
      <c r="F17" s="2" t="s">
        <v>80</v>
      </c>
      <c r="G17" s="8">
        <v>20</v>
      </c>
    </row>
    <row r="18" spans="1:7" ht="14.4">
      <c r="A18" s="2" t="s">
        <v>122</v>
      </c>
      <c r="B18" s="19" t="s">
        <v>123</v>
      </c>
      <c r="C18" s="2" t="s">
        <v>39</v>
      </c>
      <c r="D18" s="2" t="s">
        <v>122</v>
      </c>
      <c r="E18" s="2" t="s">
        <v>71</v>
      </c>
      <c r="F18" s="2" t="s">
        <v>80</v>
      </c>
      <c r="G18" s="8">
        <v>21</v>
      </c>
    </row>
    <row r="19" spans="1:7" ht="14.4">
      <c r="A19" s="2" t="s">
        <v>124</v>
      </c>
      <c r="B19" s="19" t="s">
        <v>125</v>
      </c>
      <c r="C19" s="2" t="s">
        <v>39</v>
      </c>
      <c r="D19" s="3" t="s">
        <v>126</v>
      </c>
      <c r="E19" s="2" t="s">
        <v>127</v>
      </c>
      <c r="F19" s="2" t="s">
        <v>80</v>
      </c>
      <c r="G19" s="8">
        <v>10</v>
      </c>
    </row>
    <row r="20" spans="1:7" ht="14.4">
      <c r="A20" s="2" t="s">
        <v>128</v>
      </c>
      <c r="B20" s="19" t="s">
        <v>129</v>
      </c>
      <c r="C20" s="2" t="s">
        <v>39</v>
      </c>
      <c r="D20" s="2" t="s">
        <v>128</v>
      </c>
      <c r="E20" s="2" t="s">
        <v>71</v>
      </c>
      <c r="F20" s="2" t="s">
        <v>72</v>
      </c>
      <c r="G20" s="8">
        <v>21</v>
      </c>
    </row>
    <row r="21" spans="1:7" ht="14.4">
      <c r="A21" s="3" t="s">
        <v>130</v>
      </c>
      <c r="B21" s="19" t="s">
        <v>131</v>
      </c>
      <c r="C21" s="2" t="s">
        <v>39</v>
      </c>
      <c r="D21" s="3" t="s">
        <v>130</v>
      </c>
      <c r="E21" s="2" t="s">
        <v>71</v>
      </c>
      <c r="F21" s="2" t="s">
        <v>132</v>
      </c>
      <c r="G21" s="8">
        <v>21</v>
      </c>
    </row>
    <row r="22" spans="1:7" ht="14.4">
      <c r="A22" s="3" t="s">
        <v>134</v>
      </c>
      <c r="B22" s="19" t="s">
        <v>135</v>
      </c>
      <c r="C22" s="2" t="s">
        <v>39</v>
      </c>
      <c r="D22" s="3" t="s">
        <v>134</v>
      </c>
      <c r="E22" s="2" t="s">
        <v>71</v>
      </c>
      <c r="F22" s="2" t="s">
        <v>72</v>
      </c>
      <c r="G22" s="8">
        <v>21</v>
      </c>
    </row>
    <row r="23" spans="1:7" ht="26.4">
      <c r="A23" s="3" t="s">
        <v>136</v>
      </c>
      <c r="B23" s="19" t="s">
        <v>137</v>
      </c>
      <c r="C23" s="2" t="s">
        <v>39</v>
      </c>
      <c r="D23" s="3" t="s">
        <v>136</v>
      </c>
      <c r="E23" s="2" t="s">
        <v>71</v>
      </c>
      <c r="F23" s="2" t="s">
        <v>132</v>
      </c>
      <c r="G23" s="8">
        <v>12</v>
      </c>
    </row>
    <row r="24" spans="1:7" ht="14.4">
      <c r="A24" s="2" t="s">
        <v>138</v>
      </c>
      <c r="B24" s="19" t="s">
        <v>139</v>
      </c>
      <c r="C24" s="2" t="s">
        <v>36</v>
      </c>
      <c r="D24" s="3" t="s">
        <v>140</v>
      </c>
      <c r="E24" s="2" t="s">
        <v>127</v>
      </c>
      <c r="F24" s="2" t="s">
        <v>72</v>
      </c>
      <c r="G24" s="8">
        <v>4</v>
      </c>
    </row>
    <row r="25" spans="1:7" ht="14.4">
      <c r="A25" s="2" t="s">
        <v>141</v>
      </c>
      <c r="B25" s="19" t="s">
        <v>142</v>
      </c>
      <c r="C25" s="2" t="s">
        <v>36</v>
      </c>
      <c r="D25" s="2" t="s">
        <v>141</v>
      </c>
      <c r="E25" s="2" t="s">
        <v>71</v>
      </c>
      <c r="F25" s="2" t="s">
        <v>72</v>
      </c>
      <c r="G25" s="8">
        <v>21</v>
      </c>
    </row>
    <row r="26" spans="1:7" ht="26.4">
      <c r="A26" s="2" t="s">
        <v>143</v>
      </c>
      <c r="B26" s="19" t="s">
        <v>144</v>
      </c>
      <c r="C26" s="2" t="s">
        <v>36</v>
      </c>
      <c r="D26" s="2" t="s">
        <v>143</v>
      </c>
      <c r="E26" s="2" t="s">
        <v>71</v>
      </c>
      <c r="F26" s="2" t="s">
        <v>72</v>
      </c>
      <c r="G26" s="8">
        <v>21</v>
      </c>
    </row>
    <row r="27" spans="1:7" ht="14.4">
      <c r="A27" s="2" t="s">
        <v>145</v>
      </c>
      <c r="B27" s="19" t="s">
        <v>146</v>
      </c>
      <c r="C27" s="2" t="s">
        <v>36</v>
      </c>
      <c r="D27" s="3" t="s">
        <v>147</v>
      </c>
      <c r="E27" s="2" t="s">
        <v>71</v>
      </c>
      <c r="F27" s="2" t="s">
        <v>72</v>
      </c>
      <c r="G27" s="8">
        <v>10</v>
      </c>
    </row>
    <row r="28" spans="1:7" ht="14.4">
      <c r="A28" s="2" t="s">
        <v>148</v>
      </c>
      <c r="B28" s="19" t="s">
        <v>149</v>
      </c>
      <c r="C28" s="2" t="s">
        <v>36</v>
      </c>
      <c r="D28" s="2" t="s">
        <v>148</v>
      </c>
      <c r="E28" s="2" t="s">
        <v>71</v>
      </c>
      <c r="F28" s="2" t="s">
        <v>80</v>
      </c>
      <c r="G28" s="8">
        <v>21</v>
      </c>
    </row>
    <row r="29" spans="1:7" ht="14.4">
      <c r="A29" s="2" t="s">
        <v>150</v>
      </c>
      <c r="B29" s="19" t="s">
        <v>151</v>
      </c>
      <c r="C29" s="2" t="s">
        <v>36</v>
      </c>
      <c r="D29" s="2" t="s">
        <v>150</v>
      </c>
      <c r="E29" s="2" t="s">
        <v>71</v>
      </c>
      <c r="F29" s="2" t="s">
        <v>72</v>
      </c>
      <c r="G29" s="8">
        <v>22</v>
      </c>
    </row>
    <row r="30" spans="1:7" ht="14.4">
      <c r="A30" s="2" t="s">
        <v>152</v>
      </c>
      <c r="B30" s="19" t="s">
        <v>153</v>
      </c>
      <c r="C30" s="2" t="s">
        <v>36</v>
      </c>
      <c r="D30" s="2" t="s">
        <v>152</v>
      </c>
      <c r="E30" s="2" t="s">
        <v>71</v>
      </c>
      <c r="F30" s="2" t="s">
        <v>72</v>
      </c>
      <c r="G30" s="8">
        <v>21</v>
      </c>
    </row>
    <row r="31" spans="1:7" ht="14.4">
      <c r="A31" s="3" t="s">
        <v>154</v>
      </c>
      <c r="B31" s="19" t="s">
        <v>155</v>
      </c>
      <c r="C31" s="2" t="s">
        <v>42</v>
      </c>
      <c r="D31" s="3" t="s">
        <v>154</v>
      </c>
      <c r="E31" s="2" t="s">
        <v>71</v>
      </c>
      <c r="F31" s="2" t="s">
        <v>80</v>
      </c>
      <c r="G31" s="8">
        <v>21</v>
      </c>
    </row>
    <row r="32" spans="1:7" ht="14.4">
      <c r="A32" s="2" t="s">
        <v>156</v>
      </c>
      <c r="B32" s="19" t="s">
        <v>157</v>
      </c>
      <c r="C32" s="2" t="s">
        <v>42</v>
      </c>
      <c r="D32" s="2" t="s">
        <v>156</v>
      </c>
      <c r="E32" s="2" t="s">
        <v>71</v>
      </c>
      <c r="F32" s="2" t="s">
        <v>72</v>
      </c>
      <c r="G32" s="8">
        <v>21</v>
      </c>
    </row>
    <row r="33" spans="1:7" ht="14.4">
      <c r="A33" s="3" t="s">
        <v>158</v>
      </c>
      <c r="B33" s="19" t="s">
        <v>159</v>
      </c>
      <c r="C33" s="2" t="s">
        <v>42</v>
      </c>
      <c r="D33" s="3" t="s">
        <v>158</v>
      </c>
      <c r="E33" s="2" t="s">
        <v>71</v>
      </c>
      <c r="F33" s="2" t="s">
        <v>80</v>
      </c>
      <c r="G33" s="8">
        <v>21</v>
      </c>
    </row>
    <row r="34" spans="1:7" ht="14.4">
      <c r="A34" s="3" t="s">
        <v>160</v>
      </c>
      <c r="B34" s="19" t="s">
        <v>161</v>
      </c>
      <c r="C34" s="2" t="s">
        <v>38</v>
      </c>
      <c r="D34" s="3" t="s">
        <v>160</v>
      </c>
      <c r="E34" s="2" t="s">
        <v>162</v>
      </c>
      <c r="F34" s="2" t="s">
        <v>80</v>
      </c>
      <c r="G34" s="8">
        <v>62</v>
      </c>
    </row>
    <row r="35" spans="1:7" ht="14.4">
      <c r="A35" s="2" t="s">
        <v>163</v>
      </c>
      <c r="B35" s="19" t="s">
        <v>164</v>
      </c>
      <c r="C35" s="2" t="s">
        <v>38</v>
      </c>
      <c r="D35" s="2" t="s">
        <v>163</v>
      </c>
      <c r="E35" s="2" t="s">
        <v>162</v>
      </c>
      <c r="F35" s="2" t="s">
        <v>80</v>
      </c>
      <c r="G35" s="8">
        <v>124</v>
      </c>
    </row>
    <row r="36" spans="1:7" ht="14.4">
      <c r="A36" s="3" t="s">
        <v>165</v>
      </c>
      <c r="B36" s="19" t="s">
        <v>166</v>
      </c>
      <c r="C36" s="2" t="s">
        <v>38</v>
      </c>
      <c r="D36" s="3" t="s">
        <v>165</v>
      </c>
      <c r="E36" s="2" t="s">
        <v>162</v>
      </c>
      <c r="F36" s="2" t="s">
        <v>80</v>
      </c>
      <c r="G36" s="8">
        <v>61</v>
      </c>
    </row>
  </sheetData>
  <mergeCells count="1">
    <mergeCell ref="A1:H1"/>
  </mergeCells>
  <phoneticPr fontId="19" type="noConversion"/>
  <hyperlinks>
    <hyperlink ref="B3" r:id="rId1" location="S01_纳斯达克100毛利率五年趋势!A1" xr:uid="{00000000-0004-0000-0400-000000000000}"/>
    <hyperlink ref="B4" r:id="rId2" location="S02_花旗标普500盈利上修动能指标!A1" xr:uid="{00000000-0004-0000-0400-000001000000}"/>
    <hyperlink ref="B5" r:id="rId3" location="S03_TGA账户!A1" xr:uid="{00000000-0004-0000-0400-000002000000}"/>
    <hyperlink ref="B6" r:id="rId4" location="S04_标普500盈余惊喜!A1" xr:uid="{00000000-0004-0000-0400-000003000000}"/>
    <hyperlink ref="B7" r:id="rId5" location="S05_标普500的roic-wacc!A1" xr:uid="{00000000-0004-0000-0400-000004000000}"/>
    <hyperlink ref="B8" r:id="rId6" location="S06_纳斯达克营收增长!A1" xr:uid="{00000000-0004-0000-0400-000005000000}"/>
    <hyperlink ref="B9" r:id="rId7" location="S07_标普500的ERP!A1" xr:uid="{00000000-0004-0000-0400-000006000000}"/>
    <hyperlink ref="B10" r:id="rId8" location="S08_标普500的花旗盈利修正指数%20(ERI)!A1" xr:uid="{00000000-0004-0000-0400-000007000000}"/>
    <hyperlink ref="B11" r:id="rId9" location="S09_标普500的花旗经济意外指数%20(CESI%20US)!A1" xr:uid="{00000000-0004-0000-0400-000008000000}"/>
    <hyperlink ref="B12" r:id="rId10" location="S10_主权基金净流入情况!A1" xr:uid="{00000000-0004-0000-0400-000009000000}"/>
    <hyperlink ref="B13" r:id="rId11" location="S11_标普500的现金流%20PEG!A1" xr:uid="{00000000-0004-0000-0400-00000A000000}"/>
    <hyperlink ref="B14" r:id="rId12" location="S12_标普500的真实股东收益率（Total%20Shareho!A1" xr:uid="{00000000-0004-0000-0400-00000B000000}"/>
    <hyperlink ref="B15" r:id="rId13" location="S13_AAII个人投资者净看多比例!A1" xr:uid="{00000000-0004-0000-0400-00000C000000}"/>
    <hyperlink ref="B16" r:id="rId14" location="S14_Market%20Vane%20股市看涨情绪!A1" xr:uid="{00000000-0004-0000-0400-00000D000000}"/>
    <hyperlink ref="B17" r:id="rId15" location="S15_保证金债务和市值比率!A1" xr:uid="{00000000-0004-0000-0400-00000E000000}"/>
    <hyperlink ref="B18" r:id="rId16" location="S16_TGA账户余额!A1" xr:uid="{00000000-0004-0000-0400-00000F000000}"/>
    <hyperlink ref="B19" r:id="rId17" location="S17_SOFR-OIS%20基差!A1" xr:uid="{00000000-0004-0000-0400-000010000000}"/>
    <hyperlink ref="B20" r:id="rId18" location="S18_CARRY%20TO%20RISK%20RITIO!A1" xr:uid="{00000000-0004-0000-0400-000011000000}"/>
    <hyperlink ref="B21" r:id="rId19" location="S19_高盛美国宏观金融指数!A1" xr:uid="{00000000-0004-0000-0400-000012000000}"/>
    <hyperlink ref="B22" r:id="rId20" location="S20_彭博美国金融条件指数!A1" xr:uid="{00000000-0004-0000-0400-000013000000}"/>
    <hyperlink ref="B23" r:id="rId21" location="S21_芝加哥联储全国金融条件指数%20(NFCI)!A1" xr:uid="{00000000-0004-0000-0400-000014000000}"/>
    <hyperlink ref="B24" r:id="rId22" location="S22_GDP%20Now%20预测!A1" xr:uid="{00000000-0004-0000-0400-000015000000}"/>
    <hyperlink ref="B25" r:id="rId23" location="S23_St.%20Louis%20Fed%20Economic%20News!A1" xr:uid="{00000000-0004-0000-0400-000016000000}"/>
    <hyperlink ref="B26" r:id="rId24" location="S24_ADS%20商业景气指数(华尔街交易员股市应用稀缺的实时高!A1" xr:uid="{00000000-0004-0000-0400-000017000000}"/>
    <hyperlink ref="B27" r:id="rId25" location="S25_Lightcast%20数据!A1" xr:uid="{00000000-0004-0000-0400-000018000000}"/>
    <hyperlink ref="B28" r:id="rId26" location="S26_WARN%20Notice裁员数据!A1" xr:uid="{00000000-0004-0000-0400-000019000000}"/>
    <hyperlink ref="B29" r:id="rId27" location="S27_ADP%20新增就业人数!A1" xr:uid="{00000000-0004-0000-0400-00001A000000}"/>
    <hyperlink ref="B30" r:id="rId28" location="S28_RedBook%20零售指数!A1" xr:uid="{00000000-0004-0000-0400-00001B000000}"/>
    <hyperlink ref="B31" r:id="rId29" location="S29_房地产待售时长（4WMA）!A1" xr:uid="{00000000-0004-0000-0400-00001C000000}"/>
    <hyperlink ref="B32" r:id="rId30" location="S30_Redfin%20房屋销售量!A1" xr:uid="{00000000-0004-0000-0400-00001D000000}"/>
    <hyperlink ref="B33" r:id="rId31" location="S31_美国中位数房价!A1" xr:uid="{00000000-0004-0000-0400-00001E000000}"/>
    <hyperlink ref="B34" r:id="rId32" location="S32_薪资增速%20(Average%20Hourly%20Earnin!A1" xr:uid="{00000000-0004-0000-0400-00001F000000}"/>
    <hyperlink ref="B35" r:id="rId33" location="S33_ISM%20制造业和服务业价格指数!A1" xr:uid="{00000000-0004-0000-0400-000020000000}"/>
    <hyperlink ref="B36" r:id="rId34" location="S34_美国核心PCE物价指数!A1" xr:uid="{00000000-0004-0000-0400-000021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3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6" customWidth="1"/>
    <col min="2" max="2" width="14" customWidth="1"/>
    <col min="3" max="4" width="16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7" t="s">
        <v>170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69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0.54800000000000004</v>
      </c>
      <c r="E4" s="1" t="s">
        <v>51</v>
      </c>
      <c r="F4" s="12">
        <v>0.54500000000000004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178</v>
      </c>
      <c r="J7" s="7" t="s">
        <v>179</v>
      </c>
      <c r="K7" s="7" t="s">
        <v>180</v>
      </c>
    </row>
    <row r="8" spans="1:11" ht="26.4">
      <c r="A8" s="8">
        <v>2021</v>
      </c>
      <c r="B8" s="12">
        <v>0.50800000000000001</v>
      </c>
      <c r="C8" s="12">
        <v>0.51200000000000001</v>
      </c>
      <c r="D8" s="12">
        <v>0.51500000000000001</v>
      </c>
      <c r="E8" s="12">
        <v>0.51800000000000002</v>
      </c>
      <c r="F8" s="3" t="s">
        <v>181</v>
      </c>
      <c r="J8" s="2" t="s">
        <v>182</v>
      </c>
      <c r="K8" s="12">
        <v>0.50800000000000001</v>
      </c>
    </row>
    <row r="9" spans="1:11" ht="39.6">
      <c r="A9" s="8">
        <v>2022</v>
      </c>
      <c r="B9" s="12">
        <v>0.505</v>
      </c>
      <c r="C9" s="12">
        <v>0.498</v>
      </c>
      <c r="D9" s="12">
        <v>0.49199999999999999</v>
      </c>
      <c r="E9" s="12">
        <v>0.495</v>
      </c>
      <c r="F9" s="3" t="s">
        <v>183</v>
      </c>
      <c r="J9" s="2" t="s">
        <v>184</v>
      </c>
      <c r="K9" s="12">
        <v>0.51200000000000001</v>
      </c>
    </row>
    <row r="10" spans="1:11" ht="39.6">
      <c r="A10" s="8">
        <v>2023</v>
      </c>
      <c r="B10" s="12">
        <v>0.502</v>
      </c>
      <c r="C10" s="12">
        <v>0.51</v>
      </c>
      <c r="D10" s="12">
        <v>0.51800000000000002</v>
      </c>
      <c r="E10" s="12">
        <v>0.52500000000000002</v>
      </c>
      <c r="F10" s="3" t="s">
        <v>185</v>
      </c>
      <c r="J10" s="14" t="s">
        <v>186</v>
      </c>
      <c r="K10" s="15" t="s">
        <v>187</v>
      </c>
    </row>
    <row r="11" spans="1:11" ht="39.6">
      <c r="A11" s="8">
        <v>2024</v>
      </c>
      <c r="B11" s="12">
        <v>0.52800000000000002</v>
      </c>
      <c r="C11" s="12">
        <v>0.53200000000000003</v>
      </c>
      <c r="D11" s="12">
        <v>0.53500000000000003</v>
      </c>
      <c r="E11" s="12">
        <v>0.53900000000000003</v>
      </c>
      <c r="F11" s="2" t="s">
        <v>188</v>
      </c>
      <c r="J11" s="14" t="s">
        <v>189</v>
      </c>
      <c r="K11" s="15" t="s">
        <v>190</v>
      </c>
    </row>
    <row r="12" spans="1:11" ht="39.6">
      <c r="A12" s="8">
        <v>2025</v>
      </c>
      <c r="B12" s="12">
        <v>0.53800000000000003</v>
      </c>
      <c r="C12" s="12">
        <v>0.54200000000000004</v>
      </c>
      <c r="D12" s="12">
        <v>0.54500000000000004</v>
      </c>
      <c r="E12" s="12">
        <v>0.54800000000000004</v>
      </c>
      <c r="F12" s="3" t="s">
        <v>191</v>
      </c>
      <c r="J12" s="2" t="s">
        <v>192</v>
      </c>
      <c r="K12" s="12">
        <v>0.505</v>
      </c>
    </row>
    <row r="13" spans="1:11" ht="26.4">
      <c r="J13" s="2" t="s">
        <v>193</v>
      </c>
      <c r="K13" s="12">
        <v>0.498</v>
      </c>
    </row>
    <row r="14" spans="1:11" ht="26.4">
      <c r="J14" s="2" t="s">
        <v>194</v>
      </c>
      <c r="K14" s="12">
        <v>0.49199999999999999</v>
      </c>
    </row>
    <row r="15" spans="1:11" ht="26.4">
      <c r="J15" s="2" t="s">
        <v>195</v>
      </c>
      <c r="K15" s="12">
        <v>0.495</v>
      </c>
    </row>
    <row r="16" spans="1:11" ht="26.4">
      <c r="J16" s="2" t="s">
        <v>196</v>
      </c>
      <c r="K16" s="12">
        <v>0.502</v>
      </c>
    </row>
    <row r="17" spans="10:11" ht="26.4">
      <c r="J17" s="2" t="s">
        <v>197</v>
      </c>
      <c r="K17" s="12">
        <v>0.51</v>
      </c>
    </row>
    <row r="18" spans="10:11" ht="26.4">
      <c r="J18" s="2" t="s">
        <v>198</v>
      </c>
      <c r="K18" s="12">
        <v>0.51800000000000002</v>
      </c>
    </row>
    <row r="19" spans="10:11" ht="26.4">
      <c r="J19" s="2" t="s">
        <v>199</v>
      </c>
      <c r="K19" s="12">
        <v>0.52500000000000002</v>
      </c>
    </row>
    <row r="20" spans="10:11" ht="26.4">
      <c r="J20" s="2" t="s">
        <v>200</v>
      </c>
      <c r="K20" s="12">
        <v>0.52800000000000002</v>
      </c>
    </row>
    <row r="21" spans="10:11" ht="26.4">
      <c r="J21" s="2" t="s">
        <v>201</v>
      </c>
      <c r="K21" s="12">
        <v>0.53200000000000003</v>
      </c>
    </row>
    <row r="22" spans="10:11" ht="26.4">
      <c r="J22" s="2" t="s">
        <v>202</v>
      </c>
      <c r="K22" s="12">
        <v>0.53500000000000003</v>
      </c>
    </row>
    <row r="23" spans="10:11" ht="26.4">
      <c r="J23" s="2" t="s">
        <v>203</v>
      </c>
      <c r="K23" s="12">
        <v>0.53900000000000003</v>
      </c>
    </row>
    <row r="24" spans="10:11" ht="26.4">
      <c r="J24" s="2" t="s">
        <v>204</v>
      </c>
      <c r="K24" s="12">
        <v>0.53800000000000003</v>
      </c>
    </row>
    <row r="25" spans="10:11" ht="26.4">
      <c r="J25" s="2" t="s">
        <v>205</v>
      </c>
      <c r="K25" s="12">
        <v>0.54200000000000004</v>
      </c>
    </row>
    <row r="26" spans="10:11" ht="26.4">
      <c r="J26" s="2" t="s">
        <v>206</v>
      </c>
      <c r="K26" s="12">
        <v>0.54500000000000004</v>
      </c>
    </row>
    <row r="27" spans="10:11" ht="26.4">
      <c r="J27" s="2" t="s">
        <v>207</v>
      </c>
      <c r="K27" s="12">
        <v>0.54800000000000004</v>
      </c>
    </row>
  </sheetData>
  <mergeCells count="1">
    <mergeCell ref="A1:H1"/>
  </mergeCells>
  <phoneticPr fontId="19" type="noConversion"/>
  <hyperlinks>
    <hyperlink ref="H3" r:id="rId1" location="Dashboard!A1" xr:uid="{00000000-0004-0000-05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8" customWidth="1"/>
    <col min="2" max="4" width="24" customWidth="1"/>
    <col min="5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208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76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0.08</v>
      </c>
      <c r="E4" s="1" t="s">
        <v>51</v>
      </c>
      <c r="F4" s="12">
        <v>-0.28000000000000003</v>
      </c>
    </row>
    <row r="7" spans="1:11" ht="26.4">
      <c r="A7" s="6" t="s">
        <v>209</v>
      </c>
      <c r="B7" s="6" t="s">
        <v>210</v>
      </c>
      <c r="C7" s="6" t="s">
        <v>211</v>
      </c>
      <c r="J7" s="7" t="s">
        <v>179</v>
      </c>
      <c r="K7" s="7" t="s">
        <v>180</v>
      </c>
    </row>
    <row r="8" spans="1:11" ht="39.6">
      <c r="A8" s="2" t="s">
        <v>212</v>
      </c>
      <c r="B8" s="2" t="s">
        <v>213</v>
      </c>
      <c r="C8" s="3" t="s">
        <v>214</v>
      </c>
      <c r="J8" s="2" t="s">
        <v>215</v>
      </c>
      <c r="K8" s="12">
        <v>0.42</v>
      </c>
    </row>
    <row r="9" spans="1:11" ht="39.6">
      <c r="A9" s="2" t="s">
        <v>216</v>
      </c>
      <c r="B9" s="2" t="s">
        <v>217</v>
      </c>
      <c r="C9" s="3" t="s">
        <v>218</v>
      </c>
      <c r="J9" s="2" t="s">
        <v>219</v>
      </c>
      <c r="K9" s="12">
        <v>-0.18</v>
      </c>
    </row>
    <row r="10" spans="1:11" ht="39.6">
      <c r="A10" s="2" t="s">
        <v>220</v>
      </c>
      <c r="B10" s="12">
        <v>0.08</v>
      </c>
      <c r="C10" s="2" t="s">
        <v>221</v>
      </c>
      <c r="J10" s="14" t="s">
        <v>186</v>
      </c>
      <c r="K10" s="15" t="s">
        <v>187</v>
      </c>
    </row>
    <row r="11" spans="1:11" ht="39.6">
      <c r="A11" s="2" t="s">
        <v>222</v>
      </c>
      <c r="B11" s="12">
        <v>0.38</v>
      </c>
      <c r="C11" s="3" t="s">
        <v>223</v>
      </c>
      <c r="J11" s="14" t="s">
        <v>189</v>
      </c>
      <c r="K11" s="15" t="s">
        <v>190</v>
      </c>
    </row>
    <row r="12" spans="1:11" ht="52.8">
      <c r="A12" s="2" t="s">
        <v>224</v>
      </c>
      <c r="B12" s="12">
        <v>-0.28000000000000003</v>
      </c>
      <c r="C12" s="3" t="s">
        <v>225</v>
      </c>
      <c r="J12" s="2" t="s">
        <v>226</v>
      </c>
      <c r="K12" s="12">
        <v>-0.28000000000000003</v>
      </c>
    </row>
    <row r="13" spans="1:11" ht="39.6">
      <c r="A13" s="2" t="s">
        <v>227</v>
      </c>
      <c r="B13" s="12">
        <v>0.08</v>
      </c>
      <c r="C13" s="3" t="s">
        <v>228</v>
      </c>
      <c r="J13" s="2" t="s">
        <v>229</v>
      </c>
      <c r="K13" s="12">
        <v>0.08</v>
      </c>
    </row>
  </sheetData>
  <mergeCells count="1">
    <mergeCell ref="A1:H1"/>
  </mergeCells>
  <phoneticPr fontId="19" type="noConversion"/>
  <hyperlinks>
    <hyperlink ref="H3" r:id="rId1" location="Dashboard!A1" xr:uid="{00000000-0004-0000-06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3" customWidth="1"/>
    <col min="3" max="3" width="16" customWidth="1"/>
    <col min="4" max="6" width="11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5" t="s">
        <v>230</v>
      </c>
      <c r="B1" s="35"/>
      <c r="C1" s="35"/>
      <c r="D1" s="35"/>
      <c r="E1" s="35"/>
      <c r="F1" s="35"/>
      <c r="G1" s="35"/>
      <c r="H1" s="35"/>
    </row>
    <row r="3" spans="1:11" ht="14.4">
      <c r="A3" s="1" t="s">
        <v>64</v>
      </c>
      <c r="B3" s="2" t="s">
        <v>39</v>
      </c>
      <c r="C3" s="1" t="s">
        <v>171</v>
      </c>
      <c r="D3" s="2" t="s">
        <v>78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871</v>
      </c>
      <c r="E4" s="1" t="s">
        <v>51</v>
      </c>
      <c r="F4" s="5">
        <v>820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J7" s="7" t="s">
        <v>179</v>
      </c>
      <c r="K7" s="7" t="s">
        <v>180</v>
      </c>
    </row>
    <row r="8" spans="1:11" ht="26.4">
      <c r="A8" s="8">
        <v>2021</v>
      </c>
      <c r="B8" s="8">
        <v>1122</v>
      </c>
      <c r="C8" s="8">
        <v>852</v>
      </c>
      <c r="D8" s="8">
        <v>215</v>
      </c>
      <c r="E8" s="8">
        <v>406</v>
      </c>
      <c r="J8" s="2" t="s">
        <v>182</v>
      </c>
      <c r="K8" s="8">
        <v>1122</v>
      </c>
    </row>
    <row r="9" spans="1:11" ht="26.4">
      <c r="A9" s="8">
        <v>2022</v>
      </c>
      <c r="B9" s="8">
        <v>628</v>
      </c>
      <c r="C9" s="8">
        <v>757</v>
      </c>
      <c r="D9" s="8">
        <v>636</v>
      </c>
      <c r="E9" s="8">
        <v>447</v>
      </c>
      <c r="J9" s="2" t="s">
        <v>184</v>
      </c>
      <c r="K9" s="5">
        <v>852</v>
      </c>
    </row>
    <row r="10" spans="1:11" ht="26.4">
      <c r="A10" s="8">
        <v>2023</v>
      </c>
      <c r="B10" s="8">
        <v>178</v>
      </c>
      <c r="C10" s="8">
        <v>402</v>
      </c>
      <c r="D10" s="8">
        <v>661</v>
      </c>
      <c r="E10" s="8">
        <v>769</v>
      </c>
      <c r="J10" s="14" t="s">
        <v>186</v>
      </c>
      <c r="K10" s="10" t="s">
        <v>187</v>
      </c>
    </row>
    <row r="11" spans="1:11" ht="26.4">
      <c r="A11" s="8">
        <v>2024</v>
      </c>
      <c r="B11" s="8">
        <v>745</v>
      </c>
      <c r="C11" s="8">
        <v>755</v>
      </c>
      <c r="D11" s="8">
        <v>818</v>
      </c>
      <c r="E11" s="8">
        <v>702</v>
      </c>
      <c r="J11" s="14" t="s">
        <v>189</v>
      </c>
      <c r="K11" s="10" t="s">
        <v>190</v>
      </c>
    </row>
    <row r="12" spans="1:11" ht="26.4">
      <c r="A12" s="8">
        <v>2025</v>
      </c>
      <c r="B12" s="2" t="s">
        <v>231</v>
      </c>
      <c r="C12" s="8">
        <v>650</v>
      </c>
      <c r="D12" s="8">
        <v>835</v>
      </c>
      <c r="E12" s="8">
        <v>820</v>
      </c>
      <c r="J12" s="2" t="s">
        <v>192</v>
      </c>
      <c r="K12" s="5">
        <v>628</v>
      </c>
    </row>
    <row r="13" spans="1:11" ht="26.4">
      <c r="A13" s="8">
        <v>2026</v>
      </c>
      <c r="B13" s="2" t="s">
        <v>232</v>
      </c>
      <c r="C13" s="2" t="s">
        <v>233</v>
      </c>
      <c r="D13" s="2" t="s">
        <v>233</v>
      </c>
      <c r="E13" s="2" t="s">
        <v>233</v>
      </c>
      <c r="J13" s="2" t="s">
        <v>193</v>
      </c>
      <c r="K13" s="5">
        <v>757</v>
      </c>
    </row>
    <row r="14" spans="1:11" ht="26.4">
      <c r="J14" s="2" t="s">
        <v>194</v>
      </c>
      <c r="K14" s="5">
        <v>636</v>
      </c>
    </row>
    <row r="15" spans="1:11" ht="26.4">
      <c r="J15" s="2" t="s">
        <v>195</v>
      </c>
      <c r="K15" s="5">
        <v>447</v>
      </c>
    </row>
    <row r="16" spans="1:11" ht="26.4">
      <c r="J16" s="2" t="s">
        <v>196</v>
      </c>
      <c r="K16" s="5">
        <v>178</v>
      </c>
    </row>
    <row r="17" spans="10:11" ht="26.4">
      <c r="J17" s="2" t="s">
        <v>197</v>
      </c>
      <c r="K17" s="5">
        <v>402</v>
      </c>
    </row>
    <row r="18" spans="10:11" ht="26.4">
      <c r="J18" s="2" t="s">
        <v>198</v>
      </c>
      <c r="K18" s="5">
        <v>661</v>
      </c>
    </row>
    <row r="19" spans="10:11" ht="26.4">
      <c r="J19" s="2" t="s">
        <v>199</v>
      </c>
      <c r="K19" s="5">
        <v>769</v>
      </c>
    </row>
    <row r="20" spans="10:11" ht="26.4">
      <c r="J20" s="2" t="s">
        <v>200</v>
      </c>
      <c r="K20" s="5">
        <v>745</v>
      </c>
    </row>
    <row r="21" spans="10:11" ht="26.4">
      <c r="J21" s="2" t="s">
        <v>201</v>
      </c>
      <c r="K21" s="5">
        <v>755</v>
      </c>
    </row>
    <row r="22" spans="10:11" ht="26.4">
      <c r="J22" s="2" t="s">
        <v>202</v>
      </c>
      <c r="K22" s="5">
        <v>818</v>
      </c>
    </row>
    <row r="23" spans="10:11" ht="26.4">
      <c r="J23" s="2" t="s">
        <v>203</v>
      </c>
      <c r="K23" s="5">
        <v>702</v>
      </c>
    </row>
    <row r="24" spans="10:11" ht="26.4">
      <c r="J24" s="2" t="s">
        <v>204</v>
      </c>
      <c r="K24" s="5">
        <v>325</v>
      </c>
    </row>
    <row r="25" spans="10:11" ht="26.4">
      <c r="J25" s="2" t="s">
        <v>205</v>
      </c>
      <c r="K25" s="5">
        <v>650</v>
      </c>
    </row>
    <row r="26" spans="10:11" ht="26.4">
      <c r="J26" s="2" t="s">
        <v>206</v>
      </c>
      <c r="K26" s="5">
        <v>835</v>
      </c>
    </row>
    <row r="27" spans="10:11" ht="26.4">
      <c r="J27" s="2" t="s">
        <v>207</v>
      </c>
      <c r="K27" s="5">
        <v>820</v>
      </c>
    </row>
    <row r="28" spans="10:11" ht="26.4">
      <c r="J28" s="2" t="s">
        <v>234</v>
      </c>
      <c r="K28" s="5">
        <v>871</v>
      </c>
    </row>
  </sheetData>
  <mergeCells count="1">
    <mergeCell ref="A1:H1"/>
  </mergeCells>
  <phoneticPr fontId="19" type="noConversion"/>
  <hyperlinks>
    <hyperlink ref="H3" r:id="rId1" location="Dashboard!A1" xr:uid="{00000000-0004-0000-07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4" customWidth="1"/>
    <col min="2" max="2" width="21" customWidth="1"/>
    <col min="3" max="3" width="23" customWidth="1"/>
    <col min="4" max="4" width="21" customWidth="1"/>
    <col min="5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235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84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0.22500000000000001</v>
      </c>
      <c r="E4" s="1" t="s">
        <v>51</v>
      </c>
      <c r="F4" s="12">
        <v>0.182</v>
      </c>
    </row>
    <row r="7" spans="1:11" ht="26.4">
      <c r="A7" s="6" t="s">
        <v>209</v>
      </c>
      <c r="B7" s="6" t="s">
        <v>236</v>
      </c>
      <c r="C7" s="6" t="s">
        <v>237</v>
      </c>
      <c r="J7" s="7" t="s">
        <v>179</v>
      </c>
      <c r="K7" s="7" t="s">
        <v>180</v>
      </c>
    </row>
    <row r="8" spans="1:11" ht="14.4">
      <c r="A8" s="2" t="s">
        <v>238</v>
      </c>
      <c r="B8" s="12">
        <v>6.8000000000000005E-2</v>
      </c>
      <c r="C8" s="12">
        <v>0.73</v>
      </c>
      <c r="J8" s="2" t="s">
        <v>215</v>
      </c>
      <c r="K8" s="12">
        <v>6.8000000000000005E-2</v>
      </c>
    </row>
    <row r="9" spans="1:11" ht="14.4">
      <c r="A9" s="2" t="s">
        <v>239</v>
      </c>
      <c r="B9" s="12">
        <v>5.8999999999999997E-2</v>
      </c>
      <c r="C9" s="12">
        <v>0.82</v>
      </c>
      <c r="J9" s="2" t="s">
        <v>219</v>
      </c>
      <c r="K9" s="12">
        <v>5.8999999999999997E-2</v>
      </c>
    </row>
    <row r="10" spans="1:11" ht="26.4">
      <c r="A10" s="2" t="s">
        <v>224</v>
      </c>
      <c r="B10" s="12">
        <v>8.4000000000000005E-2</v>
      </c>
      <c r="C10" s="12">
        <v>0.81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8.5000000000000006E-2</v>
      </c>
      <c r="C11" s="12">
        <v>0.78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7.2999999999999995E-2</v>
      </c>
      <c r="C12" s="12">
        <v>0.76</v>
      </c>
      <c r="J12" s="2" t="s">
        <v>226</v>
      </c>
      <c r="K12" s="12">
        <v>7.2999999999999995E-2</v>
      </c>
    </row>
    <row r="13" spans="1:11" ht="14.4">
      <c r="A13" s="2" t="s">
        <v>222</v>
      </c>
      <c r="B13" s="12">
        <v>6.3E-2</v>
      </c>
      <c r="C13" s="12">
        <v>0.75</v>
      </c>
      <c r="J13" s="2" t="s">
        <v>229</v>
      </c>
      <c r="K13" s="12">
        <v>6.3E-2</v>
      </c>
    </row>
    <row r="14" spans="1:11" ht="14.4">
      <c r="A14" s="2" t="s">
        <v>242</v>
      </c>
      <c r="B14" s="12">
        <v>0.109</v>
      </c>
      <c r="C14" s="12">
        <v>0.79</v>
      </c>
      <c r="J14" s="2" t="s">
        <v>243</v>
      </c>
      <c r="K14" s="12">
        <v>0.109</v>
      </c>
    </row>
    <row r="15" spans="1:11" ht="14.4">
      <c r="A15" s="2" t="s">
        <v>244</v>
      </c>
      <c r="B15" s="12">
        <v>8.7999999999999995E-2</v>
      </c>
      <c r="C15" s="12">
        <v>0.74</v>
      </c>
      <c r="J15" s="2" t="s">
        <v>245</v>
      </c>
      <c r="K15" s="12">
        <v>8.7999999999999995E-2</v>
      </c>
    </row>
    <row r="16" spans="1:11" ht="14.4">
      <c r="A16" s="2" t="s">
        <v>246</v>
      </c>
      <c r="B16" s="12">
        <v>6.7000000000000004E-2</v>
      </c>
      <c r="C16" s="12">
        <v>0.76</v>
      </c>
      <c r="J16" s="2" t="s">
        <v>247</v>
      </c>
      <c r="K16" s="12">
        <v>6.7000000000000004E-2</v>
      </c>
    </row>
    <row r="17" spans="1:11" ht="14.4">
      <c r="A17" s="2" t="s">
        <v>248</v>
      </c>
      <c r="B17" s="12">
        <v>8.1000000000000003E-2</v>
      </c>
      <c r="C17" s="12">
        <v>0.81</v>
      </c>
      <c r="J17" s="2" t="s">
        <v>249</v>
      </c>
      <c r="K17" s="12">
        <v>8.1000000000000003E-2</v>
      </c>
    </row>
    <row r="18" spans="1:11" ht="14.4">
      <c r="A18" s="2" t="s">
        <v>220</v>
      </c>
      <c r="B18" s="12">
        <v>7.9000000000000001E-2</v>
      </c>
      <c r="C18" s="12">
        <v>0.79</v>
      </c>
      <c r="J18" s="2" t="s">
        <v>250</v>
      </c>
      <c r="K18" s="12">
        <v>7.9000000000000001E-2</v>
      </c>
    </row>
    <row r="19" spans="1:11" ht="14.4">
      <c r="A19" s="2" t="s">
        <v>251</v>
      </c>
      <c r="B19" s="12">
        <v>6.5000000000000002E-2</v>
      </c>
      <c r="C19" s="12">
        <v>0.77</v>
      </c>
      <c r="J19" s="2" t="s">
        <v>252</v>
      </c>
      <c r="K19" s="12">
        <v>6.5000000000000002E-2</v>
      </c>
    </row>
    <row r="20" spans="1:11" ht="14.4">
      <c r="A20" s="2" t="s">
        <v>253</v>
      </c>
      <c r="B20" s="12">
        <v>1.2999999999999999E-2</v>
      </c>
      <c r="C20" s="12">
        <v>0.68</v>
      </c>
      <c r="J20" s="2" t="s">
        <v>254</v>
      </c>
      <c r="K20" s="12">
        <v>1.2999999999999999E-2</v>
      </c>
    </row>
    <row r="21" spans="1:11" ht="14.4">
      <c r="A21" s="2" t="s">
        <v>255</v>
      </c>
      <c r="B21" s="12">
        <v>3.2000000000000001E-2</v>
      </c>
      <c r="C21" s="12">
        <v>0.71</v>
      </c>
      <c r="J21" s="2" t="s">
        <v>256</v>
      </c>
      <c r="K21" s="12">
        <v>3.2000000000000001E-2</v>
      </c>
    </row>
    <row r="22" spans="1:11" ht="14.4">
      <c r="A22" s="2" t="s">
        <v>257</v>
      </c>
      <c r="B22" s="12">
        <v>5.0999999999999997E-2</v>
      </c>
      <c r="C22" s="12">
        <v>0.75</v>
      </c>
      <c r="J22" s="2" t="s">
        <v>258</v>
      </c>
      <c r="K22" s="12">
        <v>5.0999999999999997E-2</v>
      </c>
    </row>
    <row r="23" spans="1:11" ht="14.4">
      <c r="A23" s="2" t="s">
        <v>259</v>
      </c>
      <c r="B23" s="12">
        <v>4.5999999999999999E-2</v>
      </c>
      <c r="C23" s="12">
        <v>0.76</v>
      </c>
      <c r="J23" s="2" t="s">
        <v>260</v>
      </c>
      <c r="K23" s="12">
        <v>4.5999999999999999E-2</v>
      </c>
    </row>
    <row r="24" spans="1:11" ht="14.4">
      <c r="A24" s="2" t="s">
        <v>261</v>
      </c>
      <c r="B24" s="12">
        <v>5.8000000000000003E-2</v>
      </c>
      <c r="C24" s="12">
        <v>0.76</v>
      </c>
      <c r="J24" s="2" t="s">
        <v>262</v>
      </c>
      <c r="K24" s="12">
        <v>5.8000000000000003E-2</v>
      </c>
    </row>
    <row r="25" spans="1:11" ht="14.4">
      <c r="A25" s="2" t="s">
        <v>263</v>
      </c>
      <c r="B25" s="12">
        <v>0.10299999999999999</v>
      </c>
      <c r="C25" s="12">
        <v>0.85</v>
      </c>
      <c r="J25" s="2" t="s">
        <v>264</v>
      </c>
      <c r="K25" s="12">
        <v>0.10299999999999999</v>
      </c>
    </row>
    <row r="26" spans="1:11" ht="14.4">
      <c r="A26" s="2" t="s">
        <v>265</v>
      </c>
      <c r="B26" s="12">
        <v>0.182</v>
      </c>
      <c r="C26" s="12">
        <v>0.87</v>
      </c>
      <c r="J26" s="2" t="s">
        <v>266</v>
      </c>
      <c r="K26" s="12">
        <v>0.182</v>
      </c>
    </row>
    <row r="27" spans="1:11" ht="14.4">
      <c r="A27" s="2" t="s">
        <v>267</v>
      </c>
      <c r="B27" s="12">
        <v>0.22500000000000001</v>
      </c>
      <c r="C27" s="12">
        <v>0.86</v>
      </c>
      <c r="J27" s="2" t="s">
        <v>268</v>
      </c>
      <c r="K27" s="12">
        <v>0.22500000000000001</v>
      </c>
    </row>
  </sheetData>
  <mergeCells count="1">
    <mergeCell ref="A1:H1"/>
  </mergeCells>
  <phoneticPr fontId="19" type="noConversion"/>
  <hyperlinks>
    <hyperlink ref="H3" r:id="rId1" location="Dashboard!A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7" customWidth="1"/>
    <col min="2" max="2" width="14" customWidth="1"/>
    <col min="3" max="3" width="16" customWidth="1"/>
    <col min="4" max="4" width="22" customWidth="1"/>
    <col min="5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269</v>
      </c>
      <c r="B1" s="37"/>
      <c r="C1" s="37"/>
      <c r="D1" s="37"/>
      <c r="E1" s="37"/>
      <c r="F1" s="37"/>
      <c r="G1" s="37"/>
      <c r="H1" s="37"/>
    </row>
    <row r="3" spans="1:11" ht="14.4">
      <c r="A3" s="1" t="s">
        <v>64</v>
      </c>
      <c r="B3" s="2" t="s">
        <v>40</v>
      </c>
      <c r="C3" s="1" t="s">
        <v>171</v>
      </c>
      <c r="D3" s="2" t="s">
        <v>88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9.8000000000000004E-2</v>
      </c>
      <c r="E4" s="1" t="s">
        <v>51</v>
      </c>
      <c r="F4" s="12">
        <v>0.10299999999999999</v>
      </c>
    </row>
    <row r="7" spans="1:11" ht="14.4">
      <c r="A7" s="6" t="s">
        <v>209</v>
      </c>
      <c r="B7" s="6" t="s">
        <v>270</v>
      </c>
      <c r="C7" s="6" t="s">
        <v>271</v>
      </c>
      <c r="D7" s="7" t="s">
        <v>88</v>
      </c>
      <c r="J7" s="7" t="s">
        <v>179</v>
      </c>
      <c r="K7" s="7" t="s">
        <v>180</v>
      </c>
    </row>
    <row r="8" spans="1:11" ht="14.4">
      <c r="A8" s="2" t="s">
        <v>238</v>
      </c>
      <c r="B8" s="12">
        <v>0.17799999999999999</v>
      </c>
      <c r="C8" s="12">
        <v>8.2000000000000003E-2</v>
      </c>
      <c r="D8" s="12">
        <v>9.6000000000000002E-2</v>
      </c>
      <c r="J8" s="2" t="s">
        <v>215</v>
      </c>
      <c r="K8" s="12">
        <v>9.6000000000000002E-2</v>
      </c>
    </row>
    <row r="9" spans="1:11" ht="14.4">
      <c r="A9" s="2" t="s">
        <v>239</v>
      </c>
      <c r="B9" s="12">
        <v>0.17499999999999999</v>
      </c>
      <c r="C9" s="12">
        <v>8.4000000000000005E-2</v>
      </c>
      <c r="D9" s="12">
        <v>9.0999999999999998E-2</v>
      </c>
      <c r="J9" s="2" t="s">
        <v>219</v>
      </c>
      <c r="K9" s="12">
        <v>9.0999999999999998E-2</v>
      </c>
    </row>
    <row r="10" spans="1:11" ht="26.4">
      <c r="A10" s="2" t="s">
        <v>224</v>
      </c>
      <c r="B10" s="12">
        <v>0.17199999999999999</v>
      </c>
      <c r="C10" s="12">
        <v>8.3000000000000004E-2</v>
      </c>
      <c r="D10" s="12">
        <v>8.8999999999999996E-2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0.16900000000000001</v>
      </c>
      <c r="C11" s="12">
        <v>8.1000000000000003E-2</v>
      </c>
      <c r="D11" s="12">
        <v>8.7999999999999995E-2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0.16800000000000001</v>
      </c>
      <c r="C12" s="12">
        <v>7.9000000000000001E-2</v>
      </c>
      <c r="D12" s="12">
        <v>8.8999999999999996E-2</v>
      </c>
      <c r="J12" s="2" t="s">
        <v>226</v>
      </c>
      <c r="K12" s="12">
        <v>8.8999999999999996E-2</v>
      </c>
    </row>
    <row r="13" spans="1:11" ht="14.4">
      <c r="A13" s="2" t="s">
        <v>222</v>
      </c>
      <c r="B13" s="12">
        <v>0.16500000000000001</v>
      </c>
      <c r="C13" s="12">
        <v>0.08</v>
      </c>
      <c r="D13" s="12">
        <v>8.5000000000000006E-2</v>
      </c>
      <c r="J13" s="2" t="s">
        <v>229</v>
      </c>
      <c r="K13" s="12">
        <v>8.5000000000000006E-2</v>
      </c>
    </row>
    <row r="14" spans="1:11" ht="14.4">
      <c r="A14" s="2" t="s">
        <v>242</v>
      </c>
      <c r="B14" s="12">
        <v>0.16300000000000001</v>
      </c>
      <c r="C14" s="12">
        <v>8.2000000000000003E-2</v>
      </c>
      <c r="D14" s="12">
        <v>8.1000000000000003E-2</v>
      </c>
      <c r="J14" s="2" t="s">
        <v>243</v>
      </c>
      <c r="K14" s="12">
        <v>8.1000000000000003E-2</v>
      </c>
    </row>
    <row r="15" spans="1:11" ht="14.4">
      <c r="A15" s="2" t="s">
        <v>244</v>
      </c>
      <c r="B15" s="12">
        <v>0.16</v>
      </c>
      <c r="C15" s="12">
        <v>8.5000000000000006E-2</v>
      </c>
      <c r="D15" s="12">
        <v>7.4999999999999997E-2</v>
      </c>
      <c r="J15" s="2" t="s">
        <v>245</v>
      </c>
      <c r="K15" s="12">
        <v>7.4999999999999997E-2</v>
      </c>
    </row>
    <row r="16" spans="1:11" ht="14.4">
      <c r="A16" s="2" t="s">
        <v>246</v>
      </c>
      <c r="B16" s="12">
        <v>0.158</v>
      </c>
      <c r="C16" s="12">
        <v>8.5999999999999993E-2</v>
      </c>
      <c r="D16" s="12">
        <v>7.1999999999999995E-2</v>
      </c>
      <c r="J16" s="2" t="s">
        <v>247</v>
      </c>
      <c r="K16" s="12">
        <v>7.1999999999999995E-2</v>
      </c>
    </row>
    <row r="17" spans="1:11" ht="14.4">
      <c r="A17" s="2" t="s">
        <v>248</v>
      </c>
      <c r="B17" s="12">
        <v>0.156</v>
      </c>
      <c r="C17" s="12">
        <v>8.7999999999999995E-2</v>
      </c>
      <c r="D17" s="12">
        <v>6.8000000000000005E-2</v>
      </c>
      <c r="J17" s="2" t="s">
        <v>249</v>
      </c>
      <c r="K17" s="12">
        <v>6.8000000000000005E-2</v>
      </c>
    </row>
    <row r="18" spans="1:11" ht="14.4">
      <c r="A18" s="2" t="s">
        <v>220</v>
      </c>
      <c r="B18" s="12">
        <v>0.154</v>
      </c>
      <c r="C18" s="12">
        <v>8.5000000000000006E-2</v>
      </c>
      <c r="D18" s="12">
        <v>6.9000000000000006E-2</v>
      </c>
      <c r="J18" s="2" t="s">
        <v>250</v>
      </c>
      <c r="K18" s="12">
        <v>6.9000000000000006E-2</v>
      </c>
    </row>
    <row r="19" spans="1:11" ht="14.4">
      <c r="A19" s="2" t="s">
        <v>251</v>
      </c>
      <c r="B19" s="12">
        <v>0.151</v>
      </c>
      <c r="C19" s="12">
        <v>8.2000000000000003E-2</v>
      </c>
      <c r="D19" s="12">
        <v>6.9000000000000006E-2</v>
      </c>
      <c r="J19" s="2" t="s">
        <v>252</v>
      </c>
      <c r="K19" s="12">
        <v>6.9000000000000006E-2</v>
      </c>
    </row>
    <row r="20" spans="1:11" ht="14.4">
      <c r="A20" s="2" t="s">
        <v>253</v>
      </c>
      <c r="B20" s="12">
        <v>0.14899999999999999</v>
      </c>
      <c r="C20" s="12">
        <v>0.08</v>
      </c>
      <c r="D20" s="12">
        <v>6.9000000000000006E-2</v>
      </c>
      <c r="J20" s="2" t="s">
        <v>254</v>
      </c>
      <c r="K20" s="12">
        <v>6.9000000000000006E-2</v>
      </c>
    </row>
    <row r="21" spans="1:11" ht="14.4">
      <c r="A21" s="2" t="s">
        <v>255</v>
      </c>
      <c r="B21" s="12">
        <v>0.152</v>
      </c>
      <c r="C21" s="12">
        <v>7.8E-2</v>
      </c>
      <c r="D21" s="12">
        <v>7.3999999999999996E-2</v>
      </c>
      <c r="J21" s="2" t="s">
        <v>256</v>
      </c>
      <c r="K21" s="12">
        <v>7.3999999999999996E-2</v>
      </c>
    </row>
    <row r="22" spans="1:11" ht="14.4">
      <c r="A22" s="2" t="s">
        <v>257</v>
      </c>
      <c r="B22" s="12">
        <v>0.155</v>
      </c>
      <c r="C22" s="12">
        <v>7.1999999999999995E-2</v>
      </c>
      <c r="D22" s="12">
        <v>8.3000000000000004E-2</v>
      </c>
      <c r="J22" s="2" t="s">
        <v>258</v>
      </c>
      <c r="K22" s="12">
        <v>8.3000000000000004E-2</v>
      </c>
    </row>
    <row r="23" spans="1:11" ht="14.4">
      <c r="A23" s="2" t="s">
        <v>259</v>
      </c>
      <c r="B23" s="12">
        <v>0.158</v>
      </c>
      <c r="C23" s="12">
        <v>6.5000000000000002E-2</v>
      </c>
      <c r="D23" s="12">
        <v>9.2999999999999999E-2</v>
      </c>
      <c r="J23" s="2" t="s">
        <v>260</v>
      </c>
      <c r="K23" s="12">
        <v>9.2999999999999999E-2</v>
      </c>
    </row>
    <row r="24" spans="1:11" ht="14.4">
      <c r="A24" s="2" t="s">
        <v>261</v>
      </c>
      <c r="B24" s="12">
        <v>0.16400000000000001</v>
      </c>
      <c r="C24" s="12">
        <v>5.8000000000000003E-2</v>
      </c>
      <c r="D24" s="12">
        <v>0.106</v>
      </c>
      <c r="J24" s="2" t="s">
        <v>262</v>
      </c>
      <c r="K24" s="12">
        <v>0.106</v>
      </c>
    </row>
    <row r="25" spans="1:11" ht="14.4">
      <c r="A25" s="2" t="s">
        <v>263</v>
      </c>
      <c r="B25" s="12">
        <v>0.16</v>
      </c>
      <c r="C25" s="12">
        <v>5.6000000000000001E-2</v>
      </c>
      <c r="D25" s="12">
        <v>0.104</v>
      </c>
      <c r="J25" s="2" t="s">
        <v>264</v>
      </c>
      <c r="K25" s="12">
        <v>0.104</v>
      </c>
    </row>
    <row r="26" spans="1:11" ht="14.4">
      <c r="A26" s="2" t="s">
        <v>265</v>
      </c>
      <c r="B26" s="12">
        <v>0.158</v>
      </c>
      <c r="C26" s="12">
        <v>5.5E-2</v>
      </c>
      <c r="D26" s="12">
        <v>0.10299999999999999</v>
      </c>
      <c r="J26" s="2" t="s">
        <v>266</v>
      </c>
      <c r="K26" s="12">
        <v>0.10299999999999999</v>
      </c>
    </row>
    <row r="27" spans="1:11" ht="14.4">
      <c r="A27" s="2" t="s">
        <v>267</v>
      </c>
      <c r="B27" s="12">
        <v>0.152</v>
      </c>
      <c r="C27" s="12">
        <v>5.3999999999999999E-2</v>
      </c>
      <c r="D27" s="12">
        <v>9.8000000000000004E-2</v>
      </c>
      <c r="J27" s="2" t="s">
        <v>268</v>
      </c>
      <c r="K27" s="12">
        <v>9.8000000000000004E-2</v>
      </c>
    </row>
  </sheetData>
  <mergeCells count="1">
    <mergeCell ref="A1:H1"/>
  </mergeCells>
  <phoneticPr fontId="19" type="noConversion"/>
  <hyperlinks>
    <hyperlink ref="H3" r:id="rId1" location="Dashboard!A1" xr:uid="{00000000-0004-0000-09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4" customWidth="1"/>
    <col min="2" max="4" width="24" customWidth="1"/>
    <col min="5" max="6" width="11" customWidth="1"/>
    <col min="7" max="7" width="8" customWidth="1"/>
    <col min="8" max="8" width="19" customWidth="1"/>
    <col min="9" max="9" width="8" customWidth="1"/>
    <col min="10" max="10" width="22" customWidth="1"/>
    <col min="11" max="11" width="24" customWidth="1"/>
  </cols>
  <sheetData>
    <row r="1" spans="1:11" ht="24" customHeight="1">
      <c r="A1" s="37" t="s">
        <v>90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36</v>
      </c>
      <c r="C3" s="1" t="s">
        <v>171</v>
      </c>
      <c r="D3" s="3" t="s">
        <v>92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0.19600000000000001</v>
      </c>
      <c r="E4" s="1" t="s">
        <v>51</v>
      </c>
      <c r="F4" s="12">
        <v>0.28399999999999997</v>
      </c>
    </row>
    <row r="7" spans="1:11" ht="26.4">
      <c r="A7" s="6" t="s">
        <v>209</v>
      </c>
      <c r="B7" s="6" t="s">
        <v>272</v>
      </c>
      <c r="C7" s="6" t="s">
        <v>273</v>
      </c>
      <c r="J7" s="7" t="s">
        <v>179</v>
      </c>
      <c r="K7" s="7" t="s">
        <v>180</v>
      </c>
    </row>
    <row r="8" spans="1:11" ht="26.4">
      <c r="A8" s="2" t="s">
        <v>238</v>
      </c>
      <c r="B8" s="12">
        <v>0.124</v>
      </c>
      <c r="C8" s="2" t="s">
        <v>274</v>
      </c>
      <c r="J8" s="2" t="s">
        <v>274</v>
      </c>
      <c r="K8" s="12">
        <v>0.124</v>
      </c>
    </row>
    <row r="9" spans="1:11" ht="26.4">
      <c r="A9" s="2" t="s">
        <v>239</v>
      </c>
      <c r="B9" s="12">
        <v>0.11799999999999999</v>
      </c>
      <c r="C9" s="3" t="s">
        <v>275</v>
      </c>
      <c r="J9" s="3" t="s">
        <v>275</v>
      </c>
      <c r="K9" s="12">
        <v>0.11799999999999999</v>
      </c>
    </row>
    <row r="10" spans="1:11" ht="26.4">
      <c r="A10" s="2" t="s">
        <v>224</v>
      </c>
      <c r="B10" s="12">
        <v>0.105</v>
      </c>
      <c r="C10" s="3" t="s">
        <v>276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9.7000000000000003E-2</v>
      </c>
      <c r="C11" s="3" t="s">
        <v>277</v>
      </c>
      <c r="J11" s="14" t="s">
        <v>189</v>
      </c>
      <c r="K11" s="15" t="s">
        <v>190</v>
      </c>
    </row>
    <row r="12" spans="1:11" ht="26.4">
      <c r="A12" s="2" t="s">
        <v>241</v>
      </c>
      <c r="B12" s="12">
        <v>8.5999999999999993E-2</v>
      </c>
      <c r="C12" s="2" t="s">
        <v>278</v>
      </c>
      <c r="J12" s="2" t="s">
        <v>278</v>
      </c>
      <c r="K12" s="12">
        <v>8.5999999999999993E-2</v>
      </c>
    </row>
    <row r="13" spans="1:11" ht="26.4">
      <c r="A13" s="2" t="s">
        <v>222</v>
      </c>
      <c r="B13" s="12">
        <v>7.1999999999999995E-2</v>
      </c>
      <c r="C13" s="3" t="s">
        <v>279</v>
      </c>
      <c r="J13" s="3" t="s">
        <v>279</v>
      </c>
      <c r="K13" s="12">
        <v>7.1999999999999995E-2</v>
      </c>
    </row>
    <row r="14" spans="1:11" ht="39.6">
      <c r="A14" s="2" t="s">
        <v>242</v>
      </c>
      <c r="B14" s="12">
        <v>6.5000000000000002E-2</v>
      </c>
      <c r="C14" s="3" t="s">
        <v>280</v>
      </c>
      <c r="J14" s="2" t="s">
        <v>243</v>
      </c>
      <c r="K14" s="12">
        <v>6.5000000000000002E-2</v>
      </c>
    </row>
    <row r="15" spans="1:11" ht="26.4">
      <c r="A15" s="2" t="s">
        <v>244</v>
      </c>
      <c r="B15" s="12">
        <v>5.8999999999999997E-2</v>
      </c>
      <c r="C15" s="3" t="s">
        <v>281</v>
      </c>
      <c r="J15" s="3" t="s">
        <v>281</v>
      </c>
      <c r="K15" s="12">
        <v>5.8999999999999997E-2</v>
      </c>
    </row>
    <row r="16" spans="1:11" ht="26.4">
      <c r="A16" s="2" t="s">
        <v>246</v>
      </c>
      <c r="B16" s="12">
        <v>4.8000000000000001E-2</v>
      </c>
      <c r="C16" s="3" t="s">
        <v>282</v>
      </c>
      <c r="J16" s="3" t="s">
        <v>282</v>
      </c>
      <c r="K16" s="12">
        <v>4.8000000000000001E-2</v>
      </c>
    </row>
    <row r="17" spans="1:11" ht="26.4">
      <c r="A17" s="2" t="s">
        <v>248</v>
      </c>
      <c r="B17" s="12">
        <v>3.9E-2</v>
      </c>
      <c r="C17" s="3" t="s">
        <v>283</v>
      </c>
      <c r="J17" s="3" t="s">
        <v>283</v>
      </c>
      <c r="K17" s="12">
        <v>3.9E-2</v>
      </c>
    </row>
    <row r="18" spans="1:11" ht="26.4">
      <c r="A18" s="2" t="s">
        <v>220</v>
      </c>
      <c r="B18" s="12">
        <v>4.2000000000000003E-2</v>
      </c>
      <c r="C18" s="3" t="s">
        <v>284</v>
      </c>
      <c r="J18" s="3" t="s">
        <v>284</v>
      </c>
      <c r="K18" s="12">
        <v>4.2000000000000003E-2</v>
      </c>
    </row>
    <row r="19" spans="1:11" ht="26.4">
      <c r="A19" s="2" t="s">
        <v>251</v>
      </c>
      <c r="B19" s="12">
        <v>5.0999999999999997E-2</v>
      </c>
      <c r="C19" s="3" t="s">
        <v>285</v>
      </c>
      <c r="J19" s="3" t="s">
        <v>285</v>
      </c>
      <c r="K19" s="12">
        <v>5.0999999999999997E-2</v>
      </c>
    </row>
    <row r="20" spans="1:11" ht="26.4">
      <c r="A20" s="2" t="s">
        <v>253</v>
      </c>
      <c r="B20" s="12">
        <v>7.2999999999999995E-2</v>
      </c>
      <c r="C20" s="3" t="s">
        <v>286</v>
      </c>
      <c r="J20" s="3" t="s">
        <v>286</v>
      </c>
      <c r="K20" s="12">
        <v>7.2999999999999995E-2</v>
      </c>
    </row>
    <row r="21" spans="1:11" ht="26.4">
      <c r="A21" s="2" t="s">
        <v>255</v>
      </c>
      <c r="B21" s="12">
        <v>9.8000000000000004E-2</v>
      </c>
      <c r="C21" s="3" t="s">
        <v>287</v>
      </c>
      <c r="J21" s="3" t="s">
        <v>287</v>
      </c>
      <c r="K21" s="12">
        <v>9.8000000000000004E-2</v>
      </c>
    </row>
    <row r="22" spans="1:11" ht="26.4">
      <c r="A22" s="2" t="s">
        <v>257</v>
      </c>
      <c r="B22" s="12">
        <v>0.125</v>
      </c>
      <c r="C22" s="3" t="s">
        <v>288</v>
      </c>
      <c r="J22" s="3" t="s">
        <v>288</v>
      </c>
      <c r="K22" s="12">
        <v>0.125</v>
      </c>
    </row>
    <row r="23" spans="1:11" ht="26.4">
      <c r="A23" s="2" t="s">
        <v>259</v>
      </c>
      <c r="B23" s="12">
        <v>0.14199999999999999</v>
      </c>
      <c r="C23" s="3" t="s">
        <v>289</v>
      </c>
      <c r="J23" s="3" t="s">
        <v>289</v>
      </c>
      <c r="K23" s="12">
        <v>0.14199999999999999</v>
      </c>
    </row>
    <row r="24" spans="1:11" ht="26.4">
      <c r="A24" s="2" t="s">
        <v>261</v>
      </c>
      <c r="B24" s="12">
        <v>0.17799999999999999</v>
      </c>
      <c r="C24" s="3" t="s">
        <v>290</v>
      </c>
      <c r="J24" s="3" t="s">
        <v>290</v>
      </c>
      <c r="K24" s="12">
        <v>0.17799999999999999</v>
      </c>
    </row>
    <row r="25" spans="1:11" ht="14.4">
      <c r="A25" s="2" t="s">
        <v>263</v>
      </c>
      <c r="B25" s="12">
        <v>0.215</v>
      </c>
      <c r="C25" s="3" t="s">
        <v>291</v>
      </c>
      <c r="J25" s="3" t="s">
        <v>291</v>
      </c>
      <c r="K25" s="12">
        <v>0.215</v>
      </c>
    </row>
    <row r="26" spans="1:11" ht="26.4">
      <c r="A26" s="2" t="s">
        <v>265</v>
      </c>
      <c r="B26" s="12">
        <v>0.28399999999999997</v>
      </c>
      <c r="C26" s="3" t="s">
        <v>292</v>
      </c>
      <c r="J26" s="2" t="s">
        <v>266</v>
      </c>
      <c r="K26" s="12">
        <v>0.28399999999999997</v>
      </c>
    </row>
    <row r="27" spans="1:11" ht="26.4">
      <c r="A27" s="2" t="s">
        <v>267</v>
      </c>
      <c r="B27" s="12">
        <v>0.19600000000000001</v>
      </c>
      <c r="C27" s="3" t="s">
        <v>293</v>
      </c>
      <c r="J27" s="3" t="s">
        <v>293</v>
      </c>
      <c r="K27" s="12">
        <v>0.19600000000000001</v>
      </c>
    </row>
  </sheetData>
  <mergeCells count="1">
    <mergeCell ref="A1:H1"/>
  </mergeCells>
  <phoneticPr fontId="19" type="noConversion"/>
  <hyperlinks>
    <hyperlink ref="H3" r:id="rId1" location="Dashboard!A1" xr:uid="{00000000-0004-0000-0A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4" customWidth="1"/>
    <col min="2" max="2" width="20" customWidth="1"/>
    <col min="3" max="3" width="16" customWidth="1"/>
    <col min="4" max="4" width="9" customWidth="1"/>
    <col min="5" max="5" width="14" customWidth="1"/>
    <col min="6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294</v>
      </c>
      <c r="B1" s="37"/>
      <c r="C1" s="37"/>
      <c r="D1" s="37"/>
      <c r="E1" s="37"/>
      <c r="F1" s="37"/>
      <c r="G1" s="37"/>
      <c r="H1" s="37"/>
    </row>
    <row r="3" spans="1:11" ht="14.4">
      <c r="A3" s="1" t="s">
        <v>64</v>
      </c>
      <c r="B3" s="2" t="s">
        <v>40</v>
      </c>
      <c r="C3" s="1" t="s">
        <v>171</v>
      </c>
      <c r="D3" s="2" t="s">
        <v>95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2.8899999999999999E-2</v>
      </c>
      <c r="E4" s="1" t="s">
        <v>51</v>
      </c>
      <c r="F4" s="12">
        <v>3.15E-2</v>
      </c>
    </row>
    <row r="7" spans="1:11" ht="26.4">
      <c r="A7" s="6" t="s">
        <v>209</v>
      </c>
      <c r="B7" s="6" t="s">
        <v>295</v>
      </c>
      <c r="C7" s="7" t="s">
        <v>296</v>
      </c>
      <c r="D7" s="7" t="s">
        <v>95</v>
      </c>
      <c r="E7" s="7" t="s">
        <v>297</v>
      </c>
      <c r="J7" s="7" t="s">
        <v>179</v>
      </c>
      <c r="K7" s="7" t="s">
        <v>180</v>
      </c>
    </row>
    <row r="8" spans="1:11" ht="14.4">
      <c r="A8" s="2" t="s">
        <v>238</v>
      </c>
      <c r="B8" s="5">
        <v>22.1</v>
      </c>
      <c r="C8" s="12">
        <v>4.2000000000000003E-2</v>
      </c>
      <c r="D8" s="12">
        <v>3.2000000000000002E-3</v>
      </c>
      <c r="E8" s="12">
        <v>8.5000000000000006E-2</v>
      </c>
      <c r="J8" s="2" t="s">
        <v>215</v>
      </c>
      <c r="K8" s="12">
        <v>3.2000000000000002E-3</v>
      </c>
    </row>
    <row r="9" spans="1:11" ht="14.4">
      <c r="A9" s="2" t="s">
        <v>239</v>
      </c>
      <c r="B9" s="5">
        <v>21.8</v>
      </c>
      <c r="C9" s="12">
        <v>4.3999999999999997E-2</v>
      </c>
      <c r="D9" s="12">
        <v>1.9E-3</v>
      </c>
      <c r="E9" s="12">
        <v>4.2000000000000003E-2</v>
      </c>
      <c r="J9" s="2" t="s">
        <v>219</v>
      </c>
      <c r="K9" s="12">
        <v>1.9E-3</v>
      </c>
    </row>
    <row r="10" spans="1:11" ht="26.4">
      <c r="A10" s="2" t="s">
        <v>224</v>
      </c>
      <c r="B10" s="5">
        <v>21.2</v>
      </c>
      <c r="C10" s="12">
        <v>4.2999999999999997E-2</v>
      </c>
      <c r="D10" s="12">
        <v>4.1999999999999997E-3</v>
      </c>
      <c r="E10" s="12">
        <v>0.121</v>
      </c>
      <c r="J10" s="14" t="s">
        <v>186</v>
      </c>
      <c r="K10" s="15" t="s">
        <v>187</v>
      </c>
    </row>
    <row r="11" spans="1:11" ht="26.4">
      <c r="A11" s="2" t="s">
        <v>240</v>
      </c>
      <c r="B11" s="5">
        <v>20.8</v>
      </c>
      <c r="C11" s="12">
        <v>4.1000000000000002E-2</v>
      </c>
      <c r="D11" s="12">
        <v>7.1000000000000004E-3</v>
      </c>
      <c r="E11" s="12">
        <v>0.185</v>
      </c>
      <c r="J11" s="14" t="s">
        <v>189</v>
      </c>
      <c r="K11" s="15" t="s">
        <v>190</v>
      </c>
    </row>
    <row r="12" spans="1:11" ht="14.4">
      <c r="A12" s="2" t="s">
        <v>241</v>
      </c>
      <c r="B12" s="5">
        <v>20.5</v>
      </c>
      <c r="C12" s="12">
        <v>3.9E-2</v>
      </c>
      <c r="D12" s="12">
        <v>9.7999999999999997E-3</v>
      </c>
      <c r="E12" s="12">
        <v>0.24199999999999999</v>
      </c>
      <c r="J12" s="2" t="s">
        <v>226</v>
      </c>
      <c r="K12" s="12">
        <v>9.7999999999999997E-3</v>
      </c>
    </row>
    <row r="13" spans="1:11" ht="14.4">
      <c r="A13" s="2" t="s">
        <v>222</v>
      </c>
      <c r="B13" s="5">
        <v>19.8</v>
      </c>
      <c r="C13" s="12">
        <v>0.04</v>
      </c>
      <c r="D13" s="12">
        <v>1.0500000000000001E-2</v>
      </c>
      <c r="E13" s="12">
        <v>0.26800000000000002</v>
      </c>
      <c r="J13" s="2" t="s">
        <v>229</v>
      </c>
      <c r="K13" s="12">
        <v>1.0500000000000001E-2</v>
      </c>
    </row>
    <row r="14" spans="1:11" ht="14.4">
      <c r="A14" s="2" t="s">
        <v>242</v>
      </c>
      <c r="B14" s="5">
        <v>19.2</v>
      </c>
      <c r="C14" s="12">
        <v>4.4999999999999998E-2</v>
      </c>
      <c r="D14" s="12">
        <v>7.1000000000000004E-3</v>
      </c>
      <c r="E14" s="12">
        <v>0.184</v>
      </c>
      <c r="J14" s="2" t="s">
        <v>243</v>
      </c>
      <c r="K14" s="12">
        <v>7.1000000000000004E-3</v>
      </c>
    </row>
    <row r="15" spans="1:11" ht="14.4">
      <c r="A15" s="2" t="s">
        <v>244</v>
      </c>
      <c r="B15" s="5">
        <v>18.899999999999999</v>
      </c>
      <c r="C15" s="12">
        <v>4.2999999999999997E-2</v>
      </c>
      <c r="D15" s="12">
        <v>9.9000000000000008E-3</v>
      </c>
      <c r="E15" s="12">
        <v>0.245</v>
      </c>
      <c r="J15" s="2" t="s">
        <v>245</v>
      </c>
      <c r="K15" s="12">
        <v>9.9000000000000008E-3</v>
      </c>
    </row>
    <row r="16" spans="1:11" ht="14.4">
      <c r="A16" s="2" t="s">
        <v>246</v>
      </c>
      <c r="B16" s="5">
        <v>18.100000000000001</v>
      </c>
      <c r="C16" s="12">
        <v>4.1000000000000002E-2</v>
      </c>
      <c r="D16" s="12">
        <v>1.4200000000000001E-2</v>
      </c>
      <c r="E16" s="12">
        <v>0.35199999999999998</v>
      </c>
      <c r="J16" s="2" t="s">
        <v>247</v>
      </c>
      <c r="K16" s="12">
        <v>1.4200000000000001E-2</v>
      </c>
    </row>
    <row r="17" spans="1:11" ht="14.4">
      <c r="A17" s="2" t="s">
        <v>248</v>
      </c>
      <c r="B17" s="5">
        <v>17.5</v>
      </c>
      <c r="C17" s="12">
        <v>4.5999999999999999E-2</v>
      </c>
      <c r="D17" s="12">
        <v>1.11E-2</v>
      </c>
      <c r="E17" s="12">
        <v>0.28599999999999998</v>
      </c>
      <c r="J17" s="2" t="s">
        <v>249</v>
      </c>
      <c r="K17" s="12">
        <v>1.11E-2</v>
      </c>
    </row>
    <row r="18" spans="1:11" ht="14.4">
      <c r="A18" s="2" t="s">
        <v>220</v>
      </c>
      <c r="B18" s="5">
        <v>18.2</v>
      </c>
      <c r="C18" s="12">
        <v>3.7999999999999999E-2</v>
      </c>
      <c r="D18" s="12">
        <v>1.6899999999999998E-2</v>
      </c>
      <c r="E18" s="12">
        <v>0.42099999999999999</v>
      </c>
      <c r="J18" s="2" t="s">
        <v>250</v>
      </c>
      <c r="K18" s="12">
        <v>1.6899999999999998E-2</v>
      </c>
    </row>
    <row r="19" spans="1:11" ht="14.4">
      <c r="A19" s="2" t="s">
        <v>251</v>
      </c>
      <c r="B19" s="5">
        <v>17.2</v>
      </c>
      <c r="C19" s="12">
        <v>3.5000000000000003E-2</v>
      </c>
      <c r="D19" s="12">
        <v>2.3099999999999999E-2</v>
      </c>
      <c r="E19" s="12">
        <v>0.58399999999999996</v>
      </c>
      <c r="J19" s="2" t="s">
        <v>252</v>
      </c>
      <c r="K19" s="12">
        <v>2.3099999999999999E-2</v>
      </c>
    </row>
    <row r="20" spans="1:11" ht="14.4">
      <c r="A20" s="2" t="s">
        <v>253</v>
      </c>
      <c r="B20" s="5">
        <v>16.5</v>
      </c>
      <c r="C20" s="12">
        <v>3.9E-2</v>
      </c>
      <c r="D20" s="12">
        <v>2.1600000000000001E-2</v>
      </c>
      <c r="E20" s="12">
        <v>0.54200000000000004</v>
      </c>
      <c r="J20" s="2" t="s">
        <v>254</v>
      </c>
      <c r="K20" s="12">
        <v>2.1600000000000001E-2</v>
      </c>
    </row>
    <row r="21" spans="1:11" ht="14.4">
      <c r="A21" s="2" t="s">
        <v>255</v>
      </c>
      <c r="B21" s="5">
        <v>15.2</v>
      </c>
      <c r="C21" s="12">
        <v>3.7999999999999999E-2</v>
      </c>
      <c r="D21" s="12">
        <v>2.7799999999999998E-2</v>
      </c>
      <c r="E21" s="12">
        <v>0.68500000000000005</v>
      </c>
      <c r="J21" s="2" t="s">
        <v>256</v>
      </c>
      <c r="K21" s="12">
        <v>2.7799999999999998E-2</v>
      </c>
    </row>
    <row r="22" spans="1:11" ht="14.4">
      <c r="A22" s="2" t="s">
        <v>257</v>
      </c>
      <c r="B22" s="5">
        <v>15.8</v>
      </c>
      <c r="C22" s="12">
        <v>0.03</v>
      </c>
      <c r="D22" s="12">
        <v>3.3300000000000003E-2</v>
      </c>
      <c r="E22" s="12">
        <v>0.82399999999999995</v>
      </c>
      <c r="J22" s="2" t="s">
        <v>258</v>
      </c>
      <c r="K22" s="12">
        <v>3.3300000000000003E-2</v>
      </c>
    </row>
    <row r="23" spans="1:11" ht="14.4">
      <c r="A23" s="2" t="s">
        <v>259</v>
      </c>
      <c r="B23" s="5">
        <v>18.5</v>
      </c>
      <c r="C23" s="12">
        <v>2.3E-2</v>
      </c>
      <c r="D23" s="12">
        <v>3.1099999999999999E-2</v>
      </c>
      <c r="E23" s="12">
        <v>0.78600000000000003</v>
      </c>
      <c r="J23" s="2" t="s">
        <v>260</v>
      </c>
      <c r="K23" s="12">
        <v>3.1099999999999999E-2</v>
      </c>
    </row>
    <row r="24" spans="1:11" ht="14.4">
      <c r="A24" s="2" t="s">
        <v>261</v>
      </c>
      <c r="B24" s="5">
        <v>21.2</v>
      </c>
      <c r="C24" s="12">
        <v>1.4999999999999999E-2</v>
      </c>
      <c r="D24" s="12">
        <v>3.2199999999999999E-2</v>
      </c>
      <c r="E24" s="12">
        <v>0.81200000000000006</v>
      </c>
      <c r="J24" s="2" t="s">
        <v>262</v>
      </c>
      <c r="K24" s="12">
        <v>3.2199999999999999E-2</v>
      </c>
    </row>
    <row r="25" spans="1:11" ht="14.4">
      <c r="A25" s="2" t="s">
        <v>263</v>
      </c>
      <c r="B25" s="5">
        <v>20.399999999999999</v>
      </c>
      <c r="C25" s="12">
        <v>1.4999999999999999E-2</v>
      </c>
      <c r="D25" s="12">
        <v>3.4000000000000002E-2</v>
      </c>
      <c r="E25" s="12">
        <v>0.84599999999999997</v>
      </c>
      <c r="J25" s="2" t="s">
        <v>264</v>
      </c>
      <c r="K25" s="12">
        <v>3.4000000000000002E-2</v>
      </c>
    </row>
    <row r="26" spans="1:11" ht="14.4">
      <c r="A26" s="2" t="s">
        <v>265</v>
      </c>
      <c r="B26" s="5">
        <v>21.5</v>
      </c>
      <c r="C26" s="12">
        <v>1.4999999999999999E-2</v>
      </c>
      <c r="D26" s="12">
        <v>3.15E-2</v>
      </c>
      <c r="E26" s="12">
        <v>0.79800000000000004</v>
      </c>
      <c r="J26" s="2" t="s">
        <v>266</v>
      </c>
      <c r="K26" s="12">
        <v>3.15E-2</v>
      </c>
    </row>
    <row r="27" spans="1:11" ht="14.4">
      <c r="A27" s="2" t="s">
        <v>267</v>
      </c>
      <c r="B27" s="5">
        <v>21.8</v>
      </c>
      <c r="C27" s="12">
        <v>1.7000000000000001E-2</v>
      </c>
      <c r="D27" s="12">
        <v>2.8899999999999999E-2</v>
      </c>
      <c r="E27" s="12">
        <v>0.72399999999999998</v>
      </c>
      <c r="J27" s="2" t="s">
        <v>268</v>
      </c>
      <c r="K27" s="12">
        <v>2.8899999999999999E-2</v>
      </c>
    </row>
  </sheetData>
  <mergeCells count="1">
    <mergeCell ref="A1:H1"/>
  </mergeCells>
  <phoneticPr fontId="19" type="noConversion"/>
  <hyperlinks>
    <hyperlink ref="H3" r:id="rId1" location="Dashboard!A1" xr:uid="{00000000-0004-0000-0B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2" customWidth="1"/>
    <col min="2" max="2" width="21" customWidth="1"/>
    <col min="3" max="3" width="24" customWidth="1"/>
    <col min="4" max="4" width="21" customWidth="1"/>
    <col min="5" max="6" width="11" customWidth="1"/>
    <col min="7" max="7" width="8" customWidth="1"/>
    <col min="8" max="8" width="19" customWidth="1"/>
    <col min="9" max="9" width="8" customWidth="1"/>
    <col min="10" max="10" width="21" customWidth="1"/>
    <col min="11" max="11" width="24" customWidth="1"/>
  </cols>
  <sheetData>
    <row r="1" spans="1:11" ht="24" customHeight="1">
      <c r="A1" s="37" t="s">
        <v>298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98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0.55000000000000004</v>
      </c>
      <c r="E4" s="1" t="s">
        <v>51</v>
      </c>
      <c r="F4" s="12">
        <v>0.48</v>
      </c>
    </row>
    <row r="7" spans="1:11" ht="26.4">
      <c r="A7" s="6" t="s">
        <v>209</v>
      </c>
      <c r="B7" s="6" t="s">
        <v>299</v>
      </c>
      <c r="C7" s="6" t="s">
        <v>300</v>
      </c>
      <c r="J7" s="7" t="s">
        <v>179</v>
      </c>
      <c r="K7" s="7" t="s">
        <v>180</v>
      </c>
    </row>
    <row r="8" spans="1:11" ht="26.4">
      <c r="A8" s="2" t="s">
        <v>238</v>
      </c>
      <c r="B8" s="12">
        <v>0.08</v>
      </c>
      <c r="C8" s="3" t="s">
        <v>301</v>
      </c>
      <c r="J8" s="3" t="s">
        <v>301</v>
      </c>
      <c r="K8" s="12">
        <v>0.08</v>
      </c>
    </row>
    <row r="9" spans="1:11" ht="26.4">
      <c r="A9" s="2" t="s">
        <v>239</v>
      </c>
      <c r="B9" s="12">
        <v>-0.05</v>
      </c>
      <c r="C9" s="3" t="s">
        <v>302</v>
      </c>
      <c r="J9" s="3" t="s">
        <v>302</v>
      </c>
      <c r="K9" s="12">
        <v>-0.05</v>
      </c>
    </row>
    <row r="10" spans="1:11" ht="26.4">
      <c r="A10" s="2" t="s">
        <v>224</v>
      </c>
      <c r="B10" s="12">
        <v>0.12</v>
      </c>
      <c r="C10" s="3" t="s">
        <v>303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0.15</v>
      </c>
      <c r="C11" s="3" t="s">
        <v>304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0.02</v>
      </c>
      <c r="C12" s="3" t="s">
        <v>305</v>
      </c>
      <c r="J12" s="3" t="s">
        <v>305</v>
      </c>
      <c r="K12" s="12">
        <v>0.02</v>
      </c>
    </row>
    <row r="13" spans="1:11" ht="26.4">
      <c r="A13" s="2" t="s">
        <v>222</v>
      </c>
      <c r="B13" s="12">
        <v>-0.12</v>
      </c>
      <c r="C13" s="3" t="s">
        <v>306</v>
      </c>
      <c r="J13" s="3" t="s">
        <v>306</v>
      </c>
      <c r="K13" s="12">
        <v>-0.12</v>
      </c>
    </row>
    <row r="14" spans="1:11" ht="26.4">
      <c r="A14" s="2" t="s">
        <v>242</v>
      </c>
      <c r="B14" s="12">
        <v>0.05</v>
      </c>
      <c r="C14" s="3" t="s">
        <v>307</v>
      </c>
      <c r="J14" s="3" t="s">
        <v>307</v>
      </c>
      <c r="K14" s="12">
        <v>0.05</v>
      </c>
    </row>
    <row r="15" spans="1:11" ht="26.4">
      <c r="A15" s="2" t="s">
        <v>244</v>
      </c>
      <c r="B15" s="12">
        <v>-0.08</v>
      </c>
      <c r="C15" s="3" t="s">
        <v>308</v>
      </c>
      <c r="J15" s="3" t="s">
        <v>308</v>
      </c>
      <c r="K15" s="12">
        <v>-0.08</v>
      </c>
    </row>
    <row r="16" spans="1:11" ht="26.4">
      <c r="A16" s="2" t="s">
        <v>246</v>
      </c>
      <c r="B16" s="12">
        <v>-0.18</v>
      </c>
      <c r="C16" s="3" t="s">
        <v>309</v>
      </c>
      <c r="J16" s="3" t="s">
        <v>309</v>
      </c>
      <c r="K16" s="12">
        <v>-0.18</v>
      </c>
    </row>
    <row r="17" spans="1:11" ht="26.4">
      <c r="A17" s="2" t="s">
        <v>248</v>
      </c>
      <c r="B17" s="12">
        <v>0.04</v>
      </c>
      <c r="C17" s="3" t="s">
        <v>310</v>
      </c>
      <c r="J17" s="3" t="s">
        <v>310</v>
      </c>
      <c r="K17" s="12">
        <v>0.04</v>
      </c>
    </row>
    <row r="18" spans="1:11" ht="26.4">
      <c r="A18" s="2" t="s">
        <v>220</v>
      </c>
      <c r="B18" s="12">
        <v>-0.02</v>
      </c>
      <c r="C18" s="3" t="s">
        <v>311</v>
      </c>
      <c r="J18" s="3" t="s">
        <v>311</v>
      </c>
      <c r="K18" s="12">
        <v>-0.02</v>
      </c>
    </row>
    <row r="19" spans="1:11" ht="26.4">
      <c r="A19" s="2" t="s">
        <v>251</v>
      </c>
      <c r="B19" s="12">
        <v>-0.25</v>
      </c>
      <c r="C19" s="3" t="s">
        <v>312</v>
      </c>
      <c r="J19" s="3" t="s">
        <v>312</v>
      </c>
      <c r="K19" s="12">
        <v>-0.25</v>
      </c>
    </row>
    <row r="20" spans="1:11" ht="26.4">
      <c r="A20" s="2" t="s">
        <v>253</v>
      </c>
      <c r="B20" s="12">
        <v>-0.35</v>
      </c>
      <c r="C20" s="3" t="s">
        <v>313</v>
      </c>
      <c r="J20" s="3" t="s">
        <v>313</v>
      </c>
      <c r="K20" s="12">
        <v>-0.35</v>
      </c>
    </row>
    <row r="21" spans="1:11" ht="26.4">
      <c r="A21" s="2" t="s">
        <v>255</v>
      </c>
      <c r="B21" s="12">
        <v>-0.28000000000000003</v>
      </c>
      <c r="C21" s="3" t="s">
        <v>314</v>
      </c>
      <c r="J21" s="3" t="s">
        <v>314</v>
      </c>
      <c r="K21" s="12">
        <v>-0.28000000000000003</v>
      </c>
    </row>
    <row r="22" spans="1:11" ht="26.4">
      <c r="A22" s="2" t="s">
        <v>257</v>
      </c>
      <c r="B22" s="12">
        <v>-0.15</v>
      </c>
      <c r="C22" s="3" t="s">
        <v>315</v>
      </c>
      <c r="J22" s="3" t="s">
        <v>315</v>
      </c>
      <c r="K22" s="12">
        <v>-0.15</v>
      </c>
    </row>
    <row r="23" spans="1:11" ht="26.4">
      <c r="A23" s="2" t="s">
        <v>259</v>
      </c>
      <c r="B23" s="12">
        <v>0.1</v>
      </c>
      <c r="C23" s="3" t="s">
        <v>316</v>
      </c>
      <c r="J23" s="3" t="s">
        <v>316</v>
      </c>
      <c r="K23" s="12">
        <v>0.1</v>
      </c>
    </row>
    <row r="24" spans="1:11" ht="26.4">
      <c r="A24" s="2" t="s">
        <v>261</v>
      </c>
      <c r="B24" s="12">
        <v>0.22</v>
      </c>
      <c r="C24" s="3" t="s">
        <v>317</v>
      </c>
      <c r="J24" s="3" t="s">
        <v>317</v>
      </c>
      <c r="K24" s="12">
        <v>0.22</v>
      </c>
    </row>
    <row r="25" spans="1:11" ht="26.4">
      <c r="A25" s="2" t="s">
        <v>263</v>
      </c>
      <c r="B25" s="12">
        <v>0.35</v>
      </c>
      <c r="C25" s="3" t="s">
        <v>318</v>
      </c>
      <c r="J25" s="3" t="s">
        <v>318</v>
      </c>
      <c r="K25" s="12">
        <v>0.35</v>
      </c>
    </row>
    <row r="26" spans="1:11" ht="26.4">
      <c r="A26" s="2" t="s">
        <v>265</v>
      </c>
      <c r="B26" s="12">
        <v>0.48</v>
      </c>
      <c r="C26" s="3" t="s">
        <v>319</v>
      </c>
      <c r="J26" s="3" t="s">
        <v>319</v>
      </c>
      <c r="K26" s="12">
        <v>0.48</v>
      </c>
    </row>
    <row r="27" spans="1:11" ht="26.4">
      <c r="A27" s="2" t="s">
        <v>267</v>
      </c>
      <c r="B27" s="12">
        <v>0.55000000000000004</v>
      </c>
      <c r="C27" s="3" t="s">
        <v>320</v>
      </c>
      <c r="J27" s="3" t="s">
        <v>320</v>
      </c>
      <c r="K27" s="12">
        <v>0.55000000000000004</v>
      </c>
    </row>
  </sheetData>
  <mergeCells count="1">
    <mergeCell ref="A1:H1"/>
  </mergeCells>
  <phoneticPr fontId="19" type="noConversion"/>
  <hyperlinks>
    <hyperlink ref="H3" r:id="rId1" location="Dashboard!A1" xr:uid="{00000000-0004-0000-0C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4" customWidth="1"/>
    <col min="2" max="2" width="20" customWidth="1"/>
    <col min="3" max="3" width="22" customWidth="1"/>
    <col min="4" max="4" width="20" customWidth="1"/>
    <col min="5" max="6" width="11" customWidth="1"/>
    <col min="7" max="7" width="8" customWidth="1"/>
    <col min="8" max="8" width="19" customWidth="1"/>
    <col min="9" max="9" width="8" customWidth="1"/>
    <col min="10" max="10" width="22" customWidth="1"/>
    <col min="11" max="11" width="24" customWidth="1"/>
  </cols>
  <sheetData>
    <row r="1" spans="1:11" ht="24" customHeight="1">
      <c r="A1" s="37" t="s">
        <v>321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102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40</v>
      </c>
      <c r="E4" s="1" t="s">
        <v>51</v>
      </c>
      <c r="F4" s="5">
        <v>20</v>
      </c>
    </row>
    <row r="7" spans="1:11" ht="26.4">
      <c r="A7" s="6" t="s">
        <v>209</v>
      </c>
      <c r="B7" s="6" t="s">
        <v>322</v>
      </c>
      <c r="C7" s="6" t="s">
        <v>323</v>
      </c>
      <c r="J7" s="7" t="s">
        <v>179</v>
      </c>
      <c r="K7" s="7" t="s">
        <v>180</v>
      </c>
    </row>
    <row r="8" spans="1:11" ht="26.4">
      <c r="A8" s="2" t="s">
        <v>238</v>
      </c>
      <c r="B8" s="8">
        <v>12</v>
      </c>
      <c r="C8" s="3" t="s">
        <v>324</v>
      </c>
      <c r="J8" s="3" t="s">
        <v>324</v>
      </c>
      <c r="K8" s="5">
        <v>12</v>
      </c>
    </row>
    <row r="9" spans="1:11" ht="26.4">
      <c r="A9" s="2" t="s">
        <v>239</v>
      </c>
      <c r="B9" s="8">
        <v>5</v>
      </c>
      <c r="C9" s="3" t="s">
        <v>325</v>
      </c>
      <c r="J9" s="3" t="s">
        <v>325</v>
      </c>
      <c r="K9" s="5">
        <v>5</v>
      </c>
    </row>
    <row r="10" spans="1:11" ht="26.4">
      <c r="A10" s="2" t="s">
        <v>224</v>
      </c>
      <c r="B10" s="8">
        <v>10</v>
      </c>
      <c r="C10" s="3" t="s">
        <v>326</v>
      </c>
      <c r="J10" s="14" t="s">
        <v>186</v>
      </c>
      <c r="K10" s="10" t="s">
        <v>187</v>
      </c>
    </row>
    <row r="11" spans="1:11" ht="26.4">
      <c r="A11" s="2" t="s">
        <v>240</v>
      </c>
      <c r="B11" s="8">
        <v>20</v>
      </c>
      <c r="C11" s="3" t="s">
        <v>327</v>
      </c>
      <c r="J11" s="14" t="s">
        <v>189</v>
      </c>
      <c r="K11" s="10" t="s">
        <v>190</v>
      </c>
    </row>
    <row r="12" spans="1:11" ht="26.4">
      <c r="A12" s="2" t="s">
        <v>241</v>
      </c>
      <c r="B12" s="8">
        <v>15</v>
      </c>
      <c r="C12" s="3" t="s">
        <v>328</v>
      </c>
      <c r="J12" s="3" t="s">
        <v>328</v>
      </c>
      <c r="K12" s="5">
        <v>15</v>
      </c>
    </row>
    <row r="13" spans="1:11" ht="26.4">
      <c r="A13" s="2" t="s">
        <v>222</v>
      </c>
      <c r="B13" s="8">
        <v>-15</v>
      </c>
      <c r="C13" s="3" t="s">
        <v>329</v>
      </c>
      <c r="J13" s="3" t="s">
        <v>329</v>
      </c>
      <c r="K13" s="5">
        <v>-15</v>
      </c>
    </row>
    <row r="14" spans="1:11" ht="26.4">
      <c r="A14" s="2" t="s">
        <v>242</v>
      </c>
      <c r="B14" s="8">
        <v>-20</v>
      </c>
      <c r="C14" s="3" t="s">
        <v>330</v>
      </c>
      <c r="J14" s="3" t="s">
        <v>330</v>
      </c>
      <c r="K14" s="5">
        <v>-20</v>
      </c>
    </row>
    <row r="15" spans="1:11" ht="26.4">
      <c r="A15" s="2" t="s">
        <v>244</v>
      </c>
      <c r="B15" s="8">
        <v>25</v>
      </c>
      <c r="C15" s="3" t="s">
        <v>331</v>
      </c>
      <c r="J15" s="3" t="s">
        <v>331</v>
      </c>
      <c r="K15" s="5">
        <v>25</v>
      </c>
    </row>
    <row r="16" spans="1:11" ht="26.4">
      <c r="A16" s="2" t="s">
        <v>246</v>
      </c>
      <c r="B16" s="8">
        <v>10</v>
      </c>
      <c r="C16" s="3" t="s">
        <v>332</v>
      </c>
      <c r="J16" s="3" t="s">
        <v>332</v>
      </c>
      <c r="K16" s="5">
        <v>10</v>
      </c>
    </row>
    <row r="17" spans="1:11" ht="26.4">
      <c r="A17" s="2" t="s">
        <v>248</v>
      </c>
      <c r="B17" s="8">
        <v>60</v>
      </c>
      <c r="C17" s="3" t="s">
        <v>333</v>
      </c>
      <c r="J17" s="3" t="s">
        <v>333</v>
      </c>
      <c r="K17" s="5">
        <v>60</v>
      </c>
    </row>
    <row r="18" spans="1:11" ht="26.4">
      <c r="A18" s="2" t="s">
        <v>220</v>
      </c>
      <c r="B18" s="8">
        <v>30</v>
      </c>
      <c r="C18" s="3" t="s">
        <v>334</v>
      </c>
      <c r="J18" s="3" t="s">
        <v>334</v>
      </c>
      <c r="K18" s="5">
        <v>30</v>
      </c>
    </row>
    <row r="19" spans="1:11" ht="26.4">
      <c r="A19" s="2" t="s">
        <v>251</v>
      </c>
      <c r="B19" s="8">
        <v>40</v>
      </c>
      <c r="C19" s="3" t="s">
        <v>335</v>
      </c>
      <c r="J19" s="3" t="s">
        <v>335</v>
      </c>
      <c r="K19" s="5">
        <v>40</v>
      </c>
    </row>
    <row r="20" spans="1:11" ht="26.4">
      <c r="A20" s="2" t="s">
        <v>253</v>
      </c>
      <c r="B20" s="8">
        <v>-10</v>
      </c>
      <c r="C20" s="3" t="s">
        <v>336</v>
      </c>
      <c r="J20" s="3" t="s">
        <v>336</v>
      </c>
      <c r="K20" s="5">
        <v>-10</v>
      </c>
    </row>
    <row r="21" spans="1:11" ht="26.4">
      <c r="A21" s="2" t="s">
        <v>255</v>
      </c>
      <c r="B21" s="8">
        <v>20</v>
      </c>
      <c r="C21" s="3" t="s">
        <v>337</v>
      </c>
      <c r="J21" s="3" t="s">
        <v>337</v>
      </c>
      <c r="K21" s="5">
        <v>20</v>
      </c>
    </row>
    <row r="22" spans="1:11" ht="26.4">
      <c r="A22" s="2" t="s">
        <v>257</v>
      </c>
      <c r="B22" s="8">
        <v>-40</v>
      </c>
      <c r="C22" s="3" t="s">
        <v>338</v>
      </c>
      <c r="J22" s="3" t="s">
        <v>338</v>
      </c>
      <c r="K22" s="5">
        <v>-40</v>
      </c>
    </row>
    <row r="23" spans="1:11" ht="26.4">
      <c r="A23" s="2" t="s">
        <v>259</v>
      </c>
      <c r="B23" s="8">
        <v>10</v>
      </c>
      <c r="C23" s="3" t="s">
        <v>339</v>
      </c>
      <c r="J23" s="3" t="s">
        <v>339</v>
      </c>
      <c r="K23" s="5">
        <v>10</v>
      </c>
    </row>
    <row r="24" spans="1:11" ht="26.4">
      <c r="A24" s="2" t="s">
        <v>261</v>
      </c>
      <c r="B24" s="8">
        <v>30</v>
      </c>
      <c r="C24" s="3" t="s">
        <v>340</v>
      </c>
      <c r="J24" s="3" t="s">
        <v>340</v>
      </c>
      <c r="K24" s="5">
        <v>30</v>
      </c>
    </row>
    <row r="25" spans="1:11" ht="26.4">
      <c r="A25" s="2" t="s">
        <v>263</v>
      </c>
      <c r="B25" s="8">
        <v>-50</v>
      </c>
      <c r="C25" s="3" t="s">
        <v>341</v>
      </c>
      <c r="J25" s="3" t="s">
        <v>341</v>
      </c>
      <c r="K25" s="5">
        <v>-50</v>
      </c>
    </row>
    <row r="26" spans="1:11" ht="26.4">
      <c r="A26" s="2" t="s">
        <v>265</v>
      </c>
      <c r="B26" s="8">
        <v>20</v>
      </c>
      <c r="C26" s="3" t="s">
        <v>342</v>
      </c>
      <c r="J26" s="3" t="s">
        <v>342</v>
      </c>
      <c r="K26" s="5">
        <v>20</v>
      </c>
    </row>
    <row r="27" spans="1:11" ht="26.4">
      <c r="A27" s="2" t="s">
        <v>267</v>
      </c>
      <c r="B27" s="8">
        <v>40</v>
      </c>
      <c r="C27" s="3" t="s">
        <v>343</v>
      </c>
      <c r="J27" s="3" t="s">
        <v>343</v>
      </c>
      <c r="K27" s="5">
        <v>40</v>
      </c>
    </row>
  </sheetData>
  <mergeCells count="1">
    <mergeCell ref="A1:H1"/>
  </mergeCells>
  <phoneticPr fontId="19" type="noConversion"/>
  <hyperlinks>
    <hyperlink ref="H3" r:id="rId1" location="Dashboard!A1" xr:uid="{00000000-0004-0000-0D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4" customWidth="1"/>
    <col min="2" max="4" width="24" customWidth="1"/>
    <col min="5" max="6" width="11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7" t="s">
        <v>104</v>
      </c>
      <c r="B1" s="37"/>
      <c r="C1" s="37"/>
      <c r="D1" s="37"/>
      <c r="E1" s="37"/>
      <c r="F1" s="37"/>
      <c r="G1" s="37"/>
      <c r="H1" s="37"/>
    </row>
    <row r="3" spans="1:11" ht="14.4">
      <c r="A3" s="1" t="s">
        <v>64</v>
      </c>
      <c r="B3" s="2" t="s">
        <v>41</v>
      </c>
      <c r="C3" s="1" t="s">
        <v>171</v>
      </c>
      <c r="D3" s="3" t="s">
        <v>106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50.2</v>
      </c>
      <c r="E4" s="1" t="s">
        <v>51</v>
      </c>
      <c r="F4" s="5">
        <v>55.6</v>
      </c>
    </row>
    <row r="7" spans="1:11" ht="26.4">
      <c r="A7" s="6" t="s">
        <v>209</v>
      </c>
      <c r="B7" s="6" t="s">
        <v>344</v>
      </c>
      <c r="C7" s="6" t="s">
        <v>345</v>
      </c>
      <c r="D7" s="6" t="s">
        <v>346</v>
      </c>
      <c r="J7" s="7" t="s">
        <v>179</v>
      </c>
      <c r="K7" s="7" t="s">
        <v>180</v>
      </c>
    </row>
    <row r="8" spans="1:11" ht="26.4">
      <c r="A8" s="2" t="s">
        <v>238</v>
      </c>
      <c r="B8" s="5">
        <v>42.5</v>
      </c>
      <c r="C8" s="3" t="s">
        <v>347</v>
      </c>
      <c r="D8" s="2" t="s">
        <v>348</v>
      </c>
      <c r="J8" s="2" t="s">
        <v>348</v>
      </c>
      <c r="K8" s="5">
        <v>42.5</v>
      </c>
    </row>
    <row r="9" spans="1:11" ht="26.4">
      <c r="A9" s="2" t="s">
        <v>239</v>
      </c>
      <c r="B9" s="5">
        <v>38.200000000000003</v>
      </c>
      <c r="C9" s="3" t="s">
        <v>349</v>
      </c>
      <c r="D9" s="2" t="s">
        <v>350</v>
      </c>
      <c r="J9" s="2" t="s">
        <v>350</v>
      </c>
      <c r="K9" s="5">
        <v>38.200000000000003</v>
      </c>
    </row>
    <row r="10" spans="1:11" ht="26.4">
      <c r="A10" s="2" t="s">
        <v>224</v>
      </c>
      <c r="B10" s="5">
        <v>45</v>
      </c>
      <c r="C10" s="3" t="s">
        <v>351</v>
      </c>
      <c r="D10" s="2" t="s">
        <v>352</v>
      </c>
      <c r="J10" s="14" t="s">
        <v>186</v>
      </c>
      <c r="K10" s="10" t="s">
        <v>187</v>
      </c>
    </row>
    <row r="11" spans="1:11" ht="26.4">
      <c r="A11" s="2" t="s">
        <v>240</v>
      </c>
      <c r="B11" s="5">
        <v>48.8</v>
      </c>
      <c r="C11" s="3" t="s">
        <v>353</v>
      </c>
      <c r="D11" s="2" t="s">
        <v>348</v>
      </c>
      <c r="J11" s="14" t="s">
        <v>189</v>
      </c>
      <c r="K11" s="10" t="s">
        <v>190</v>
      </c>
    </row>
    <row r="12" spans="1:11" ht="26.4">
      <c r="A12" s="2" t="s">
        <v>241</v>
      </c>
      <c r="B12" s="5">
        <v>35.5</v>
      </c>
      <c r="C12" s="3" t="s">
        <v>354</v>
      </c>
      <c r="D12" s="2" t="s">
        <v>350</v>
      </c>
      <c r="J12" s="3" t="s">
        <v>355</v>
      </c>
      <c r="K12" s="5">
        <v>35.5</v>
      </c>
    </row>
    <row r="13" spans="1:11" ht="26.4">
      <c r="A13" s="2" t="s">
        <v>222</v>
      </c>
      <c r="B13" s="5">
        <v>28</v>
      </c>
      <c r="C13" s="3" t="s">
        <v>356</v>
      </c>
      <c r="D13" s="2" t="s">
        <v>348</v>
      </c>
      <c r="J13" s="3" t="s">
        <v>357</v>
      </c>
      <c r="K13" s="5">
        <v>28</v>
      </c>
    </row>
    <row r="14" spans="1:11" ht="26.4">
      <c r="A14" s="2" t="s">
        <v>242</v>
      </c>
      <c r="B14" s="5">
        <v>31.2</v>
      </c>
      <c r="C14" s="3" t="s">
        <v>358</v>
      </c>
      <c r="D14" s="2" t="s">
        <v>352</v>
      </c>
      <c r="J14" s="2" t="s">
        <v>352</v>
      </c>
      <c r="K14" s="5">
        <v>31.2</v>
      </c>
    </row>
    <row r="15" spans="1:11" ht="26.4">
      <c r="A15" s="2" t="s">
        <v>244</v>
      </c>
      <c r="B15" s="5">
        <v>39.5</v>
      </c>
      <c r="C15" s="3" t="s">
        <v>359</v>
      </c>
      <c r="D15" s="2" t="s">
        <v>350</v>
      </c>
      <c r="J15" s="2" t="s">
        <v>350</v>
      </c>
      <c r="K15" s="5">
        <v>39.5</v>
      </c>
    </row>
    <row r="16" spans="1:11" ht="39.6">
      <c r="A16" s="2" t="s">
        <v>246</v>
      </c>
      <c r="B16" s="5">
        <v>22.4</v>
      </c>
      <c r="C16" s="3" t="s">
        <v>360</v>
      </c>
      <c r="D16" s="2" t="s">
        <v>348</v>
      </c>
      <c r="J16" s="3" t="s">
        <v>361</v>
      </c>
      <c r="K16" s="5">
        <v>22.4</v>
      </c>
    </row>
    <row r="17" spans="1:11" ht="26.4">
      <c r="A17" s="2" t="s">
        <v>248</v>
      </c>
      <c r="B17" s="5">
        <v>15.8</v>
      </c>
      <c r="C17" s="3" t="s">
        <v>362</v>
      </c>
      <c r="D17" s="2" t="s">
        <v>350</v>
      </c>
      <c r="J17" s="3" t="s">
        <v>363</v>
      </c>
      <c r="K17" s="5">
        <v>15.8</v>
      </c>
    </row>
    <row r="18" spans="1:11" ht="26.4">
      <c r="A18" s="2" t="s">
        <v>220</v>
      </c>
      <c r="B18" s="5">
        <v>26.7</v>
      </c>
      <c r="C18" s="3" t="s">
        <v>364</v>
      </c>
      <c r="D18" s="2" t="s">
        <v>348</v>
      </c>
      <c r="J18" s="3" t="s">
        <v>365</v>
      </c>
      <c r="K18" s="5">
        <v>26.7</v>
      </c>
    </row>
    <row r="19" spans="1:11" ht="26.4">
      <c r="A19" s="2" t="s">
        <v>251</v>
      </c>
      <c r="B19" s="5">
        <v>18.5</v>
      </c>
      <c r="C19" s="3" t="s">
        <v>366</v>
      </c>
      <c r="D19" s="2" t="s">
        <v>352</v>
      </c>
      <c r="J19" s="3" t="s">
        <v>367</v>
      </c>
      <c r="K19" s="5">
        <v>18.5</v>
      </c>
    </row>
    <row r="20" spans="1:11" ht="26.4">
      <c r="A20" s="2" t="s">
        <v>253</v>
      </c>
      <c r="B20" s="5">
        <v>33</v>
      </c>
      <c r="C20" s="3" t="s">
        <v>368</v>
      </c>
      <c r="D20" s="2" t="s">
        <v>350</v>
      </c>
      <c r="J20" s="2" t="s">
        <v>350</v>
      </c>
      <c r="K20" s="5">
        <v>33</v>
      </c>
    </row>
    <row r="21" spans="1:11" ht="26.4">
      <c r="A21" s="2" t="s">
        <v>255</v>
      </c>
      <c r="B21" s="5">
        <v>12.5</v>
      </c>
      <c r="C21" s="3" t="s">
        <v>369</v>
      </c>
      <c r="D21" s="2" t="s">
        <v>348</v>
      </c>
      <c r="J21" s="2" t="s">
        <v>348</v>
      </c>
      <c r="K21" s="5">
        <v>12.5</v>
      </c>
    </row>
    <row r="22" spans="1:11" ht="26.4">
      <c r="A22" s="2" t="s">
        <v>257</v>
      </c>
      <c r="B22" s="5">
        <v>19.8</v>
      </c>
      <c r="C22" s="3" t="s">
        <v>370</v>
      </c>
      <c r="D22" s="2" t="s">
        <v>352</v>
      </c>
      <c r="J22" s="3" t="s">
        <v>371</v>
      </c>
      <c r="K22" s="5">
        <v>19.8</v>
      </c>
    </row>
    <row r="23" spans="1:11" ht="26.4">
      <c r="A23" s="2" t="s">
        <v>259</v>
      </c>
      <c r="B23" s="5">
        <v>24.2</v>
      </c>
      <c r="C23" s="3" t="s">
        <v>372</v>
      </c>
      <c r="D23" s="2" t="s">
        <v>350</v>
      </c>
      <c r="J23" s="3" t="s">
        <v>373</v>
      </c>
      <c r="K23" s="5">
        <v>24.2</v>
      </c>
    </row>
    <row r="24" spans="1:11" ht="26.4">
      <c r="A24" s="2" t="s">
        <v>261</v>
      </c>
      <c r="B24" s="5">
        <v>52</v>
      </c>
      <c r="C24" s="3" t="s">
        <v>374</v>
      </c>
      <c r="D24" s="2" t="s">
        <v>348</v>
      </c>
      <c r="J24" s="3" t="s">
        <v>375</v>
      </c>
      <c r="K24" s="5">
        <v>52</v>
      </c>
    </row>
    <row r="25" spans="1:11" ht="26.4">
      <c r="A25" s="2" t="s">
        <v>263</v>
      </c>
      <c r="B25" s="5">
        <v>48.5</v>
      </c>
      <c r="C25" s="3" t="s">
        <v>376</v>
      </c>
      <c r="D25" s="2" t="s">
        <v>348</v>
      </c>
      <c r="J25" s="3" t="s">
        <v>377</v>
      </c>
      <c r="K25" s="5">
        <v>48.5</v>
      </c>
    </row>
    <row r="26" spans="1:11" ht="26.4">
      <c r="A26" s="2" t="s">
        <v>265</v>
      </c>
      <c r="B26" s="5">
        <v>55.6</v>
      </c>
      <c r="C26" s="3" t="s">
        <v>378</v>
      </c>
      <c r="D26" s="2" t="s">
        <v>350</v>
      </c>
      <c r="J26" s="3" t="s">
        <v>379</v>
      </c>
      <c r="K26" s="5">
        <v>55.6</v>
      </c>
    </row>
    <row r="27" spans="1:11" ht="26.4">
      <c r="A27" s="2" t="s">
        <v>267</v>
      </c>
      <c r="B27" s="5">
        <v>50.2</v>
      </c>
      <c r="C27" s="3" t="s">
        <v>380</v>
      </c>
      <c r="D27" s="2" t="s">
        <v>352</v>
      </c>
      <c r="J27" s="3" t="s">
        <v>381</v>
      </c>
      <c r="K27" s="5">
        <v>50.2</v>
      </c>
    </row>
  </sheetData>
  <mergeCells count="1">
    <mergeCell ref="A1:H1"/>
  </mergeCells>
  <phoneticPr fontId="19" type="noConversion"/>
  <hyperlinks>
    <hyperlink ref="H3" r:id="rId1" location="Dashboard!A1" xr:uid="{00000000-0004-0000-0E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5" customWidth="1"/>
    <col min="2" max="2" width="13" customWidth="1"/>
    <col min="3" max="3" width="16" customWidth="1"/>
    <col min="4" max="4" width="9" customWidth="1"/>
    <col min="5" max="5" width="13" customWidth="1"/>
    <col min="6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382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110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1.0900000000000001</v>
      </c>
      <c r="E4" s="1" t="s">
        <v>51</v>
      </c>
      <c r="F4" s="5">
        <v>1.03</v>
      </c>
    </row>
    <row r="7" spans="1:11" ht="26.4">
      <c r="A7" s="6" t="s">
        <v>209</v>
      </c>
      <c r="B7" s="6" t="s">
        <v>383</v>
      </c>
      <c r="C7" s="6" t="s">
        <v>384</v>
      </c>
      <c r="D7" s="6" t="s">
        <v>385</v>
      </c>
      <c r="E7" s="6" t="s">
        <v>386</v>
      </c>
      <c r="J7" s="7" t="s">
        <v>179</v>
      </c>
      <c r="K7" s="7" t="s">
        <v>180</v>
      </c>
    </row>
    <row r="8" spans="1:11" ht="14.4">
      <c r="A8" s="2" t="s">
        <v>238</v>
      </c>
      <c r="B8" s="5">
        <v>16.8</v>
      </c>
      <c r="C8" s="12">
        <v>0.112</v>
      </c>
      <c r="D8" s="5">
        <v>1.5</v>
      </c>
      <c r="E8" s="3" t="s">
        <v>387</v>
      </c>
      <c r="J8" s="3" t="s">
        <v>387</v>
      </c>
      <c r="K8" s="5">
        <v>1.5</v>
      </c>
    </row>
    <row r="9" spans="1:11" ht="14.4">
      <c r="A9" s="2" t="s">
        <v>239</v>
      </c>
      <c r="B9" s="5">
        <v>16.5</v>
      </c>
      <c r="C9" s="12">
        <v>0.108</v>
      </c>
      <c r="D9" s="5">
        <v>1.53</v>
      </c>
      <c r="E9" s="3" t="s">
        <v>387</v>
      </c>
      <c r="J9" s="3" t="s">
        <v>387</v>
      </c>
      <c r="K9" s="5">
        <v>1.53</v>
      </c>
    </row>
    <row r="10" spans="1:11" ht="26.4">
      <c r="A10" s="2" t="s">
        <v>224</v>
      </c>
      <c r="B10" s="5">
        <v>15.9</v>
      </c>
      <c r="C10" s="12">
        <v>0.105</v>
      </c>
      <c r="D10" s="5">
        <v>1.51</v>
      </c>
      <c r="E10" s="3" t="s">
        <v>387</v>
      </c>
      <c r="J10" s="14" t="s">
        <v>186</v>
      </c>
      <c r="K10" s="10" t="s">
        <v>187</v>
      </c>
    </row>
    <row r="11" spans="1:11" ht="26.4">
      <c r="A11" s="2" t="s">
        <v>240</v>
      </c>
      <c r="B11" s="5">
        <v>15.2</v>
      </c>
      <c r="C11" s="12">
        <v>0.10199999999999999</v>
      </c>
      <c r="D11" s="5">
        <v>1.49</v>
      </c>
      <c r="E11" s="3" t="s">
        <v>388</v>
      </c>
      <c r="J11" s="14" t="s">
        <v>189</v>
      </c>
      <c r="K11" s="10" t="s">
        <v>190</v>
      </c>
    </row>
    <row r="12" spans="1:11" ht="14.4">
      <c r="A12" s="2" t="s">
        <v>241</v>
      </c>
      <c r="B12" s="5">
        <v>14.8</v>
      </c>
      <c r="C12" s="12">
        <v>0.104</v>
      </c>
      <c r="D12" s="5">
        <v>1.42</v>
      </c>
      <c r="E12" s="3" t="s">
        <v>389</v>
      </c>
      <c r="J12" s="3" t="s">
        <v>389</v>
      </c>
      <c r="K12" s="5">
        <v>1.42</v>
      </c>
    </row>
    <row r="13" spans="1:11" ht="14.4">
      <c r="A13" s="2" t="s">
        <v>222</v>
      </c>
      <c r="B13" s="5">
        <v>14.2</v>
      </c>
      <c r="C13" s="12">
        <v>9.8000000000000004E-2</v>
      </c>
      <c r="D13" s="5">
        <v>1.45</v>
      </c>
      <c r="E13" s="3" t="s">
        <v>389</v>
      </c>
      <c r="J13" s="3" t="s">
        <v>389</v>
      </c>
      <c r="K13" s="5">
        <v>1.45</v>
      </c>
    </row>
    <row r="14" spans="1:11" ht="14.4">
      <c r="A14" s="2" t="s">
        <v>242</v>
      </c>
      <c r="B14" s="5">
        <v>13.8</v>
      </c>
      <c r="C14" s="12">
        <v>9.5000000000000001E-2</v>
      </c>
      <c r="D14" s="5">
        <v>1.45</v>
      </c>
      <c r="E14" s="3" t="s">
        <v>389</v>
      </c>
      <c r="J14" s="3" t="s">
        <v>389</v>
      </c>
      <c r="K14" s="5">
        <v>1.45</v>
      </c>
    </row>
    <row r="15" spans="1:11" ht="14.4">
      <c r="A15" s="2" t="s">
        <v>244</v>
      </c>
      <c r="B15" s="5">
        <v>13.5</v>
      </c>
      <c r="C15" s="12">
        <v>9.1999999999999998E-2</v>
      </c>
      <c r="D15" s="5">
        <v>1.47</v>
      </c>
      <c r="E15" s="3" t="s">
        <v>389</v>
      </c>
      <c r="J15" s="3" t="s">
        <v>389</v>
      </c>
      <c r="K15" s="5">
        <v>1.47</v>
      </c>
    </row>
    <row r="16" spans="1:11" ht="14.4">
      <c r="A16" s="2" t="s">
        <v>246</v>
      </c>
      <c r="B16" s="5">
        <v>12.8</v>
      </c>
      <c r="C16" s="12">
        <v>8.7999999999999995E-2</v>
      </c>
      <c r="D16" s="5">
        <v>1.45</v>
      </c>
      <c r="E16" s="3" t="s">
        <v>389</v>
      </c>
      <c r="J16" s="3" t="s">
        <v>389</v>
      </c>
      <c r="K16" s="5">
        <v>1.45</v>
      </c>
    </row>
    <row r="17" spans="1:11" ht="14.4">
      <c r="A17" s="2" t="s">
        <v>248</v>
      </c>
      <c r="B17" s="5">
        <v>12.2</v>
      </c>
      <c r="C17" s="12">
        <v>8.5000000000000006E-2</v>
      </c>
      <c r="D17" s="5">
        <v>1.44</v>
      </c>
      <c r="E17" s="3" t="s">
        <v>389</v>
      </c>
      <c r="J17" s="3" t="s">
        <v>389</v>
      </c>
      <c r="K17" s="5">
        <v>1.44</v>
      </c>
    </row>
    <row r="18" spans="1:11" ht="14.4">
      <c r="A18" s="2" t="s">
        <v>220</v>
      </c>
      <c r="B18" s="5">
        <v>12.5</v>
      </c>
      <c r="C18" s="12">
        <v>8.2000000000000003E-2</v>
      </c>
      <c r="D18" s="5">
        <v>1.52</v>
      </c>
      <c r="E18" s="3" t="s">
        <v>390</v>
      </c>
      <c r="J18" s="3" t="s">
        <v>390</v>
      </c>
      <c r="K18" s="5">
        <v>1.52</v>
      </c>
    </row>
    <row r="19" spans="1:11" ht="26.4">
      <c r="A19" s="2" t="s">
        <v>251</v>
      </c>
      <c r="B19" s="5">
        <v>11.8</v>
      </c>
      <c r="C19" s="12">
        <v>7.4999999999999997E-2</v>
      </c>
      <c r="D19" s="5">
        <v>1.57</v>
      </c>
      <c r="E19" s="3" t="s">
        <v>391</v>
      </c>
      <c r="J19" s="3" t="s">
        <v>391</v>
      </c>
      <c r="K19" s="5">
        <v>1.57</v>
      </c>
    </row>
    <row r="20" spans="1:11" ht="14.4">
      <c r="A20" s="2" t="s">
        <v>253</v>
      </c>
      <c r="B20" s="5">
        <v>11.2</v>
      </c>
      <c r="C20" s="12">
        <v>7.8E-2</v>
      </c>
      <c r="D20" s="5">
        <v>1.44</v>
      </c>
      <c r="E20" s="3" t="s">
        <v>389</v>
      </c>
      <c r="J20" s="3" t="s">
        <v>389</v>
      </c>
      <c r="K20" s="5">
        <v>1.44</v>
      </c>
    </row>
    <row r="21" spans="1:11" ht="26.4">
      <c r="A21" s="2" t="s">
        <v>255</v>
      </c>
      <c r="B21" s="5">
        <v>10.8</v>
      </c>
      <c r="C21" s="12">
        <v>8.2000000000000003E-2</v>
      </c>
      <c r="D21" s="5">
        <v>1.32</v>
      </c>
      <c r="E21" s="3" t="s">
        <v>392</v>
      </c>
      <c r="J21" s="3" t="s">
        <v>392</v>
      </c>
      <c r="K21" s="5">
        <v>1.32</v>
      </c>
    </row>
    <row r="22" spans="1:11" ht="14.4">
      <c r="A22" s="2" t="s">
        <v>257</v>
      </c>
      <c r="B22" s="5">
        <v>11.5</v>
      </c>
      <c r="C22" s="12">
        <v>8.5000000000000006E-2</v>
      </c>
      <c r="D22" s="5">
        <v>1.35</v>
      </c>
      <c r="E22" s="3" t="s">
        <v>393</v>
      </c>
      <c r="J22" s="3" t="s">
        <v>393</v>
      </c>
      <c r="K22" s="5">
        <v>1.35</v>
      </c>
    </row>
    <row r="23" spans="1:11" ht="14.4">
      <c r="A23" s="2" t="s">
        <v>259</v>
      </c>
      <c r="B23" s="5">
        <v>13.2</v>
      </c>
      <c r="C23" s="12">
        <v>0.09</v>
      </c>
      <c r="D23" s="5">
        <v>1.47</v>
      </c>
      <c r="E23" s="3" t="s">
        <v>389</v>
      </c>
      <c r="J23" s="3" t="s">
        <v>389</v>
      </c>
      <c r="K23" s="5">
        <v>1.47</v>
      </c>
    </row>
    <row r="24" spans="1:11" ht="26.4">
      <c r="A24" s="2" t="s">
        <v>261</v>
      </c>
      <c r="B24" s="5">
        <v>15.8</v>
      </c>
      <c r="C24" s="12">
        <v>0.125</v>
      </c>
      <c r="D24" s="5">
        <v>1.26</v>
      </c>
      <c r="E24" s="3" t="s">
        <v>394</v>
      </c>
      <c r="J24" s="3" t="s">
        <v>394</v>
      </c>
      <c r="K24" s="5">
        <v>1.26</v>
      </c>
    </row>
    <row r="25" spans="1:11" ht="26.4">
      <c r="A25" s="2" t="s">
        <v>263</v>
      </c>
      <c r="B25" s="5">
        <v>15.5</v>
      </c>
      <c r="C25" s="12">
        <v>0.14199999999999999</v>
      </c>
      <c r="D25" s="5">
        <v>1.0900000000000001</v>
      </c>
      <c r="E25" s="3" t="s">
        <v>395</v>
      </c>
      <c r="J25" s="3" t="s">
        <v>395</v>
      </c>
      <c r="K25" s="5">
        <v>1.0900000000000001</v>
      </c>
    </row>
    <row r="26" spans="1:11" ht="14.4">
      <c r="A26" s="2" t="s">
        <v>265</v>
      </c>
      <c r="B26" s="5">
        <v>16.2</v>
      </c>
      <c r="C26" s="12">
        <v>0.158</v>
      </c>
      <c r="D26" s="5">
        <v>1.03</v>
      </c>
      <c r="E26" s="3" t="s">
        <v>396</v>
      </c>
      <c r="J26" s="3" t="s">
        <v>396</v>
      </c>
      <c r="K26" s="5">
        <v>1.03</v>
      </c>
    </row>
    <row r="27" spans="1:11" ht="14.4">
      <c r="A27" s="2" t="s">
        <v>267</v>
      </c>
      <c r="B27" s="5">
        <v>15.8</v>
      </c>
      <c r="C27" s="12">
        <v>0.14499999999999999</v>
      </c>
      <c r="D27" s="5">
        <v>1.0900000000000001</v>
      </c>
      <c r="E27" s="3" t="s">
        <v>396</v>
      </c>
      <c r="J27" s="3" t="s">
        <v>396</v>
      </c>
      <c r="K27" s="5">
        <v>1.0900000000000001</v>
      </c>
    </row>
  </sheetData>
  <mergeCells count="1">
    <mergeCell ref="A1:H1"/>
  </mergeCells>
  <phoneticPr fontId="19" type="noConversion"/>
  <hyperlinks>
    <hyperlink ref="H3" r:id="rId1" location="Dashboard!A1" xr:uid="{00000000-0004-0000-0F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4" customWidth="1"/>
    <col min="2" max="2" width="14" customWidth="1"/>
    <col min="3" max="3" width="16" customWidth="1"/>
    <col min="4" max="4" width="11" customWidth="1"/>
    <col min="5" max="5" width="12" customWidth="1"/>
    <col min="6" max="6" width="16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397</v>
      </c>
      <c r="B1" s="37"/>
      <c r="C1" s="37"/>
      <c r="D1" s="37"/>
      <c r="E1" s="37"/>
      <c r="F1" s="37"/>
      <c r="G1" s="37"/>
      <c r="H1" s="37"/>
    </row>
    <row r="3" spans="1:11" ht="14.4">
      <c r="A3" s="1" t="s">
        <v>64</v>
      </c>
      <c r="B3" s="2" t="s">
        <v>40</v>
      </c>
      <c r="C3" s="1" t="s">
        <v>171</v>
      </c>
      <c r="D3" s="2" t="s">
        <v>113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3.9800000000000002E-2</v>
      </c>
      <c r="E4" s="1" t="s">
        <v>51</v>
      </c>
      <c r="F4" s="12">
        <v>4.4699999999999997E-2</v>
      </c>
    </row>
    <row r="7" spans="1:11" ht="26.4">
      <c r="A7" s="6" t="s">
        <v>209</v>
      </c>
      <c r="B7" s="6" t="s">
        <v>398</v>
      </c>
      <c r="C7" s="6" t="s">
        <v>399</v>
      </c>
      <c r="D7" s="7" t="s">
        <v>113</v>
      </c>
      <c r="E7" s="7" t="s">
        <v>400</v>
      </c>
      <c r="F7" s="6" t="s">
        <v>401</v>
      </c>
      <c r="J7" s="7" t="s">
        <v>179</v>
      </c>
      <c r="K7" s="7" t="s">
        <v>180</v>
      </c>
    </row>
    <row r="8" spans="1:11" ht="14.4">
      <c r="A8" s="2" t="s">
        <v>238</v>
      </c>
      <c r="B8" s="12">
        <v>1.2500000000000001E-2</v>
      </c>
      <c r="C8" s="12">
        <v>1.8499999999999999E-2</v>
      </c>
      <c r="D8" s="12">
        <v>3.1E-2</v>
      </c>
      <c r="E8" s="12">
        <v>4.2000000000000003E-2</v>
      </c>
      <c r="F8" s="12">
        <v>-1.0999999999999999E-2</v>
      </c>
      <c r="J8" s="2" t="s">
        <v>215</v>
      </c>
      <c r="K8" s="12">
        <v>3.1E-2</v>
      </c>
    </row>
    <row r="9" spans="1:11" ht="14.4">
      <c r="A9" s="2" t="s">
        <v>239</v>
      </c>
      <c r="B9" s="12">
        <v>1.2800000000000001E-2</v>
      </c>
      <c r="C9" s="12">
        <v>1.9E-2</v>
      </c>
      <c r="D9" s="12">
        <v>3.1800000000000002E-2</v>
      </c>
      <c r="E9" s="12">
        <v>4.3999999999999997E-2</v>
      </c>
      <c r="F9" s="12">
        <v>-1.2200000000000001E-2</v>
      </c>
      <c r="J9" s="2" t="s">
        <v>219</v>
      </c>
      <c r="K9" s="12">
        <v>3.1800000000000002E-2</v>
      </c>
    </row>
    <row r="10" spans="1:11" ht="26.4">
      <c r="A10" s="2" t="s">
        <v>224</v>
      </c>
      <c r="B10" s="12">
        <v>1.35E-2</v>
      </c>
      <c r="C10" s="12">
        <v>1.95E-2</v>
      </c>
      <c r="D10" s="12">
        <v>3.3000000000000002E-2</v>
      </c>
      <c r="E10" s="12">
        <v>4.2999999999999997E-2</v>
      </c>
      <c r="F10" s="12">
        <v>-0.01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1.38E-2</v>
      </c>
      <c r="C11" s="12">
        <v>2.1000000000000001E-2</v>
      </c>
      <c r="D11" s="12">
        <v>3.4799999999999998E-2</v>
      </c>
      <c r="E11" s="12">
        <v>4.1000000000000002E-2</v>
      </c>
      <c r="F11" s="12">
        <v>-6.1999999999999998E-3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1.4200000000000001E-2</v>
      </c>
      <c r="C12" s="12">
        <v>2.1499999999999998E-2</v>
      </c>
      <c r="D12" s="12">
        <v>3.5700000000000003E-2</v>
      </c>
      <c r="E12" s="12">
        <v>3.9E-2</v>
      </c>
      <c r="F12" s="12">
        <v>-3.3E-3</v>
      </c>
      <c r="J12" s="2" t="s">
        <v>226</v>
      </c>
      <c r="K12" s="12">
        <v>3.5700000000000003E-2</v>
      </c>
    </row>
    <row r="13" spans="1:11" ht="14.4">
      <c r="A13" s="2" t="s">
        <v>222</v>
      </c>
      <c r="B13" s="12">
        <v>1.4500000000000001E-2</v>
      </c>
      <c r="C13" s="12">
        <v>1.8499999999999999E-2</v>
      </c>
      <c r="D13" s="12">
        <v>3.3000000000000002E-2</v>
      </c>
      <c r="E13" s="12">
        <v>0.04</v>
      </c>
      <c r="F13" s="12">
        <v>-7.0000000000000001E-3</v>
      </c>
      <c r="J13" s="2" t="s">
        <v>229</v>
      </c>
      <c r="K13" s="12">
        <v>3.3000000000000002E-2</v>
      </c>
    </row>
    <row r="14" spans="1:11" ht="14.4">
      <c r="A14" s="2" t="s">
        <v>242</v>
      </c>
      <c r="B14" s="12">
        <v>1.4800000000000001E-2</v>
      </c>
      <c r="C14" s="12">
        <v>1.7000000000000001E-2</v>
      </c>
      <c r="D14" s="12">
        <v>3.1800000000000002E-2</v>
      </c>
      <c r="E14" s="12">
        <v>4.4999999999999998E-2</v>
      </c>
      <c r="F14" s="12">
        <v>-1.32E-2</v>
      </c>
      <c r="J14" s="2" t="s">
        <v>243</v>
      </c>
      <c r="K14" s="12">
        <v>3.1800000000000002E-2</v>
      </c>
    </row>
    <row r="15" spans="1:11" ht="14.4">
      <c r="A15" s="2" t="s">
        <v>244</v>
      </c>
      <c r="B15" s="12">
        <v>1.4999999999999999E-2</v>
      </c>
      <c r="C15" s="12">
        <v>1.6500000000000001E-2</v>
      </c>
      <c r="D15" s="12">
        <v>3.15E-2</v>
      </c>
      <c r="E15" s="12">
        <v>4.2999999999999997E-2</v>
      </c>
      <c r="F15" s="12">
        <v>-1.15E-2</v>
      </c>
      <c r="J15" s="2" t="s">
        <v>245</v>
      </c>
      <c r="K15" s="12">
        <v>3.15E-2</v>
      </c>
    </row>
    <row r="16" spans="1:11" ht="14.4">
      <c r="A16" s="2" t="s">
        <v>246</v>
      </c>
      <c r="B16" s="12">
        <v>1.55E-2</v>
      </c>
      <c r="C16" s="12">
        <v>1.6E-2</v>
      </c>
      <c r="D16" s="12">
        <v>3.15E-2</v>
      </c>
      <c r="E16" s="12">
        <v>4.1000000000000002E-2</v>
      </c>
      <c r="F16" s="12">
        <v>-9.4999999999999998E-3</v>
      </c>
      <c r="J16" s="2" t="s">
        <v>247</v>
      </c>
      <c r="K16" s="12">
        <v>3.15E-2</v>
      </c>
    </row>
    <row r="17" spans="1:11" ht="14.4">
      <c r="A17" s="2" t="s">
        <v>248</v>
      </c>
      <c r="B17" s="12">
        <v>1.6199999999999999E-2</v>
      </c>
      <c r="C17" s="12">
        <v>1.4500000000000001E-2</v>
      </c>
      <c r="D17" s="12">
        <v>3.0700000000000002E-2</v>
      </c>
      <c r="E17" s="12">
        <v>4.5999999999999999E-2</v>
      </c>
      <c r="F17" s="12">
        <v>-1.5299999999999999E-2</v>
      </c>
      <c r="J17" s="2" t="s">
        <v>249</v>
      </c>
      <c r="K17" s="12">
        <v>3.0700000000000002E-2</v>
      </c>
    </row>
    <row r="18" spans="1:11" ht="14.4">
      <c r="A18" s="2" t="s">
        <v>220</v>
      </c>
      <c r="B18" s="12">
        <v>1.5800000000000002E-2</v>
      </c>
      <c r="C18" s="12">
        <v>1.7999999999999999E-2</v>
      </c>
      <c r="D18" s="12">
        <v>3.3799999999999997E-2</v>
      </c>
      <c r="E18" s="12">
        <v>3.7999999999999999E-2</v>
      </c>
      <c r="F18" s="12">
        <v>-4.1999999999999997E-3</v>
      </c>
      <c r="J18" s="2" t="s">
        <v>250</v>
      </c>
      <c r="K18" s="12">
        <v>3.3799999999999997E-2</v>
      </c>
    </row>
    <row r="19" spans="1:11" ht="14.4">
      <c r="A19" s="2" t="s">
        <v>251</v>
      </c>
      <c r="B19" s="12">
        <v>1.6500000000000001E-2</v>
      </c>
      <c r="C19" s="12">
        <v>2.1999999999999999E-2</v>
      </c>
      <c r="D19" s="12">
        <v>3.85E-2</v>
      </c>
      <c r="E19" s="12">
        <v>3.5000000000000003E-2</v>
      </c>
      <c r="F19" s="12">
        <v>3.5000000000000001E-3</v>
      </c>
      <c r="J19" s="2" t="s">
        <v>252</v>
      </c>
      <c r="K19" s="12">
        <v>3.85E-2</v>
      </c>
    </row>
    <row r="20" spans="1:11" ht="14.4">
      <c r="A20" s="2" t="s">
        <v>253</v>
      </c>
      <c r="B20" s="12">
        <v>1.72E-2</v>
      </c>
      <c r="C20" s="12">
        <v>2.5000000000000001E-2</v>
      </c>
      <c r="D20" s="12">
        <v>4.2200000000000001E-2</v>
      </c>
      <c r="E20" s="12">
        <v>3.9E-2</v>
      </c>
      <c r="F20" s="12">
        <v>3.2000000000000002E-3</v>
      </c>
      <c r="J20" s="2" t="s">
        <v>254</v>
      </c>
      <c r="K20" s="12">
        <v>4.2200000000000001E-2</v>
      </c>
    </row>
    <row r="21" spans="1:11" ht="14.4">
      <c r="A21" s="2" t="s">
        <v>255</v>
      </c>
      <c r="B21" s="12">
        <v>1.8499999999999999E-2</v>
      </c>
      <c r="C21" s="12">
        <v>2.8000000000000001E-2</v>
      </c>
      <c r="D21" s="12">
        <v>4.65E-2</v>
      </c>
      <c r="E21" s="12">
        <v>3.7999999999999999E-2</v>
      </c>
      <c r="F21" s="12">
        <v>8.5000000000000006E-3</v>
      </c>
      <c r="J21" s="2" t="s">
        <v>256</v>
      </c>
      <c r="K21" s="12">
        <v>4.65E-2</v>
      </c>
    </row>
    <row r="22" spans="1:11" ht="14.4">
      <c r="A22" s="2" t="s">
        <v>257</v>
      </c>
      <c r="B22" s="12">
        <v>1.6799999999999999E-2</v>
      </c>
      <c r="C22" s="12">
        <v>3.2000000000000001E-2</v>
      </c>
      <c r="D22" s="12">
        <v>4.8800000000000003E-2</v>
      </c>
      <c r="E22" s="12">
        <v>0.03</v>
      </c>
      <c r="F22" s="12">
        <v>1.8800000000000001E-2</v>
      </c>
      <c r="J22" s="2" t="s">
        <v>258</v>
      </c>
      <c r="K22" s="12">
        <v>4.8800000000000003E-2</v>
      </c>
    </row>
    <row r="23" spans="1:11" ht="14.4">
      <c r="A23" s="2" t="s">
        <v>259</v>
      </c>
      <c r="B23" s="12">
        <v>1.4500000000000001E-2</v>
      </c>
      <c r="C23" s="12">
        <v>3.5000000000000003E-2</v>
      </c>
      <c r="D23" s="12">
        <v>4.9500000000000002E-2</v>
      </c>
      <c r="E23" s="12">
        <v>2.3E-2</v>
      </c>
      <c r="F23" s="12">
        <v>2.6499999999999999E-2</v>
      </c>
      <c r="J23" s="2" t="s">
        <v>260</v>
      </c>
      <c r="K23" s="12">
        <v>4.9500000000000002E-2</v>
      </c>
    </row>
    <row r="24" spans="1:11" ht="14.4">
      <c r="A24" s="2" t="s">
        <v>261</v>
      </c>
      <c r="B24" s="12">
        <v>1.35E-2</v>
      </c>
      <c r="C24" s="12">
        <v>3.5999999999999997E-2</v>
      </c>
      <c r="D24" s="12">
        <v>4.9500000000000002E-2</v>
      </c>
      <c r="E24" s="12">
        <v>1.4999999999999999E-2</v>
      </c>
      <c r="F24" s="12">
        <v>3.4500000000000003E-2</v>
      </c>
      <c r="J24" s="2" t="s">
        <v>262</v>
      </c>
      <c r="K24" s="12">
        <v>4.9500000000000002E-2</v>
      </c>
    </row>
    <row r="25" spans="1:11" ht="14.4">
      <c r="A25" s="2" t="s">
        <v>263</v>
      </c>
      <c r="B25" s="12">
        <v>1.38E-2</v>
      </c>
      <c r="C25" s="12">
        <v>3.4000000000000002E-2</v>
      </c>
      <c r="D25" s="12">
        <v>4.7800000000000002E-2</v>
      </c>
      <c r="E25" s="12">
        <v>1.4999999999999999E-2</v>
      </c>
      <c r="F25" s="12">
        <v>3.2800000000000003E-2</v>
      </c>
      <c r="J25" s="2" t="s">
        <v>264</v>
      </c>
      <c r="K25" s="12">
        <v>4.7800000000000002E-2</v>
      </c>
    </row>
    <row r="26" spans="1:11" ht="14.4">
      <c r="A26" s="2" t="s">
        <v>265</v>
      </c>
      <c r="B26" s="12">
        <v>1.4200000000000001E-2</v>
      </c>
      <c r="C26" s="12">
        <v>3.0499999999999999E-2</v>
      </c>
      <c r="D26" s="12">
        <v>4.4699999999999997E-2</v>
      </c>
      <c r="E26" s="12">
        <v>1.4999999999999999E-2</v>
      </c>
      <c r="F26" s="12">
        <v>2.9700000000000001E-2</v>
      </c>
      <c r="J26" s="2" t="s">
        <v>266</v>
      </c>
      <c r="K26" s="12">
        <v>4.4699999999999997E-2</v>
      </c>
    </row>
    <row r="27" spans="1:11" ht="14.4">
      <c r="A27" s="2" t="s">
        <v>267</v>
      </c>
      <c r="B27" s="12">
        <v>1.4800000000000001E-2</v>
      </c>
      <c r="C27" s="12">
        <v>2.5000000000000001E-2</v>
      </c>
      <c r="D27" s="12">
        <v>3.9800000000000002E-2</v>
      </c>
      <c r="E27" s="12">
        <v>1.7000000000000001E-2</v>
      </c>
      <c r="F27" s="12">
        <v>2.2800000000000001E-2</v>
      </c>
      <c r="J27" s="2" t="s">
        <v>268</v>
      </c>
      <c r="K27" s="12">
        <v>3.9800000000000002E-2</v>
      </c>
    </row>
  </sheetData>
  <mergeCells count="1">
    <mergeCell ref="A1:H1"/>
  </mergeCells>
  <phoneticPr fontId="19" type="noConversion"/>
  <hyperlinks>
    <hyperlink ref="H3" r:id="rId1" location="Dashboard!A1" xr:uid="{00000000-0004-0000-10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6" customWidth="1"/>
    <col min="2" max="2" width="13" customWidth="1"/>
    <col min="3" max="3" width="16" customWidth="1"/>
    <col min="4" max="4" width="11" customWidth="1"/>
    <col min="5" max="5" width="12" customWidth="1"/>
    <col min="6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5" t="s">
        <v>402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41</v>
      </c>
      <c r="C3" s="1" t="s">
        <v>171</v>
      </c>
      <c r="D3" s="3" t="s">
        <v>116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12">
        <v>0.25700000000000001</v>
      </c>
      <c r="E4" s="1" t="s">
        <v>51</v>
      </c>
      <c r="F4" s="12">
        <v>0.29699999999999999</v>
      </c>
    </row>
    <row r="7" spans="1:11" ht="26.4">
      <c r="A7" s="6" t="s">
        <v>209</v>
      </c>
      <c r="B7" s="6" t="s">
        <v>403</v>
      </c>
      <c r="C7" s="6" t="s">
        <v>404</v>
      </c>
      <c r="D7" s="6" t="s">
        <v>405</v>
      </c>
      <c r="E7" s="6" t="s">
        <v>406</v>
      </c>
      <c r="J7" s="7" t="s">
        <v>179</v>
      </c>
      <c r="K7" s="7" t="s">
        <v>180</v>
      </c>
    </row>
    <row r="8" spans="1:11" ht="26.4">
      <c r="A8" s="2" t="s">
        <v>238</v>
      </c>
      <c r="B8" s="12">
        <v>0.48499999999999999</v>
      </c>
      <c r="C8" s="12">
        <v>0.221</v>
      </c>
      <c r="D8" s="12">
        <v>0.26400000000000001</v>
      </c>
      <c r="E8" s="3" t="s">
        <v>407</v>
      </c>
      <c r="J8" s="3" t="s">
        <v>407</v>
      </c>
      <c r="K8" s="12">
        <v>0.26400000000000001</v>
      </c>
    </row>
    <row r="9" spans="1:11" ht="14.4">
      <c r="A9" s="2" t="s">
        <v>239</v>
      </c>
      <c r="B9" s="12">
        <v>0.42199999999999999</v>
      </c>
      <c r="C9" s="12">
        <v>0.25800000000000001</v>
      </c>
      <c r="D9" s="12">
        <v>0.16400000000000001</v>
      </c>
      <c r="E9" s="3" t="s">
        <v>408</v>
      </c>
      <c r="J9" s="3" t="s">
        <v>408</v>
      </c>
      <c r="K9" s="12">
        <v>0.16400000000000001</v>
      </c>
    </row>
    <row r="10" spans="1:11" ht="26.4">
      <c r="A10" s="2" t="s">
        <v>224</v>
      </c>
      <c r="B10" s="12">
        <v>0.44500000000000001</v>
      </c>
      <c r="C10" s="12">
        <v>0.24199999999999999</v>
      </c>
      <c r="D10" s="12">
        <v>0.20300000000000001</v>
      </c>
      <c r="E10" s="3" t="s">
        <v>409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0.46800000000000003</v>
      </c>
      <c r="C11" s="12">
        <v>0.215</v>
      </c>
      <c r="D11" s="12">
        <v>0.253</v>
      </c>
      <c r="E11" s="3" t="s">
        <v>409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0.45200000000000001</v>
      </c>
      <c r="C12" s="12">
        <v>0.23499999999999999</v>
      </c>
      <c r="D12" s="12">
        <v>0.217</v>
      </c>
      <c r="E12" s="3" t="s">
        <v>409</v>
      </c>
      <c r="J12" s="3" t="s">
        <v>409</v>
      </c>
      <c r="K12" s="12">
        <v>0.217</v>
      </c>
    </row>
    <row r="13" spans="1:11" ht="14.4">
      <c r="A13" s="2" t="s">
        <v>222</v>
      </c>
      <c r="B13" s="12">
        <v>0.39500000000000002</v>
      </c>
      <c r="C13" s="12">
        <v>0.28199999999999997</v>
      </c>
      <c r="D13" s="12">
        <v>0.113</v>
      </c>
      <c r="E13" s="3" t="s">
        <v>408</v>
      </c>
      <c r="J13" s="3" t="s">
        <v>408</v>
      </c>
      <c r="K13" s="12">
        <v>0.113</v>
      </c>
    </row>
    <row r="14" spans="1:11" ht="14.4">
      <c r="A14" s="2" t="s">
        <v>242</v>
      </c>
      <c r="B14" s="12">
        <v>0.38200000000000001</v>
      </c>
      <c r="C14" s="12">
        <v>0.30499999999999999</v>
      </c>
      <c r="D14" s="12">
        <v>7.6999999999999999E-2</v>
      </c>
      <c r="E14" s="3" t="s">
        <v>410</v>
      </c>
      <c r="J14" s="3" t="s">
        <v>410</v>
      </c>
      <c r="K14" s="12">
        <v>7.6999999999999999E-2</v>
      </c>
    </row>
    <row r="15" spans="1:11" ht="14.4">
      <c r="A15" s="2" t="s">
        <v>244</v>
      </c>
      <c r="B15" s="12">
        <v>0.441</v>
      </c>
      <c r="C15" s="12">
        <v>0.248</v>
      </c>
      <c r="D15" s="12">
        <v>0.193</v>
      </c>
      <c r="E15" s="3" t="s">
        <v>408</v>
      </c>
      <c r="J15" s="3" t="s">
        <v>408</v>
      </c>
      <c r="K15" s="12">
        <v>0.193</v>
      </c>
    </row>
    <row r="16" spans="1:11" ht="14.4">
      <c r="A16" s="2" t="s">
        <v>246</v>
      </c>
      <c r="B16" s="12">
        <v>0.41499999999999998</v>
      </c>
      <c r="C16" s="12">
        <v>0.26200000000000001</v>
      </c>
      <c r="D16" s="12">
        <v>0.153</v>
      </c>
      <c r="E16" s="3" t="s">
        <v>408</v>
      </c>
      <c r="J16" s="3" t="s">
        <v>408</v>
      </c>
      <c r="K16" s="12">
        <v>0.153</v>
      </c>
    </row>
    <row r="17" spans="1:11" ht="14.4">
      <c r="A17" s="2" t="s">
        <v>248</v>
      </c>
      <c r="B17" s="12">
        <v>0.36799999999999999</v>
      </c>
      <c r="C17" s="12">
        <v>0.32500000000000001</v>
      </c>
      <c r="D17" s="12">
        <v>4.2999999999999997E-2</v>
      </c>
      <c r="E17" s="3" t="s">
        <v>389</v>
      </c>
      <c r="J17" s="3" t="s">
        <v>389</v>
      </c>
      <c r="K17" s="12">
        <v>4.2999999999999997E-2</v>
      </c>
    </row>
    <row r="18" spans="1:11" ht="14.4">
      <c r="A18" s="2" t="s">
        <v>220</v>
      </c>
      <c r="B18" s="12">
        <v>0.32400000000000001</v>
      </c>
      <c r="C18" s="12">
        <v>0.35799999999999998</v>
      </c>
      <c r="D18" s="12">
        <v>-3.4000000000000002E-2</v>
      </c>
      <c r="E18" s="3" t="s">
        <v>411</v>
      </c>
      <c r="J18" s="3" t="s">
        <v>411</v>
      </c>
      <c r="K18" s="12">
        <v>-3.4000000000000002E-2</v>
      </c>
    </row>
    <row r="19" spans="1:11" ht="14.4">
      <c r="A19" s="2" t="s">
        <v>251</v>
      </c>
      <c r="B19" s="12">
        <v>0.245</v>
      </c>
      <c r="C19" s="12">
        <v>0.42199999999999999</v>
      </c>
      <c r="D19" s="12">
        <v>-0.17699999999999999</v>
      </c>
      <c r="E19" s="3" t="s">
        <v>412</v>
      </c>
      <c r="J19" s="3" t="s">
        <v>412</v>
      </c>
      <c r="K19" s="12">
        <v>-0.17699999999999999</v>
      </c>
    </row>
    <row r="20" spans="1:11" ht="26.4">
      <c r="A20" s="2" t="s">
        <v>253</v>
      </c>
      <c r="B20" s="12">
        <v>0.22800000000000001</v>
      </c>
      <c r="C20" s="12">
        <v>0.48499999999999999</v>
      </c>
      <c r="D20" s="12">
        <v>-0.25700000000000001</v>
      </c>
      <c r="E20" s="3" t="s">
        <v>413</v>
      </c>
      <c r="J20" s="3" t="s">
        <v>413</v>
      </c>
      <c r="K20" s="12">
        <v>-0.25700000000000001</v>
      </c>
    </row>
    <row r="21" spans="1:11" ht="26.4">
      <c r="A21" s="2" t="s">
        <v>255</v>
      </c>
      <c r="B21" s="12">
        <v>0.215</v>
      </c>
      <c r="C21" s="12">
        <v>0.52200000000000002</v>
      </c>
      <c r="D21" s="12">
        <v>-0.307</v>
      </c>
      <c r="E21" s="3" t="s">
        <v>414</v>
      </c>
      <c r="J21" s="3" t="s">
        <v>414</v>
      </c>
      <c r="K21" s="12">
        <v>-0.307</v>
      </c>
    </row>
    <row r="22" spans="1:11" ht="26.4">
      <c r="A22" s="2" t="s">
        <v>257</v>
      </c>
      <c r="B22" s="12">
        <v>0.20200000000000001</v>
      </c>
      <c r="C22" s="12">
        <v>0.54500000000000004</v>
      </c>
      <c r="D22" s="12">
        <v>-0.34300000000000003</v>
      </c>
      <c r="E22" s="3" t="s">
        <v>413</v>
      </c>
      <c r="J22" s="3" t="s">
        <v>413</v>
      </c>
      <c r="K22" s="12">
        <v>-0.34300000000000003</v>
      </c>
    </row>
    <row r="23" spans="1:11" ht="14.4">
      <c r="A23" s="2" t="s">
        <v>259</v>
      </c>
      <c r="B23" s="12">
        <v>0.254</v>
      </c>
      <c r="C23" s="12">
        <v>0.40799999999999997</v>
      </c>
      <c r="D23" s="12">
        <v>-0.154</v>
      </c>
      <c r="E23" s="3" t="s">
        <v>415</v>
      </c>
      <c r="J23" s="3" t="s">
        <v>415</v>
      </c>
      <c r="K23" s="12">
        <v>-0.154</v>
      </c>
    </row>
    <row r="24" spans="1:11" ht="14.4">
      <c r="A24" s="2" t="s">
        <v>261</v>
      </c>
      <c r="B24" s="12">
        <v>0.41199999999999998</v>
      </c>
      <c r="C24" s="12">
        <v>0.28499999999999998</v>
      </c>
      <c r="D24" s="12">
        <v>0.127</v>
      </c>
      <c r="E24" s="3" t="s">
        <v>408</v>
      </c>
      <c r="J24" s="3" t="s">
        <v>408</v>
      </c>
      <c r="K24" s="12">
        <v>0.127</v>
      </c>
    </row>
    <row r="25" spans="1:11" ht="14.4">
      <c r="A25" s="2" t="s">
        <v>263</v>
      </c>
      <c r="B25" s="12">
        <v>0.38500000000000001</v>
      </c>
      <c r="C25" s="12">
        <v>0.30199999999999999</v>
      </c>
      <c r="D25" s="12">
        <v>8.3000000000000004E-2</v>
      </c>
      <c r="E25" s="3" t="s">
        <v>410</v>
      </c>
      <c r="J25" s="3" t="s">
        <v>410</v>
      </c>
      <c r="K25" s="12">
        <v>8.3000000000000004E-2</v>
      </c>
    </row>
    <row r="26" spans="1:11" ht="14.4">
      <c r="A26" s="2" t="s">
        <v>265</v>
      </c>
      <c r="B26" s="12">
        <v>0.505</v>
      </c>
      <c r="C26" s="12">
        <v>0.20799999999999999</v>
      </c>
      <c r="D26" s="12">
        <v>0.29699999999999999</v>
      </c>
      <c r="E26" s="3" t="s">
        <v>416</v>
      </c>
      <c r="J26" s="3" t="s">
        <v>416</v>
      </c>
      <c r="K26" s="12">
        <v>0.29699999999999999</v>
      </c>
    </row>
    <row r="27" spans="1:11" ht="14.4">
      <c r="A27" s="2" t="s">
        <v>267</v>
      </c>
      <c r="B27" s="12">
        <v>0.48199999999999998</v>
      </c>
      <c r="C27" s="12">
        <v>0.22500000000000001</v>
      </c>
      <c r="D27" s="12">
        <v>0.25700000000000001</v>
      </c>
      <c r="E27" s="3" t="s">
        <v>416</v>
      </c>
      <c r="J27" s="3" t="s">
        <v>416</v>
      </c>
      <c r="K27" s="12">
        <v>0.25700000000000001</v>
      </c>
    </row>
  </sheetData>
  <mergeCells count="1">
    <mergeCell ref="A1:H1"/>
  </mergeCells>
  <phoneticPr fontId="19" type="noConversion"/>
  <hyperlinks>
    <hyperlink ref="H3" r:id="rId1" location="Dashboard!A1" xr:uid="{00000000-0004-0000-11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0" customWidth="1"/>
    <col min="2" max="2" width="13" customWidth="1"/>
    <col min="3" max="4" width="24" customWidth="1"/>
    <col min="5" max="6" width="11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5" t="s">
        <v>417</v>
      </c>
      <c r="B1" s="35"/>
      <c r="C1" s="35"/>
      <c r="D1" s="35"/>
      <c r="E1" s="35"/>
      <c r="F1" s="35"/>
      <c r="G1" s="35"/>
      <c r="H1" s="35"/>
    </row>
    <row r="3" spans="1:11" ht="14.4">
      <c r="A3" s="1" t="s">
        <v>64</v>
      </c>
      <c r="B3" s="2" t="s">
        <v>41</v>
      </c>
      <c r="C3" s="1" t="s">
        <v>171</v>
      </c>
      <c r="D3" s="3" t="s">
        <v>119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12">
        <v>0.75</v>
      </c>
      <c r="E4" s="1" t="s">
        <v>51</v>
      </c>
      <c r="F4" s="12">
        <v>0.78</v>
      </c>
    </row>
    <row r="7" spans="1:11" ht="26.4">
      <c r="A7" s="6" t="s">
        <v>209</v>
      </c>
      <c r="B7" s="6" t="s">
        <v>418</v>
      </c>
      <c r="C7" s="6" t="s">
        <v>419</v>
      </c>
      <c r="D7" s="6" t="s">
        <v>420</v>
      </c>
      <c r="J7" s="7" t="s">
        <v>179</v>
      </c>
      <c r="K7" s="7" t="s">
        <v>180</v>
      </c>
    </row>
    <row r="8" spans="1:11" ht="26.4">
      <c r="A8" s="2" t="s">
        <v>238</v>
      </c>
      <c r="B8" s="12">
        <v>0.68</v>
      </c>
      <c r="C8" s="3" t="s">
        <v>421</v>
      </c>
      <c r="D8" s="3" t="s">
        <v>422</v>
      </c>
      <c r="J8" s="3" t="s">
        <v>423</v>
      </c>
      <c r="K8" s="12">
        <v>0.68</v>
      </c>
    </row>
    <row r="9" spans="1:11" ht="26.4">
      <c r="A9" s="2" t="s">
        <v>239</v>
      </c>
      <c r="B9" s="12">
        <v>0.64</v>
      </c>
      <c r="C9" s="3" t="s">
        <v>408</v>
      </c>
      <c r="D9" s="3" t="s">
        <v>424</v>
      </c>
      <c r="J9" s="3" t="s">
        <v>425</v>
      </c>
      <c r="K9" s="12">
        <v>0.64</v>
      </c>
    </row>
    <row r="10" spans="1:11" ht="26.4">
      <c r="A10" s="2" t="s">
        <v>224</v>
      </c>
      <c r="B10" s="12">
        <v>0.72</v>
      </c>
      <c r="C10" s="3" t="s">
        <v>426</v>
      </c>
      <c r="D10" s="3" t="s">
        <v>427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0.69</v>
      </c>
      <c r="C11" s="3" t="s">
        <v>387</v>
      </c>
      <c r="D11" s="3" t="s">
        <v>428</v>
      </c>
      <c r="J11" s="14" t="s">
        <v>189</v>
      </c>
      <c r="K11" s="15" t="s">
        <v>190</v>
      </c>
    </row>
    <row r="12" spans="1:11" ht="26.4">
      <c r="A12" s="2" t="s">
        <v>241</v>
      </c>
      <c r="B12" s="12">
        <v>0.65</v>
      </c>
      <c r="C12" s="3" t="s">
        <v>408</v>
      </c>
      <c r="D12" s="3" t="s">
        <v>429</v>
      </c>
      <c r="J12" s="3" t="s">
        <v>430</v>
      </c>
      <c r="K12" s="12">
        <v>0.65</v>
      </c>
    </row>
    <row r="13" spans="1:11" ht="26.4">
      <c r="A13" s="2" t="s">
        <v>222</v>
      </c>
      <c r="B13" s="12">
        <v>0.57999999999999996</v>
      </c>
      <c r="C13" s="3" t="s">
        <v>410</v>
      </c>
      <c r="D13" s="3" t="s">
        <v>431</v>
      </c>
      <c r="J13" s="3" t="s">
        <v>432</v>
      </c>
      <c r="K13" s="12">
        <v>0.57999999999999996</v>
      </c>
    </row>
    <row r="14" spans="1:11" ht="26.4">
      <c r="A14" s="2" t="s">
        <v>242</v>
      </c>
      <c r="B14" s="12">
        <v>0.61</v>
      </c>
      <c r="C14" s="3" t="s">
        <v>408</v>
      </c>
      <c r="D14" s="3" t="s">
        <v>433</v>
      </c>
      <c r="J14" s="3" t="s">
        <v>434</v>
      </c>
      <c r="K14" s="12">
        <v>0.61</v>
      </c>
    </row>
    <row r="15" spans="1:11" ht="26.4">
      <c r="A15" s="2" t="s">
        <v>244</v>
      </c>
      <c r="B15" s="12">
        <v>0.67</v>
      </c>
      <c r="C15" s="3" t="s">
        <v>387</v>
      </c>
      <c r="D15" s="2" t="s">
        <v>435</v>
      </c>
      <c r="J15" s="3" t="s">
        <v>436</v>
      </c>
      <c r="K15" s="12">
        <v>0.67</v>
      </c>
    </row>
    <row r="16" spans="1:11" ht="26.4">
      <c r="A16" s="2" t="s">
        <v>246</v>
      </c>
      <c r="B16" s="12">
        <v>0.55000000000000004</v>
      </c>
      <c r="C16" s="3" t="s">
        <v>389</v>
      </c>
      <c r="D16" s="3" t="s">
        <v>437</v>
      </c>
      <c r="J16" s="3" t="s">
        <v>438</v>
      </c>
      <c r="K16" s="12">
        <v>0.55000000000000004</v>
      </c>
    </row>
    <row r="17" spans="1:11" ht="26.4">
      <c r="A17" s="2" t="s">
        <v>248</v>
      </c>
      <c r="B17" s="12">
        <v>0.48</v>
      </c>
      <c r="C17" s="3" t="s">
        <v>439</v>
      </c>
      <c r="D17" s="3" t="s">
        <v>440</v>
      </c>
      <c r="J17" s="3" t="s">
        <v>439</v>
      </c>
      <c r="K17" s="12">
        <v>0.48</v>
      </c>
    </row>
    <row r="18" spans="1:11" ht="26.4">
      <c r="A18" s="2" t="s">
        <v>220</v>
      </c>
      <c r="B18" s="12">
        <v>0.52</v>
      </c>
      <c r="C18" s="3" t="s">
        <v>389</v>
      </c>
      <c r="D18" s="3" t="s">
        <v>441</v>
      </c>
      <c r="J18" s="3" t="s">
        <v>442</v>
      </c>
      <c r="K18" s="12">
        <v>0.52</v>
      </c>
    </row>
    <row r="19" spans="1:11" ht="26.4">
      <c r="A19" s="2" t="s">
        <v>251</v>
      </c>
      <c r="B19" s="12">
        <v>0.45</v>
      </c>
      <c r="C19" s="3" t="s">
        <v>415</v>
      </c>
      <c r="D19" s="3" t="s">
        <v>443</v>
      </c>
      <c r="J19" s="3" t="s">
        <v>444</v>
      </c>
      <c r="K19" s="12">
        <v>0.45</v>
      </c>
    </row>
    <row r="20" spans="1:11" ht="26.4">
      <c r="A20" s="2" t="s">
        <v>253</v>
      </c>
      <c r="B20" s="12">
        <v>0.42</v>
      </c>
      <c r="C20" s="3" t="s">
        <v>445</v>
      </c>
      <c r="D20" s="3" t="s">
        <v>446</v>
      </c>
      <c r="J20" s="3" t="s">
        <v>447</v>
      </c>
      <c r="K20" s="12">
        <v>0.42</v>
      </c>
    </row>
    <row r="21" spans="1:11" ht="26.4">
      <c r="A21" s="2" t="s">
        <v>255</v>
      </c>
      <c r="B21" s="12">
        <v>0.38</v>
      </c>
      <c r="C21" s="3" t="s">
        <v>414</v>
      </c>
      <c r="D21" s="2" t="s">
        <v>448</v>
      </c>
      <c r="J21" s="3" t="s">
        <v>449</v>
      </c>
      <c r="K21" s="12">
        <v>0.38</v>
      </c>
    </row>
    <row r="22" spans="1:11" ht="26.4">
      <c r="A22" s="2" t="s">
        <v>257</v>
      </c>
      <c r="B22" s="12">
        <v>0.41</v>
      </c>
      <c r="C22" s="3" t="s">
        <v>445</v>
      </c>
      <c r="D22" s="3" t="s">
        <v>450</v>
      </c>
      <c r="J22" s="3" t="s">
        <v>451</v>
      </c>
      <c r="K22" s="12">
        <v>0.41</v>
      </c>
    </row>
    <row r="23" spans="1:11" ht="26.4">
      <c r="A23" s="2" t="s">
        <v>259</v>
      </c>
      <c r="B23" s="12">
        <v>0.54</v>
      </c>
      <c r="C23" s="3" t="s">
        <v>389</v>
      </c>
      <c r="D23" s="3" t="s">
        <v>452</v>
      </c>
      <c r="J23" s="3" t="s">
        <v>453</v>
      </c>
      <c r="K23" s="12">
        <v>0.54</v>
      </c>
    </row>
    <row r="24" spans="1:11" ht="26.4">
      <c r="A24" s="2" t="s">
        <v>261</v>
      </c>
      <c r="B24" s="12">
        <v>0.74</v>
      </c>
      <c r="C24" s="3" t="s">
        <v>409</v>
      </c>
      <c r="D24" s="3" t="s">
        <v>454</v>
      </c>
      <c r="J24" s="3" t="s">
        <v>455</v>
      </c>
      <c r="K24" s="12">
        <v>0.74</v>
      </c>
    </row>
    <row r="25" spans="1:11" ht="26.4">
      <c r="A25" s="2" t="s">
        <v>263</v>
      </c>
      <c r="B25" s="12">
        <v>0.71</v>
      </c>
      <c r="C25" s="3" t="s">
        <v>409</v>
      </c>
      <c r="D25" s="3" t="s">
        <v>456</v>
      </c>
      <c r="J25" s="3" t="s">
        <v>457</v>
      </c>
      <c r="K25" s="12">
        <v>0.71</v>
      </c>
    </row>
    <row r="26" spans="1:11" ht="26.4">
      <c r="A26" s="2" t="s">
        <v>265</v>
      </c>
      <c r="B26" s="12">
        <v>0.78</v>
      </c>
      <c r="C26" s="3" t="s">
        <v>458</v>
      </c>
      <c r="D26" s="2" t="s">
        <v>459</v>
      </c>
      <c r="J26" s="3" t="s">
        <v>460</v>
      </c>
      <c r="K26" s="12">
        <v>0.78</v>
      </c>
    </row>
    <row r="27" spans="1:11" ht="26.4">
      <c r="A27" s="2" t="s">
        <v>267</v>
      </c>
      <c r="B27" s="12">
        <v>0.75</v>
      </c>
      <c r="C27" s="3" t="s">
        <v>409</v>
      </c>
      <c r="D27" s="3" t="s">
        <v>461</v>
      </c>
      <c r="J27" s="3" t="s">
        <v>462</v>
      </c>
      <c r="K27" s="12">
        <v>0.75</v>
      </c>
    </row>
  </sheetData>
  <mergeCells count="1">
    <mergeCell ref="A1:H1"/>
  </mergeCells>
  <phoneticPr fontId="19" type="noConversion"/>
  <hyperlinks>
    <hyperlink ref="H3" r:id="rId1" location="Dashboard!A1" xr:uid="{00000000-0004-0000-12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4" customWidth="1"/>
    <col min="2" max="2" width="13" customWidth="1"/>
    <col min="3" max="3" width="16" customWidth="1"/>
    <col min="4" max="4" width="11" customWidth="1"/>
    <col min="5" max="5" width="12" customWidth="1"/>
    <col min="6" max="6" width="11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7" t="s">
        <v>120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41</v>
      </c>
      <c r="C3" s="1" t="s">
        <v>171</v>
      </c>
      <c r="D3" s="3" t="s">
        <v>116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12">
        <v>0.25700000000000001</v>
      </c>
      <c r="E4" s="1" t="s">
        <v>51</v>
      </c>
      <c r="F4" s="12">
        <v>0.29699999999999999</v>
      </c>
    </row>
    <row r="7" spans="1:11" ht="26.4">
      <c r="A7" s="6" t="s">
        <v>209</v>
      </c>
      <c r="B7" s="6" t="s">
        <v>403</v>
      </c>
      <c r="C7" s="6" t="s">
        <v>404</v>
      </c>
      <c r="D7" s="6" t="s">
        <v>405</v>
      </c>
      <c r="E7" s="6" t="s">
        <v>406</v>
      </c>
      <c r="J7" s="7" t="s">
        <v>179</v>
      </c>
      <c r="K7" s="7" t="s">
        <v>180</v>
      </c>
    </row>
    <row r="8" spans="1:11" ht="26.4">
      <c r="A8" s="2" t="s">
        <v>238</v>
      </c>
      <c r="B8" s="12">
        <v>0.48499999999999999</v>
      </c>
      <c r="C8" s="12">
        <v>0.221</v>
      </c>
      <c r="D8" s="12">
        <v>0.26400000000000001</v>
      </c>
      <c r="E8" s="3" t="s">
        <v>407</v>
      </c>
      <c r="J8" s="3" t="s">
        <v>407</v>
      </c>
      <c r="K8" s="12">
        <v>0.26400000000000001</v>
      </c>
    </row>
    <row r="9" spans="1:11" ht="14.4">
      <c r="A9" s="2" t="s">
        <v>239</v>
      </c>
      <c r="B9" s="12">
        <v>0.42199999999999999</v>
      </c>
      <c r="C9" s="12">
        <v>0.25800000000000001</v>
      </c>
      <c r="D9" s="12">
        <v>0.16400000000000001</v>
      </c>
      <c r="E9" s="3" t="s">
        <v>408</v>
      </c>
      <c r="J9" s="3" t="s">
        <v>408</v>
      </c>
      <c r="K9" s="12">
        <v>0.16400000000000001</v>
      </c>
    </row>
    <row r="10" spans="1:11" ht="26.4">
      <c r="A10" s="2" t="s">
        <v>224</v>
      </c>
      <c r="B10" s="12">
        <v>0.44500000000000001</v>
      </c>
      <c r="C10" s="12">
        <v>0.24199999999999999</v>
      </c>
      <c r="D10" s="12">
        <v>0.20300000000000001</v>
      </c>
      <c r="E10" s="3" t="s">
        <v>409</v>
      </c>
      <c r="J10" s="14" t="s">
        <v>186</v>
      </c>
      <c r="K10" s="15" t="s">
        <v>187</v>
      </c>
    </row>
    <row r="11" spans="1:11" ht="26.4">
      <c r="A11" s="2" t="s">
        <v>240</v>
      </c>
      <c r="B11" s="12">
        <v>0.46800000000000003</v>
      </c>
      <c r="C11" s="12">
        <v>0.215</v>
      </c>
      <c r="D11" s="12">
        <v>0.253</v>
      </c>
      <c r="E11" s="3" t="s">
        <v>409</v>
      </c>
      <c r="J11" s="14" t="s">
        <v>189</v>
      </c>
      <c r="K11" s="15" t="s">
        <v>190</v>
      </c>
    </row>
    <row r="12" spans="1:11" ht="14.4">
      <c r="A12" s="2" t="s">
        <v>241</v>
      </c>
      <c r="B12" s="12">
        <v>0.45200000000000001</v>
      </c>
      <c r="C12" s="12">
        <v>0.23499999999999999</v>
      </c>
      <c r="D12" s="12">
        <v>0.217</v>
      </c>
      <c r="E12" s="3" t="s">
        <v>409</v>
      </c>
      <c r="J12" s="3" t="s">
        <v>409</v>
      </c>
      <c r="K12" s="12">
        <v>0.217</v>
      </c>
    </row>
    <row r="13" spans="1:11" ht="14.4">
      <c r="A13" s="2" t="s">
        <v>222</v>
      </c>
      <c r="B13" s="12">
        <v>0.39500000000000002</v>
      </c>
      <c r="C13" s="12">
        <v>0.28199999999999997</v>
      </c>
      <c r="D13" s="12">
        <v>0.113</v>
      </c>
      <c r="E13" s="3" t="s">
        <v>408</v>
      </c>
      <c r="J13" s="3" t="s">
        <v>408</v>
      </c>
      <c r="K13" s="12">
        <v>0.113</v>
      </c>
    </row>
    <row r="14" spans="1:11" ht="14.4">
      <c r="A14" s="2" t="s">
        <v>242</v>
      </c>
      <c r="B14" s="12">
        <v>0.38200000000000001</v>
      </c>
      <c r="C14" s="12">
        <v>0.30499999999999999</v>
      </c>
      <c r="D14" s="12">
        <v>7.6999999999999999E-2</v>
      </c>
      <c r="E14" s="3" t="s">
        <v>410</v>
      </c>
      <c r="J14" s="3" t="s">
        <v>410</v>
      </c>
      <c r="K14" s="12">
        <v>7.6999999999999999E-2</v>
      </c>
    </row>
    <row r="15" spans="1:11" ht="14.4">
      <c r="A15" s="2" t="s">
        <v>244</v>
      </c>
      <c r="B15" s="12">
        <v>0.441</v>
      </c>
      <c r="C15" s="12">
        <v>0.248</v>
      </c>
      <c r="D15" s="12">
        <v>0.193</v>
      </c>
      <c r="E15" s="3" t="s">
        <v>408</v>
      </c>
      <c r="J15" s="3" t="s">
        <v>408</v>
      </c>
      <c r="K15" s="12">
        <v>0.193</v>
      </c>
    </row>
    <row r="16" spans="1:11" ht="14.4">
      <c r="A16" s="2" t="s">
        <v>246</v>
      </c>
      <c r="B16" s="12">
        <v>0.41499999999999998</v>
      </c>
      <c r="C16" s="12">
        <v>0.26200000000000001</v>
      </c>
      <c r="D16" s="12">
        <v>0.153</v>
      </c>
      <c r="E16" s="3" t="s">
        <v>408</v>
      </c>
      <c r="J16" s="3" t="s">
        <v>408</v>
      </c>
      <c r="K16" s="12">
        <v>0.153</v>
      </c>
    </row>
    <row r="17" spans="1:11" ht="14.4">
      <c r="A17" s="2" t="s">
        <v>248</v>
      </c>
      <c r="B17" s="12">
        <v>0.36799999999999999</v>
      </c>
      <c r="C17" s="12">
        <v>0.32500000000000001</v>
      </c>
      <c r="D17" s="12">
        <v>4.2999999999999997E-2</v>
      </c>
      <c r="E17" s="3" t="s">
        <v>389</v>
      </c>
      <c r="J17" s="3" t="s">
        <v>389</v>
      </c>
      <c r="K17" s="12">
        <v>4.2999999999999997E-2</v>
      </c>
    </row>
    <row r="18" spans="1:11" ht="14.4">
      <c r="A18" s="2" t="s">
        <v>220</v>
      </c>
      <c r="B18" s="12">
        <v>0.32400000000000001</v>
      </c>
      <c r="C18" s="12">
        <v>0.35799999999999998</v>
      </c>
      <c r="D18" s="12">
        <v>-3.4000000000000002E-2</v>
      </c>
      <c r="E18" s="3" t="s">
        <v>411</v>
      </c>
      <c r="J18" s="3" t="s">
        <v>411</v>
      </c>
      <c r="K18" s="12">
        <v>-3.4000000000000002E-2</v>
      </c>
    </row>
    <row r="19" spans="1:11" ht="14.4">
      <c r="A19" s="2" t="s">
        <v>251</v>
      </c>
      <c r="B19" s="12">
        <v>0.245</v>
      </c>
      <c r="C19" s="12">
        <v>0.42199999999999999</v>
      </c>
      <c r="D19" s="12">
        <v>-0.17699999999999999</v>
      </c>
      <c r="E19" s="3" t="s">
        <v>412</v>
      </c>
      <c r="J19" s="3" t="s">
        <v>412</v>
      </c>
      <c r="K19" s="12">
        <v>-0.17699999999999999</v>
      </c>
    </row>
    <row r="20" spans="1:11" ht="26.4">
      <c r="A20" s="2" t="s">
        <v>253</v>
      </c>
      <c r="B20" s="12">
        <v>0.22800000000000001</v>
      </c>
      <c r="C20" s="12">
        <v>0.48499999999999999</v>
      </c>
      <c r="D20" s="12">
        <v>-0.25700000000000001</v>
      </c>
      <c r="E20" s="3" t="s">
        <v>413</v>
      </c>
      <c r="J20" s="3" t="s">
        <v>413</v>
      </c>
      <c r="K20" s="12">
        <v>-0.25700000000000001</v>
      </c>
    </row>
    <row r="21" spans="1:11" ht="26.4">
      <c r="A21" s="2" t="s">
        <v>255</v>
      </c>
      <c r="B21" s="12">
        <v>0.215</v>
      </c>
      <c r="C21" s="12">
        <v>0.52200000000000002</v>
      </c>
      <c r="D21" s="12">
        <v>-0.307</v>
      </c>
      <c r="E21" s="3" t="s">
        <v>414</v>
      </c>
      <c r="J21" s="3" t="s">
        <v>414</v>
      </c>
      <c r="K21" s="12">
        <v>-0.307</v>
      </c>
    </row>
    <row r="22" spans="1:11" ht="26.4">
      <c r="A22" s="2" t="s">
        <v>257</v>
      </c>
      <c r="B22" s="12">
        <v>0.20200000000000001</v>
      </c>
      <c r="C22" s="12">
        <v>0.54500000000000004</v>
      </c>
      <c r="D22" s="12">
        <v>-0.34300000000000003</v>
      </c>
      <c r="E22" s="3" t="s">
        <v>413</v>
      </c>
      <c r="J22" s="3" t="s">
        <v>413</v>
      </c>
      <c r="K22" s="12">
        <v>-0.34300000000000003</v>
      </c>
    </row>
    <row r="23" spans="1:11" ht="14.4">
      <c r="A23" s="2" t="s">
        <v>259</v>
      </c>
      <c r="B23" s="12">
        <v>0.254</v>
      </c>
      <c r="C23" s="12">
        <v>0.40799999999999997</v>
      </c>
      <c r="D23" s="12">
        <v>-0.154</v>
      </c>
      <c r="E23" s="3" t="s">
        <v>415</v>
      </c>
      <c r="J23" s="3" t="s">
        <v>415</v>
      </c>
      <c r="K23" s="12">
        <v>-0.154</v>
      </c>
    </row>
    <row r="24" spans="1:11" ht="14.4">
      <c r="A24" s="2" t="s">
        <v>261</v>
      </c>
      <c r="B24" s="12">
        <v>0.41199999999999998</v>
      </c>
      <c r="C24" s="12">
        <v>0.28499999999999998</v>
      </c>
      <c r="D24" s="12">
        <v>0.127</v>
      </c>
      <c r="E24" s="3" t="s">
        <v>408</v>
      </c>
      <c r="J24" s="3" t="s">
        <v>408</v>
      </c>
      <c r="K24" s="12">
        <v>0.127</v>
      </c>
    </row>
    <row r="25" spans="1:11" ht="14.4">
      <c r="A25" s="2" t="s">
        <v>263</v>
      </c>
      <c r="B25" s="12">
        <v>0.38500000000000001</v>
      </c>
      <c r="C25" s="12">
        <v>0.30199999999999999</v>
      </c>
      <c r="D25" s="12">
        <v>8.3000000000000004E-2</v>
      </c>
      <c r="E25" s="3" t="s">
        <v>410</v>
      </c>
      <c r="J25" s="3" t="s">
        <v>410</v>
      </c>
      <c r="K25" s="12">
        <v>8.3000000000000004E-2</v>
      </c>
    </row>
    <row r="26" spans="1:11" ht="14.4">
      <c r="A26" s="2" t="s">
        <v>265</v>
      </c>
      <c r="B26" s="12">
        <v>0.505</v>
      </c>
      <c r="C26" s="12">
        <v>0.20799999999999999</v>
      </c>
      <c r="D26" s="12">
        <v>0.29699999999999999</v>
      </c>
      <c r="E26" s="3" t="s">
        <v>416</v>
      </c>
      <c r="J26" s="3" t="s">
        <v>416</v>
      </c>
      <c r="K26" s="12">
        <v>0.29699999999999999</v>
      </c>
    </row>
    <row r="27" spans="1:11" ht="14.4">
      <c r="A27" s="2" t="s">
        <v>267</v>
      </c>
      <c r="B27" s="12">
        <v>0.48199999999999998</v>
      </c>
      <c r="C27" s="12">
        <v>0.22500000000000001</v>
      </c>
      <c r="D27" s="12">
        <v>0.25700000000000001</v>
      </c>
      <c r="E27" s="3" t="s">
        <v>416</v>
      </c>
      <c r="J27" s="3" t="s">
        <v>416</v>
      </c>
      <c r="K27" s="12">
        <v>0.25700000000000001</v>
      </c>
    </row>
  </sheetData>
  <mergeCells count="1">
    <mergeCell ref="A1:H1"/>
  </mergeCells>
  <phoneticPr fontId="19" type="noConversion"/>
  <hyperlinks>
    <hyperlink ref="H3" r:id="rId1" location="Dashboard!A1" xr:uid="{00000000-0004-0000-13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3" customWidth="1"/>
    <col min="3" max="3" width="16" customWidth="1"/>
    <col min="4" max="6" width="11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5" t="s">
        <v>463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39</v>
      </c>
      <c r="C3" s="1" t="s">
        <v>171</v>
      </c>
      <c r="D3" s="2" t="s">
        <v>122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871</v>
      </c>
      <c r="E4" s="1" t="s">
        <v>51</v>
      </c>
      <c r="F4" s="5">
        <v>820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J7" s="7" t="s">
        <v>179</v>
      </c>
      <c r="K7" s="7" t="s">
        <v>180</v>
      </c>
    </row>
    <row r="8" spans="1:11" ht="26.4">
      <c r="A8" s="8">
        <v>2021</v>
      </c>
      <c r="B8" s="8">
        <v>1122</v>
      </c>
      <c r="C8" s="8">
        <v>852</v>
      </c>
      <c r="D8" s="8">
        <v>215</v>
      </c>
      <c r="E8" s="8">
        <v>406</v>
      </c>
      <c r="J8" s="2" t="s">
        <v>182</v>
      </c>
      <c r="K8" s="8">
        <v>1122</v>
      </c>
    </row>
    <row r="9" spans="1:11" ht="26.4">
      <c r="A9" s="8">
        <v>2022</v>
      </c>
      <c r="B9" s="8">
        <v>628</v>
      </c>
      <c r="C9" s="8">
        <v>757</v>
      </c>
      <c r="D9" s="8">
        <v>636</v>
      </c>
      <c r="E9" s="8">
        <v>447</v>
      </c>
      <c r="J9" s="2" t="s">
        <v>184</v>
      </c>
      <c r="K9" s="5">
        <v>852</v>
      </c>
    </row>
    <row r="10" spans="1:11" ht="26.4">
      <c r="A10" s="8">
        <v>2023</v>
      </c>
      <c r="B10" s="8">
        <v>178</v>
      </c>
      <c r="C10" s="8">
        <v>402</v>
      </c>
      <c r="D10" s="8">
        <v>661</v>
      </c>
      <c r="E10" s="8">
        <v>769</v>
      </c>
      <c r="J10" s="14" t="s">
        <v>186</v>
      </c>
      <c r="K10" s="10" t="s">
        <v>187</v>
      </c>
    </row>
    <row r="11" spans="1:11" ht="26.4">
      <c r="A11" s="8">
        <v>2024</v>
      </c>
      <c r="B11" s="8">
        <v>745</v>
      </c>
      <c r="C11" s="8">
        <v>755</v>
      </c>
      <c r="D11" s="8">
        <v>818</v>
      </c>
      <c r="E11" s="8">
        <v>702</v>
      </c>
      <c r="J11" s="14" t="s">
        <v>189</v>
      </c>
      <c r="K11" s="10" t="s">
        <v>190</v>
      </c>
    </row>
    <row r="12" spans="1:11" ht="26.4">
      <c r="A12" s="8">
        <v>2025</v>
      </c>
      <c r="B12" s="2" t="s">
        <v>231</v>
      </c>
      <c r="C12" s="8">
        <v>650</v>
      </c>
      <c r="D12" s="8">
        <v>835</v>
      </c>
      <c r="E12" s="8">
        <v>820</v>
      </c>
      <c r="J12" s="2" t="s">
        <v>192</v>
      </c>
      <c r="K12" s="5">
        <v>628</v>
      </c>
    </row>
    <row r="13" spans="1:11" ht="26.4">
      <c r="A13" s="8">
        <v>2026</v>
      </c>
      <c r="B13" s="2" t="s">
        <v>232</v>
      </c>
      <c r="C13" s="2" t="s">
        <v>233</v>
      </c>
      <c r="D13" s="2" t="s">
        <v>233</v>
      </c>
      <c r="E13" s="2" t="s">
        <v>233</v>
      </c>
      <c r="J13" s="2" t="s">
        <v>193</v>
      </c>
      <c r="K13" s="5">
        <v>757</v>
      </c>
    </row>
    <row r="14" spans="1:11" ht="26.4">
      <c r="J14" s="2" t="s">
        <v>194</v>
      </c>
      <c r="K14" s="5">
        <v>636</v>
      </c>
    </row>
    <row r="15" spans="1:11" ht="26.4">
      <c r="J15" s="2" t="s">
        <v>195</v>
      </c>
      <c r="K15" s="5">
        <v>447</v>
      </c>
    </row>
    <row r="16" spans="1:11" ht="26.4">
      <c r="J16" s="2" t="s">
        <v>196</v>
      </c>
      <c r="K16" s="5">
        <v>178</v>
      </c>
    </row>
    <row r="17" spans="10:11" ht="26.4">
      <c r="J17" s="2" t="s">
        <v>197</v>
      </c>
      <c r="K17" s="5">
        <v>402</v>
      </c>
    </row>
    <row r="18" spans="10:11" ht="26.4">
      <c r="J18" s="2" t="s">
        <v>198</v>
      </c>
      <c r="K18" s="5">
        <v>661</v>
      </c>
    </row>
    <row r="19" spans="10:11" ht="26.4">
      <c r="J19" s="2" t="s">
        <v>199</v>
      </c>
      <c r="K19" s="5">
        <v>769</v>
      </c>
    </row>
    <row r="20" spans="10:11" ht="26.4">
      <c r="J20" s="2" t="s">
        <v>200</v>
      </c>
      <c r="K20" s="5">
        <v>745</v>
      </c>
    </row>
    <row r="21" spans="10:11" ht="26.4">
      <c r="J21" s="2" t="s">
        <v>201</v>
      </c>
      <c r="K21" s="5">
        <v>755</v>
      </c>
    </row>
    <row r="22" spans="10:11" ht="26.4">
      <c r="J22" s="2" t="s">
        <v>202</v>
      </c>
      <c r="K22" s="5">
        <v>818</v>
      </c>
    </row>
    <row r="23" spans="10:11" ht="26.4">
      <c r="J23" s="2" t="s">
        <v>203</v>
      </c>
      <c r="K23" s="5">
        <v>702</v>
      </c>
    </row>
    <row r="24" spans="10:11" ht="26.4">
      <c r="J24" s="2" t="s">
        <v>204</v>
      </c>
      <c r="K24" s="5">
        <v>325</v>
      </c>
    </row>
    <row r="25" spans="10:11" ht="26.4">
      <c r="J25" s="2" t="s">
        <v>205</v>
      </c>
      <c r="K25" s="5">
        <v>650</v>
      </c>
    </row>
    <row r="26" spans="10:11" ht="26.4">
      <c r="J26" s="2" t="s">
        <v>206</v>
      </c>
      <c r="K26" s="5">
        <v>835</v>
      </c>
    </row>
    <row r="27" spans="10:11" ht="26.4">
      <c r="J27" s="2" t="s">
        <v>207</v>
      </c>
      <c r="K27" s="5">
        <v>820</v>
      </c>
    </row>
    <row r="28" spans="10:11" ht="26.4">
      <c r="J28" s="2" t="s">
        <v>234</v>
      </c>
      <c r="K28" s="5">
        <v>871</v>
      </c>
    </row>
  </sheetData>
  <mergeCells count="1">
    <mergeCell ref="A1:H1"/>
  </mergeCells>
  <phoneticPr fontId="19" type="noConversion"/>
  <hyperlinks>
    <hyperlink ref="H3" r:id="rId1" location="Dashboard!A1" xr:uid="{00000000-0004-0000-14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5" customWidth="1"/>
    <col min="2" max="2" width="14" customWidth="1"/>
    <col min="3" max="3" width="16" customWidth="1"/>
    <col min="4" max="4" width="24" customWidth="1"/>
    <col min="5" max="5" width="11" customWidth="1"/>
    <col min="6" max="7" width="8" customWidth="1"/>
    <col min="8" max="8" width="19" customWidth="1"/>
    <col min="9" max="9" width="8" customWidth="1"/>
    <col min="10" max="10" width="13" customWidth="1"/>
    <col min="11" max="11" width="24" customWidth="1"/>
  </cols>
  <sheetData>
    <row r="1" spans="1:11" ht="24" customHeight="1">
      <c r="A1" s="35" t="s">
        <v>464</v>
      </c>
      <c r="B1" s="35"/>
      <c r="C1" s="35"/>
      <c r="D1" s="35"/>
      <c r="E1" s="35"/>
      <c r="F1" s="35"/>
      <c r="G1" s="35"/>
      <c r="H1" s="35"/>
    </row>
    <row r="3" spans="1:11" ht="14.4">
      <c r="A3" s="1" t="s">
        <v>64</v>
      </c>
      <c r="B3" s="2" t="s">
        <v>39</v>
      </c>
      <c r="C3" s="1" t="s">
        <v>171</v>
      </c>
      <c r="D3" s="3" t="s">
        <v>126</v>
      </c>
      <c r="E3" s="1" t="s">
        <v>66</v>
      </c>
      <c r="F3" s="2" t="s">
        <v>127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18</v>
      </c>
      <c r="E4" s="1" t="s">
        <v>51</v>
      </c>
      <c r="F4" s="5">
        <v>16</v>
      </c>
    </row>
    <row r="7" spans="1:11" ht="26.4">
      <c r="A7" s="6" t="s">
        <v>465</v>
      </c>
      <c r="B7" s="6" t="s">
        <v>466</v>
      </c>
      <c r="C7" s="6" t="s">
        <v>467</v>
      </c>
      <c r="D7" s="6" t="s">
        <v>468</v>
      </c>
      <c r="J7" s="7" t="s">
        <v>179</v>
      </c>
      <c r="K7" s="7" t="s">
        <v>180</v>
      </c>
    </row>
    <row r="8" spans="1:11" ht="39.6">
      <c r="A8" s="2" t="s">
        <v>469</v>
      </c>
      <c r="B8" s="2" t="s">
        <v>470</v>
      </c>
      <c r="C8" s="8">
        <v>-6</v>
      </c>
      <c r="D8" s="3" t="s">
        <v>471</v>
      </c>
      <c r="J8" s="2" t="s">
        <v>215</v>
      </c>
      <c r="K8" s="5">
        <v>-6</v>
      </c>
    </row>
    <row r="9" spans="1:11" ht="39.6">
      <c r="A9" s="2" t="s">
        <v>472</v>
      </c>
      <c r="B9" s="2" t="s">
        <v>473</v>
      </c>
      <c r="C9" s="8">
        <v>1</v>
      </c>
      <c r="D9" s="3" t="s">
        <v>474</v>
      </c>
      <c r="J9" s="2" t="s">
        <v>219</v>
      </c>
      <c r="K9" s="5">
        <v>1</v>
      </c>
    </row>
    <row r="10" spans="1:11" ht="39.6">
      <c r="A10" s="2" t="s">
        <v>475</v>
      </c>
      <c r="B10" s="2" t="s">
        <v>476</v>
      </c>
      <c r="C10" s="8">
        <v>8</v>
      </c>
      <c r="D10" s="3" t="s">
        <v>477</v>
      </c>
      <c r="J10" s="14" t="s">
        <v>186</v>
      </c>
      <c r="K10" s="10" t="s">
        <v>187</v>
      </c>
    </row>
    <row r="11" spans="1:11" ht="39.6">
      <c r="A11" s="2" t="s">
        <v>478</v>
      </c>
      <c r="B11" s="2" t="s">
        <v>479</v>
      </c>
      <c r="C11" s="8">
        <v>11</v>
      </c>
      <c r="D11" s="3" t="s">
        <v>480</v>
      </c>
      <c r="J11" s="14" t="s">
        <v>189</v>
      </c>
      <c r="K11" s="10" t="s">
        <v>190</v>
      </c>
    </row>
    <row r="12" spans="1:11" ht="39.6">
      <c r="A12" s="2" t="s">
        <v>481</v>
      </c>
      <c r="B12" s="2" t="s">
        <v>482</v>
      </c>
      <c r="C12" s="8">
        <v>4</v>
      </c>
      <c r="D12" s="3" t="s">
        <v>483</v>
      </c>
      <c r="J12" s="2" t="s">
        <v>226</v>
      </c>
      <c r="K12" s="5">
        <v>4</v>
      </c>
    </row>
    <row r="13" spans="1:11" ht="39.6">
      <c r="A13" s="2" t="s">
        <v>484</v>
      </c>
      <c r="B13" s="2" t="s">
        <v>485</v>
      </c>
      <c r="C13" s="8">
        <v>12</v>
      </c>
      <c r="D13" s="3" t="s">
        <v>486</v>
      </c>
      <c r="J13" s="2" t="s">
        <v>229</v>
      </c>
      <c r="K13" s="5">
        <v>12</v>
      </c>
    </row>
    <row r="14" spans="1:11" ht="39.6">
      <c r="A14" s="2" t="s">
        <v>487</v>
      </c>
      <c r="B14" s="2" t="s">
        <v>488</v>
      </c>
      <c r="C14" s="8">
        <v>3</v>
      </c>
      <c r="D14" s="3" t="s">
        <v>489</v>
      </c>
      <c r="J14" s="2" t="s">
        <v>243</v>
      </c>
      <c r="K14" s="5">
        <v>3</v>
      </c>
    </row>
    <row r="15" spans="1:11" ht="39.6">
      <c r="A15" s="2" t="s">
        <v>490</v>
      </c>
      <c r="B15" s="2" t="s">
        <v>491</v>
      </c>
      <c r="C15" s="8">
        <v>14</v>
      </c>
      <c r="D15" s="3" t="s">
        <v>492</v>
      </c>
      <c r="J15" s="2" t="s">
        <v>245</v>
      </c>
      <c r="K15" s="5">
        <v>14</v>
      </c>
    </row>
    <row r="16" spans="1:11" ht="39.6">
      <c r="A16" s="2" t="s">
        <v>493</v>
      </c>
      <c r="B16" s="2" t="s">
        <v>494</v>
      </c>
      <c r="C16" s="8">
        <v>16</v>
      </c>
      <c r="D16" s="3" t="s">
        <v>495</v>
      </c>
      <c r="J16" s="2" t="s">
        <v>247</v>
      </c>
      <c r="K16" s="5">
        <v>16</v>
      </c>
    </row>
    <row r="17" spans="1:11" ht="39.6">
      <c r="A17" s="2" t="s">
        <v>496</v>
      </c>
      <c r="B17" s="2" t="s">
        <v>497</v>
      </c>
      <c r="C17" s="8">
        <v>18</v>
      </c>
      <c r="D17" s="3" t="s">
        <v>498</v>
      </c>
      <c r="J17" s="2" t="s">
        <v>249</v>
      </c>
      <c r="K17" s="5">
        <v>18</v>
      </c>
    </row>
  </sheetData>
  <mergeCells count="1">
    <mergeCell ref="A1:H1"/>
  </mergeCells>
  <phoneticPr fontId="19" type="noConversion"/>
  <hyperlinks>
    <hyperlink ref="H3" r:id="rId1" location="Dashboard!A1" xr:uid="{00000000-0004-0000-15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1" customWidth="1"/>
    <col min="2" max="2" width="14" customWidth="1"/>
    <col min="3" max="3" width="16" customWidth="1"/>
    <col min="4" max="4" width="21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5" t="s">
        <v>128</v>
      </c>
      <c r="B1" s="35"/>
      <c r="C1" s="35"/>
      <c r="D1" s="35"/>
      <c r="E1" s="35"/>
      <c r="F1" s="35"/>
      <c r="G1" s="35"/>
      <c r="H1" s="35"/>
    </row>
    <row r="3" spans="1:11" ht="14.4">
      <c r="A3" s="1" t="s">
        <v>64</v>
      </c>
      <c r="B3" s="2" t="s">
        <v>39</v>
      </c>
      <c r="C3" s="1" t="s">
        <v>171</v>
      </c>
      <c r="D3" s="2" t="s">
        <v>128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0.12</v>
      </c>
      <c r="E4" s="1" t="s">
        <v>51</v>
      </c>
      <c r="F4" s="12">
        <v>0.15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499</v>
      </c>
      <c r="J7" s="7" t="s">
        <v>179</v>
      </c>
      <c r="K7" s="7" t="s">
        <v>180</v>
      </c>
    </row>
    <row r="8" spans="1:11" ht="39.6">
      <c r="A8" s="8">
        <v>2021</v>
      </c>
      <c r="B8" s="12">
        <v>0.04</v>
      </c>
      <c r="C8" s="12">
        <v>0.05</v>
      </c>
      <c r="D8" s="12">
        <v>0.04</v>
      </c>
      <c r="E8" s="12">
        <v>0.06</v>
      </c>
      <c r="F8" s="3" t="s">
        <v>500</v>
      </c>
      <c r="J8" s="2" t="s">
        <v>501</v>
      </c>
      <c r="K8" s="12">
        <v>0.04</v>
      </c>
    </row>
    <row r="9" spans="1:11" ht="39.6">
      <c r="A9" s="8">
        <v>2022</v>
      </c>
      <c r="B9" s="12">
        <v>0.08</v>
      </c>
      <c r="C9" s="12">
        <v>0.22</v>
      </c>
      <c r="D9" s="12">
        <v>0.28000000000000003</v>
      </c>
      <c r="E9" s="12">
        <v>0.25</v>
      </c>
      <c r="F9" s="3" t="s">
        <v>502</v>
      </c>
      <c r="J9" s="2" t="s">
        <v>503</v>
      </c>
      <c r="K9" s="12">
        <v>0.05</v>
      </c>
    </row>
    <row r="10" spans="1:11" ht="26.4">
      <c r="A10" s="8">
        <v>2023</v>
      </c>
      <c r="B10" s="12">
        <v>0.35</v>
      </c>
      <c r="C10" s="12">
        <v>0.42</v>
      </c>
      <c r="D10" s="12">
        <v>0.48</v>
      </c>
      <c r="E10" s="12">
        <v>0.4</v>
      </c>
      <c r="F10" s="3" t="s">
        <v>504</v>
      </c>
      <c r="J10" s="14" t="s">
        <v>186</v>
      </c>
      <c r="K10" s="15" t="s">
        <v>187</v>
      </c>
    </row>
    <row r="11" spans="1:11" ht="26.4">
      <c r="A11" s="8">
        <v>2024</v>
      </c>
      <c r="B11" s="12">
        <v>0.45</v>
      </c>
      <c r="C11" s="12">
        <v>0.43</v>
      </c>
      <c r="D11" s="12">
        <v>0.32</v>
      </c>
      <c r="E11" s="12">
        <v>0.35</v>
      </c>
      <c r="F11" s="3" t="s">
        <v>505</v>
      </c>
      <c r="J11" s="14" t="s">
        <v>189</v>
      </c>
      <c r="K11" s="15" t="s">
        <v>190</v>
      </c>
    </row>
    <row r="12" spans="1:11" ht="26.4">
      <c r="A12" s="8">
        <v>2025</v>
      </c>
      <c r="B12" s="12">
        <v>0.28000000000000003</v>
      </c>
      <c r="C12" s="12">
        <v>0.25</v>
      </c>
      <c r="D12" s="12">
        <v>0.18</v>
      </c>
      <c r="E12" s="12">
        <v>0.15</v>
      </c>
      <c r="F12" s="3" t="s">
        <v>506</v>
      </c>
      <c r="J12" s="2" t="s">
        <v>192</v>
      </c>
      <c r="K12" s="12">
        <v>0.08</v>
      </c>
    </row>
    <row r="13" spans="1:11" ht="26.4">
      <c r="A13" s="8">
        <v>2026</v>
      </c>
      <c r="B13" s="12">
        <v>0.12</v>
      </c>
      <c r="C13" s="2" t="s">
        <v>233</v>
      </c>
      <c r="D13" s="2" t="s">
        <v>233</v>
      </c>
      <c r="E13" s="2" t="s">
        <v>233</v>
      </c>
      <c r="F13" s="3" t="s">
        <v>507</v>
      </c>
      <c r="J13" s="2" t="s">
        <v>193</v>
      </c>
      <c r="K13" s="12">
        <v>0.22</v>
      </c>
    </row>
    <row r="14" spans="1:11" ht="14.4">
      <c r="J14" s="2" t="s">
        <v>194</v>
      </c>
      <c r="K14" s="12">
        <v>0.28000000000000003</v>
      </c>
    </row>
    <row r="15" spans="1:11" ht="14.4">
      <c r="J15" s="2" t="s">
        <v>195</v>
      </c>
      <c r="K15" s="12">
        <v>0.25</v>
      </c>
    </row>
    <row r="16" spans="1:11" ht="14.4">
      <c r="J16" s="2" t="s">
        <v>196</v>
      </c>
      <c r="K16" s="12">
        <v>0.35</v>
      </c>
    </row>
    <row r="17" spans="10:11" ht="14.4">
      <c r="J17" s="2" t="s">
        <v>197</v>
      </c>
      <c r="K17" s="12">
        <v>0.42</v>
      </c>
    </row>
    <row r="18" spans="10:11" ht="14.4">
      <c r="J18" s="2" t="s">
        <v>198</v>
      </c>
      <c r="K18" s="12">
        <v>0.48</v>
      </c>
    </row>
    <row r="19" spans="10:11" ht="14.4">
      <c r="J19" s="2" t="s">
        <v>199</v>
      </c>
      <c r="K19" s="12">
        <v>0.4</v>
      </c>
    </row>
    <row r="20" spans="10:11" ht="14.4">
      <c r="J20" s="2" t="s">
        <v>200</v>
      </c>
      <c r="K20" s="12">
        <v>0.45</v>
      </c>
    </row>
    <row r="21" spans="10:11" ht="14.4">
      <c r="J21" s="2" t="s">
        <v>201</v>
      </c>
      <c r="K21" s="12">
        <v>0.43</v>
      </c>
    </row>
    <row r="22" spans="10:11" ht="14.4">
      <c r="J22" s="2" t="s">
        <v>202</v>
      </c>
      <c r="K22" s="12">
        <v>0.32</v>
      </c>
    </row>
    <row r="23" spans="10:11" ht="14.4">
      <c r="J23" s="2" t="s">
        <v>203</v>
      </c>
      <c r="K23" s="12">
        <v>0.35</v>
      </c>
    </row>
    <row r="24" spans="10:11" ht="39.6">
      <c r="J24" s="2" t="s">
        <v>508</v>
      </c>
      <c r="K24" s="12">
        <v>0.28000000000000003</v>
      </c>
    </row>
    <row r="25" spans="10:11" ht="39.6">
      <c r="J25" s="2" t="s">
        <v>509</v>
      </c>
      <c r="K25" s="12">
        <v>0.25</v>
      </c>
    </row>
    <row r="26" spans="10:11" ht="39.6">
      <c r="J26" s="2" t="s">
        <v>510</v>
      </c>
      <c r="K26" s="12">
        <v>0.18</v>
      </c>
    </row>
    <row r="27" spans="10:11" ht="39.6">
      <c r="J27" s="2" t="s">
        <v>511</v>
      </c>
      <c r="K27" s="12">
        <v>0.15</v>
      </c>
    </row>
    <row r="28" spans="10:11" ht="39.6">
      <c r="J28" s="2" t="s">
        <v>512</v>
      </c>
      <c r="K28" s="12">
        <v>0.12</v>
      </c>
    </row>
  </sheetData>
  <mergeCells count="1">
    <mergeCell ref="A1:H1"/>
  </mergeCells>
  <phoneticPr fontId="19" type="noConversion"/>
  <hyperlinks>
    <hyperlink ref="H3" r:id="rId1" location="Dashboard!A1" xr:uid="{00000000-0004-0000-16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3" customWidth="1"/>
    <col min="3" max="3" width="16" customWidth="1"/>
    <col min="4" max="4" width="12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7" t="s">
        <v>130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40</v>
      </c>
      <c r="C3" s="1" t="s">
        <v>171</v>
      </c>
      <c r="D3" s="3" t="s">
        <v>130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132</v>
      </c>
      <c r="C4" s="1" t="s">
        <v>50</v>
      </c>
      <c r="D4" s="5">
        <v>97.6</v>
      </c>
      <c r="E4" s="1" t="s">
        <v>51</v>
      </c>
      <c r="F4" s="5">
        <v>97.8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513</v>
      </c>
      <c r="J7" s="7" t="s">
        <v>179</v>
      </c>
      <c r="K7" s="7" t="s">
        <v>180</v>
      </c>
    </row>
    <row r="8" spans="1:11" ht="39.6">
      <c r="A8" s="8">
        <v>2021</v>
      </c>
      <c r="B8" s="5">
        <v>97.2</v>
      </c>
      <c r="C8" s="8">
        <v>97</v>
      </c>
      <c r="D8" s="5">
        <v>97.1</v>
      </c>
      <c r="E8" s="5">
        <v>97.4</v>
      </c>
      <c r="F8" s="3" t="s">
        <v>514</v>
      </c>
      <c r="J8" s="2" t="s">
        <v>182</v>
      </c>
      <c r="K8" s="5">
        <v>97.2</v>
      </c>
    </row>
    <row r="9" spans="1:11" ht="39.6">
      <c r="A9" s="8">
        <v>2022</v>
      </c>
      <c r="B9" s="5">
        <v>98.5</v>
      </c>
      <c r="C9" s="5">
        <v>99.8</v>
      </c>
      <c r="D9" s="5">
        <v>100.1</v>
      </c>
      <c r="E9" s="5">
        <v>100.3</v>
      </c>
      <c r="F9" s="3" t="s">
        <v>515</v>
      </c>
      <c r="J9" s="2" t="s">
        <v>184</v>
      </c>
      <c r="K9" s="5">
        <v>97</v>
      </c>
    </row>
    <row r="10" spans="1:11" ht="39.6">
      <c r="A10" s="8">
        <v>2023</v>
      </c>
      <c r="B10" s="5">
        <v>99.9</v>
      </c>
      <c r="C10" s="5">
        <v>100.2</v>
      </c>
      <c r="D10" s="5">
        <v>100.5</v>
      </c>
      <c r="E10" s="5">
        <v>99.4</v>
      </c>
      <c r="F10" s="3" t="s">
        <v>516</v>
      </c>
      <c r="J10" s="14" t="s">
        <v>186</v>
      </c>
      <c r="K10" s="10" t="s">
        <v>187</v>
      </c>
    </row>
    <row r="11" spans="1:11" ht="39.6">
      <c r="A11" s="8">
        <v>2024</v>
      </c>
      <c r="B11" s="5">
        <v>98.8</v>
      </c>
      <c r="C11" s="5">
        <v>99.2</v>
      </c>
      <c r="D11" s="8">
        <v>99</v>
      </c>
      <c r="E11" s="5">
        <v>98.5</v>
      </c>
      <c r="F11" s="3" t="s">
        <v>517</v>
      </c>
      <c r="J11" s="14" t="s">
        <v>189</v>
      </c>
      <c r="K11" s="10" t="s">
        <v>190</v>
      </c>
    </row>
    <row r="12" spans="1:11" ht="52.8">
      <c r="A12" s="8">
        <v>2025</v>
      </c>
      <c r="B12" s="5">
        <v>99.1</v>
      </c>
      <c r="C12" s="5">
        <v>98.4</v>
      </c>
      <c r="D12" s="8">
        <v>98</v>
      </c>
      <c r="E12" s="5">
        <v>97.8</v>
      </c>
      <c r="F12" s="3" t="s">
        <v>518</v>
      </c>
      <c r="J12" s="2" t="s">
        <v>192</v>
      </c>
      <c r="K12" s="5">
        <v>98.5</v>
      </c>
    </row>
    <row r="13" spans="1:11" ht="39.6">
      <c r="A13" s="8">
        <v>2026</v>
      </c>
      <c r="B13" s="5">
        <v>97.6</v>
      </c>
      <c r="C13" s="2" t="s">
        <v>233</v>
      </c>
      <c r="D13" s="2" t="s">
        <v>233</v>
      </c>
      <c r="E13" s="2" t="s">
        <v>233</v>
      </c>
      <c r="F13" s="3" t="s">
        <v>519</v>
      </c>
      <c r="J13" s="2" t="s">
        <v>193</v>
      </c>
      <c r="K13" s="5">
        <v>99.8</v>
      </c>
    </row>
    <row r="14" spans="1:11" ht="26.4">
      <c r="J14" s="2" t="s">
        <v>194</v>
      </c>
      <c r="K14" s="5">
        <v>100.1</v>
      </c>
    </row>
    <row r="15" spans="1:11" ht="26.4">
      <c r="J15" s="2" t="s">
        <v>195</v>
      </c>
      <c r="K15" s="5">
        <v>100.3</v>
      </c>
    </row>
    <row r="16" spans="1:11" ht="26.4">
      <c r="J16" s="2" t="s">
        <v>196</v>
      </c>
      <c r="K16" s="5">
        <v>99.9</v>
      </c>
    </row>
    <row r="17" spans="10:11" ht="26.4">
      <c r="J17" s="2" t="s">
        <v>197</v>
      </c>
      <c r="K17" s="5">
        <v>100.2</v>
      </c>
    </row>
    <row r="18" spans="10:11" ht="26.4">
      <c r="J18" s="2" t="s">
        <v>198</v>
      </c>
      <c r="K18" s="5">
        <v>100.5</v>
      </c>
    </row>
    <row r="19" spans="10:11" ht="26.4">
      <c r="J19" s="2" t="s">
        <v>199</v>
      </c>
      <c r="K19" s="5">
        <v>99.4</v>
      </c>
    </row>
    <row r="20" spans="10:11" ht="26.4">
      <c r="J20" s="2" t="s">
        <v>200</v>
      </c>
      <c r="K20" s="5">
        <v>98.8</v>
      </c>
    </row>
    <row r="21" spans="10:11" ht="26.4">
      <c r="J21" s="2" t="s">
        <v>201</v>
      </c>
      <c r="K21" s="5">
        <v>99.2</v>
      </c>
    </row>
    <row r="22" spans="10:11" ht="26.4">
      <c r="J22" s="2" t="s">
        <v>202</v>
      </c>
      <c r="K22" s="5">
        <v>99</v>
      </c>
    </row>
    <row r="23" spans="10:11" ht="26.4">
      <c r="J23" s="2" t="s">
        <v>203</v>
      </c>
      <c r="K23" s="5">
        <v>98.5</v>
      </c>
    </row>
    <row r="24" spans="10:11" ht="26.4">
      <c r="J24" s="2" t="s">
        <v>204</v>
      </c>
      <c r="K24" s="5">
        <v>99.1</v>
      </c>
    </row>
    <row r="25" spans="10:11" ht="26.4">
      <c r="J25" s="2" t="s">
        <v>205</v>
      </c>
      <c r="K25" s="5">
        <v>98.4</v>
      </c>
    </row>
    <row r="26" spans="10:11" ht="26.4">
      <c r="J26" s="2" t="s">
        <v>206</v>
      </c>
      <c r="K26" s="5">
        <v>98</v>
      </c>
    </row>
    <row r="27" spans="10:11" ht="26.4">
      <c r="J27" s="2" t="s">
        <v>207</v>
      </c>
      <c r="K27" s="5">
        <v>97.8</v>
      </c>
    </row>
    <row r="28" spans="10:11" ht="26.4">
      <c r="J28" s="2" t="s">
        <v>234</v>
      </c>
      <c r="K28" s="5">
        <v>97.6</v>
      </c>
    </row>
  </sheetData>
  <mergeCells count="1">
    <mergeCell ref="A1:H1"/>
  </mergeCells>
  <phoneticPr fontId="19" type="noConversion"/>
  <hyperlinks>
    <hyperlink ref="H3" r:id="rId1" location="Dashboard!A1" xr:uid="{00000000-0004-0000-17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3" customWidth="1"/>
    <col min="2" max="2" width="14" customWidth="1"/>
    <col min="3" max="3" width="16" customWidth="1"/>
    <col min="4" max="4" width="12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7" t="s">
        <v>134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39</v>
      </c>
      <c r="C3" s="1" t="s">
        <v>171</v>
      </c>
      <c r="D3" s="3" t="s">
        <v>134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0.85</v>
      </c>
      <c r="E4" s="1" t="s">
        <v>51</v>
      </c>
      <c r="F4" s="5">
        <v>1.02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520</v>
      </c>
      <c r="J7" s="7" t="s">
        <v>179</v>
      </c>
      <c r="K7" s="7" t="s">
        <v>180</v>
      </c>
    </row>
    <row r="8" spans="1:11" ht="39.6">
      <c r="A8" s="8">
        <v>2021</v>
      </c>
      <c r="B8" s="5">
        <v>1.25</v>
      </c>
      <c r="C8" s="5">
        <v>1.38</v>
      </c>
      <c r="D8" s="5">
        <v>1.42</v>
      </c>
      <c r="E8" s="5">
        <v>1.1499999999999999</v>
      </c>
      <c r="F8" s="3" t="s">
        <v>521</v>
      </c>
      <c r="J8" s="2" t="s">
        <v>182</v>
      </c>
      <c r="K8" s="5">
        <v>1.25</v>
      </c>
    </row>
    <row r="9" spans="1:11" ht="39.6">
      <c r="A9" s="8">
        <v>2022</v>
      </c>
      <c r="B9" s="12">
        <v>0.45</v>
      </c>
      <c r="C9" s="12">
        <v>-0.65</v>
      </c>
      <c r="D9" s="12">
        <v>-0.88</v>
      </c>
      <c r="E9" s="5">
        <v>-1.1200000000000001</v>
      </c>
      <c r="F9" s="3" t="s">
        <v>522</v>
      </c>
      <c r="J9" s="2" t="s">
        <v>184</v>
      </c>
      <c r="K9" s="5">
        <v>1.38</v>
      </c>
    </row>
    <row r="10" spans="1:11" ht="39.6">
      <c r="A10" s="8">
        <v>2023</v>
      </c>
      <c r="B10" s="12">
        <v>-0.92</v>
      </c>
      <c r="C10" s="12">
        <v>-0.45</v>
      </c>
      <c r="D10" s="12">
        <v>-0.32</v>
      </c>
      <c r="E10" s="12">
        <v>0.25</v>
      </c>
      <c r="F10" s="3" t="s">
        <v>523</v>
      </c>
      <c r="J10" s="14" t="s">
        <v>186</v>
      </c>
      <c r="K10" s="10" t="s">
        <v>187</v>
      </c>
    </row>
    <row r="11" spans="1:11" ht="39.6">
      <c r="A11" s="8">
        <v>2024</v>
      </c>
      <c r="B11" s="12">
        <v>0.48</v>
      </c>
      <c r="C11" s="12">
        <v>0.35</v>
      </c>
      <c r="D11" s="12">
        <v>0.55000000000000004</v>
      </c>
      <c r="E11" s="12">
        <v>0.72</v>
      </c>
      <c r="F11" s="3" t="s">
        <v>524</v>
      </c>
      <c r="J11" s="14" t="s">
        <v>189</v>
      </c>
      <c r="K11" s="10" t="s">
        <v>190</v>
      </c>
    </row>
    <row r="12" spans="1:11" ht="39.6">
      <c r="A12" s="8">
        <v>2025</v>
      </c>
      <c r="B12" s="12">
        <v>0.65</v>
      </c>
      <c r="C12" s="12">
        <v>0.82</v>
      </c>
      <c r="D12" s="12">
        <v>0.95</v>
      </c>
      <c r="E12" s="5">
        <v>1.02</v>
      </c>
      <c r="F12" s="3" t="s">
        <v>525</v>
      </c>
      <c r="J12" s="2" t="s">
        <v>192</v>
      </c>
      <c r="K12" s="12">
        <v>0.45</v>
      </c>
    </row>
    <row r="13" spans="1:11" ht="26.4">
      <c r="A13" s="8">
        <v>2026</v>
      </c>
      <c r="B13" s="12">
        <v>0.85</v>
      </c>
      <c r="C13" s="2" t="s">
        <v>233</v>
      </c>
      <c r="D13" s="2" t="s">
        <v>233</v>
      </c>
      <c r="E13" s="2" t="s">
        <v>233</v>
      </c>
      <c r="F13" s="3" t="s">
        <v>526</v>
      </c>
      <c r="J13" s="2" t="s">
        <v>193</v>
      </c>
      <c r="K13" s="12">
        <v>-0.65</v>
      </c>
    </row>
    <row r="14" spans="1:11" ht="26.4">
      <c r="J14" s="2" t="s">
        <v>194</v>
      </c>
      <c r="K14" s="12">
        <v>-0.88</v>
      </c>
    </row>
    <row r="15" spans="1:11" ht="26.4">
      <c r="J15" s="2" t="s">
        <v>195</v>
      </c>
      <c r="K15" s="5">
        <v>-1.1200000000000001</v>
      </c>
    </row>
    <row r="16" spans="1:11" ht="26.4">
      <c r="J16" s="2" t="s">
        <v>196</v>
      </c>
      <c r="K16" s="12">
        <v>-0.92</v>
      </c>
    </row>
    <row r="17" spans="10:11" ht="26.4">
      <c r="J17" s="2" t="s">
        <v>197</v>
      </c>
      <c r="K17" s="12">
        <v>-0.45</v>
      </c>
    </row>
    <row r="18" spans="10:11" ht="26.4">
      <c r="J18" s="2" t="s">
        <v>198</v>
      </c>
      <c r="K18" s="12">
        <v>-0.32</v>
      </c>
    </row>
    <row r="19" spans="10:11" ht="26.4">
      <c r="J19" s="2" t="s">
        <v>199</v>
      </c>
      <c r="K19" s="12">
        <v>0.25</v>
      </c>
    </row>
    <row r="20" spans="10:11" ht="26.4">
      <c r="J20" s="2" t="s">
        <v>200</v>
      </c>
      <c r="K20" s="12">
        <v>0.48</v>
      </c>
    </row>
    <row r="21" spans="10:11" ht="26.4">
      <c r="J21" s="2" t="s">
        <v>201</v>
      </c>
      <c r="K21" s="12">
        <v>0.35</v>
      </c>
    </row>
    <row r="22" spans="10:11" ht="26.4">
      <c r="J22" s="2" t="s">
        <v>202</v>
      </c>
      <c r="K22" s="12">
        <v>0.55000000000000004</v>
      </c>
    </row>
    <row r="23" spans="10:11" ht="26.4">
      <c r="J23" s="2" t="s">
        <v>203</v>
      </c>
      <c r="K23" s="12">
        <v>0.72</v>
      </c>
    </row>
    <row r="24" spans="10:11" ht="26.4">
      <c r="J24" s="2" t="s">
        <v>204</v>
      </c>
      <c r="K24" s="12">
        <v>0.65</v>
      </c>
    </row>
    <row r="25" spans="10:11" ht="26.4">
      <c r="J25" s="2" t="s">
        <v>205</v>
      </c>
      <c r="K25" s="12">
        <v>0.82</v>
      </c>
    </row>
    <row r="26" spans="10:11" ht="26.4">
      <c r="J26" s="2" t="s">
        <v>206</v>
      </c>
      <c r="K26" s="12">
        <v>0.95</v>
      </c>
    </row>
    <row r="27" spans="10:11" ht="26.4">
      <c r="J27" s="2" t="s">
        <v>207</v>
      </c>
      <c r="K27" s="5">
        <v>1.02</v>
      </c>
    </row>
    <row r="28" spans="10:11" ht="26.4">
      <c r="J28" s="2" t="s">
        <v>234</v>
      </c>
      <c r="K28" s="12">
        <v>0.85</v>
      </c>
    </row>
  </sheetData>
  <mergeCells count="1">
    <mergeCell ref="A1:H1"/>
  </mergeCells>
  <phoneticPr fontId="19" type="noConversion"/>
  <hyperlinks>
    <hyperlink ref="H3" r:id="rId1" location="Dashboard!A1" xr:uid="{00000000-0004-0000-18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9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2" customWidth="1"/>
    <col min="2" max="2" width="13" customWidth="1"/>
    <col min="3" max="3" width="16" customWidth="1"/>
    <col min="4" max="4" width="22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7" t="s">
        <v>527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39</v>
      </c>
      <c r="C3" s="1" t="s">
        <v>171</v>
      </c>
      <c r="D3" s="3" t="s">
        <v>136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132</v>
      </c>
      <c r="C4" s="1" t="s">
        <v>50</v>
      </c>
      <c r="D4" s="12">
        <v>-0.48</v>
      </c>
      <c r="E4" s="1" t="s">
        <v>51</v>
      </c>
      <c r="F4" s="12">
        <v>-0.36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528</v>
      </c>
      <c r="J7" s="7" t="s">
        <v>179</v>
      </c>
      <c r="K7" s="7" t="s">
        <v>180</v>
      </c>
    </row>
    <row r="8" spans="1:11" ht="39.6">
      <c r="A8" s="8">
        <v>2021</v>
      </c>
      <c r="B8" s="12">
        <v>-0.72</v>
      </c>
      <c r="C8" s="12">
        <v>-0.74</v>
      </c>
      <c r="D8" s="12">
        <v>-0.73</v>
      </c>
      <c r="E8" s="12">
        <v>-0.71</v>
      </c>
      <c r="F8" s="3" t="s">
        <v>529</v>
      </c>
      <c r="J8" s="2" t="s">
        <v>182</v>
      </c>
      <c r="K8" s="12">
        <v>-0.72</v>
      </c>
    </row>
    <row r="9" spans="1:11" ht="39.6">
      <c r="A9" s="8">
        <v>2022</v>
      </c>
      <c r="B9" s="12">
        <v>-0.62</v>
      </c>
      <c r="C9" s="12">
        <v>-0.45</v>
      </c>
      <c r="D9" s="12">
        <v>-0.38</v>
      </c>
      <c r="E9" s="12">
        <v>-0.28000000000000003</v>
      </c>
      <c r="F9" s="3" t="s">
        <v>530</v>
      </c>
      <c r="J9" s="2" t="s">
        <v>184</v>
      </c>
      <c r="K9" s="12">
        <v>-0.74</v>
      </c>
    </row>
    <row r="10" spans="1:11" ht="26.4">
      <c r="A10" s="8">
        <v>2023</v>
      </c>
      <c r="B10" s="12">
        <v>-0.22</v>
      </c>
      <c r="C10" s="12">
        <v>-0.32</v>
      </c>
      <c r="D10" s="12">
        <v>-0.36</v>
      </c>
      <c r="E10" s="12">
        <v>-0.48</v>
      </c>
      <c r="F10" s="3" t="s">
        <v>531</v>
      </c>
      <c r="J10" s="14" t="s">
        <v>186</v>
      </c>
      <c r="K10" s="15" t="s">
        <v>187</v>
      </c>
    </row>
    <row r="11" spans="1:11" ht="26.4">
      <c r="J11" s="14" t="s">
        <v>189</v>
      </c>
      <c r="K11" s="15" t="s">
        <v>190</v>
      </c>
    </row>
    <row r="12" spans="1:11" ht="14.4">
      <c r="J12" s="2" t="s">
        <v>192</v>
      </c>
      <c r="K12" s="12">
        <v>-0.62</v>
      </c>
    </row>
    <row r="13" spans="1:11" ht="14.4">
      <c r="J13" s="2" t="s">
        <v>193</v>
      </c>
      <c r="K13" s="12">
        <v>-0.45</v>
      </c>
    </row>
    <row r="14" spans="1:11" ht="14.4">
      <c r="J14" s="2" t="s">
        <v>194</v>
      </c>
      <c r="K14" s="12">
        <v>-0.38</v>
      </c>
    </row>
    <row r="15" spans="1:11" ht="14.4">
      <c r="J15" s="2" t="s">
        <v>195</v>
      </c>
      <c r="K15" s="12">
        <v>-0.28000000000000003</v>
      </c>
    </row>
    <row r="16" spans="1:11" ht="26.4">
      <c r="J16" s="2" t="s">
        <v>532</v>
      </c>
      <c r="K16" s="12">
        <v>-0.22</v>
      </c>
    </row>
    <row r="17" spans="10:11" ht="26.4">
      <c r="J17" s="2" t="s">
        <v>533</v>
      </c>
      <c r="K17" s="12">
        <v>-0.32</v>
      </c>
    </row>
    <row r="18" spans="10:11" ht="26.4">
      <c r="J18" s="2" t="s">
        <v>534</v>
      </c>
      <c r="K18" s="12">
        <v>-0.36</v>
      </c>
    </row>
    <row r="19" spans="10:11" ht="26.4">
      <c r="J19" s="2" t="s">
        <v>535</v>
      </c>
      <c r="K19" s="12">
        <v>-0.48</v>
      </c>
    </row>
  </sheetData>
  <mergeCells count="1">
    <mergeCell ref="A1:H1"/>
  </mergeCells>
  <phoneticPr fontId="19" type="noConversion"/>
  <hyperlinks>
    <hyperlink ref="H3" r:id="rId1" location="Dashboard!A1" xr:uid="{00000000-0004-0000-19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0"/>
  <sheetViews>
    <sheetView showGridLines="0" workbookViewId="0">
      <pane ySplit="6" topLeftCell="A7" activePane="bottomLeft" state="frozen"/>
      <selection pane="bottomLeft" activeCell="H3" sqref="H3"/>
    </sheetView>
  </sheetViews>
  <sheetFormatPr defaultColWidth="8.6640625" defaultRowHeight="15" customHeight="1"/>
  <cols>
    <col min="1" max="2" width="14" customWidth="1"/>
    <col min="3" max="3" width="24" customWidth="1"/>
    <col min="4" max="4" width="10" customWidth="1"/>
    <col min="5" max="5" width="11" customWidth="1"/>
    <col min="6" max="7" width="8" customWidth="1"/>
    <col min="8" max="8" width="19" customWidth="1"/>
    <col min="9" max="9" width="8" customWidth="1"/>
    <col min="10" max="10" width="14" customWidth="1"/>
    <col min="11" max="11" width="24" customWidth="1"/>
  </cols>
  <sheetData>
    <row r="1" spans="1:11" ht="24" customHeight="1">
      <c r="A1" s="35" t="s">
        <v>536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3" t="s">
        <v>140</v>
      </c>
      <c r="E3" s="1" t="s">
        <v>66</v>
      </c>
      <c r="F3" s="2" t="s">
        <v>127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2.1000000000000001E-2</v>
      </c>
      <c r="E4" s="1" t="s">
        <v>51</v>
      </c>
      <c r="F4" s="12">
        <v>0.03</v>
      </c>
    </row>
    <row r="6" spans="1:11" ht="142.05000000000001" customHeight="1"/>
    <row r="7" spans="1:11" ht="14.4">
      <c r="A7" s="6" t="s">
        <v>537</v>
      </c>
      <c r="B7" s="6" t="s">
        <v>538</v>
      </c>
      <c r="C7" s="6" t="s">
        <v>539</v>
      </c>
      <c r="J7" s="7" t="s">
        <v>179</v>
      </c>
      <c r="K7" s="7" t="s">
        <v>180</v>
      </c>
    </row>
    <row r="8" spans="1:11" ht="39.6">
      <c r="A8" s="3" t="s">
        <v>540</v>
      </c>
      <c r="B8" s="12">
        <v>2.1000000000000001E-2</v>
      </c>
      <c r="C8" s="3" t="s">
        <v>541</v>
      </c>
      <c r="J8" s="3" t="s">
        <v>540</v>
      </c>
      <c r="K8" s="12">
        <v>2.1000000000000001E-2</v>
      </c>
    </row>
    <row r="9" spans="1:11" ht="39.6">
      <c r="A9" s="3" t="s">
        <v>542</v>
      </c>
      <c r="B9" s="12">
        <v>6.0000000000000001E-3</v>
      </c>
      <c r="C9" s="3" t="s">
        <v>543</v>
      </c>
      <c r="J9" s="3" t="s">
        <v>542</v>
      </c>
      <c r="K9" s="12">
        <v>6.0000000000000001E-3</v>
      </c>
    </row>
    <row r="10" spans="1:11" ht="39.6">
      <c r="A10" s="3" t="s">
        <v>544</v>
      </c>
      <c r="B10" s="12">
        <v>4.0000000000000001E-3</v>
      </c>
      <c r="C10" s="3" t="s">
        <v>545</v>
      </c>
      <c r="J10" s="14" t="s">
        <v>186</v>
      </c>
      <c r="K10" s="15" t="s">
        <v>187</v>
      </c>
    </row>
    <row r="11" spans="1:11" ht="39.6">
      <c r="A11" s="3" t="s">
        <v>546</v>
      </c>
      <c r="B11" s="12">
        <v>-1E-3</v>
      </c>
      <c r="C11" s="3" t="s">
        <v>547</v>
      </c>
      <c r="J11" s="14" t="s">
        <v>189</v>
      </c>
      <c r="K11" s="15" t="s">
        <v>190</v>
      </c>
    </row>
    <row r="16" spans="1:11" ht="15" customHeight="1">
      <c r="A16" t="s">
        <v>548</v>
      </c>
    </row>
    <row r="17" spans="1:2" ht="15" customHeight="1">
      <c r="A17" t="s">
        <v>549</v>
      </c>
      <c r="B17" s="16" t="s">
        <v>550</v>
      </c>
    </row>
    <row r="18" spans="1:2" ht="15" customHeight="1">
      <c r="A18" s="17">
        <v>46083</v>
      </c>
      <c r="B18" s="18">
        <v>0.03</v>
      </c>
    </row>
    <row r="19" spans="1:2" ht="15" customHeight="1">
      <c r="A19" s="17">
        <v>46087</v>
      </c>
      <c r="B19" s="18">
        <v>2.1000000000000001E-2</v>
      </c>
    </row>
    <row r="20" spans="1:2" ht="15" customHeight="1">
      <c r="A20" s="17">
        <v>46093</v>
      </c>
    </row>
  </sheetData>
  <mergeCells count="1">
    <mergeCell ref="A1:H1"/>
  </mergeCells>
  <phoneticPr fontId="19" type="noConversion"/>
  <hyperlinks>
    <hyperlink ref="H3" r:id="rId1" location="Dashboard!A1" xr:uid="{00000000-0004-0000-1A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4" customWidth="1"/>
    <col min="2" max="2" width="14" customWidth="1"/>
    <col min="3" max="3" width="16" customWidth="1"/>
    <col min="4" max="4" width="24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5" t="s">
        <v>141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2" t="s">
        <v>141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2.41</v>
      </c>
      <c r="E4" s="1" t="s">
        <v>51</v>
      </c>
      <c r="F4" s="12">
        <v>-1.6999999999999999E-3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551</v>
      </c>
      <c r="J7" s="7" t="s">
        <v>179</v>
      </c>
      <c r="K7" s="7" t="s">
        <v>180</v>
      </c>
    </row>
    <row r="8" spans="1:11" ht="26.4">
      <c r="A8" s="8">
        <v>2021</v>
      </c>
      <c r="B8" s="12">
        <v>0.1018</v>
      </c>
      <c r="C8" s="12">
        <v>9.0300000000000005E-2</v>
      </c>
      <c r="D8" s="12">
        <v>6.8500000000000005E-2</v>
      </c>
      <c r="E8" s="12">
        <v>3.7499999999999999E-2</v>
      </c>
      <c r="F8" s="3" t="s">
        <v>552</v>
      </c>
      <c r="J8" s="2" t="s">
        <v>182</v>
      </c>
      <c r="K8" s="12">
        <v>0.1018</v>
      </c>
    </row>
    <row r="9" spans="1:11" ht="39.6">
      <c r="A9" s="8">
        <v>2022</v>
      </c>
      <c r="B9" s="12">
        <v>1.9599999999999999E-2</v>
      </c>
      <c r="C9" s="12">
        <v>4.1000000000000002E-2</v>
      </c>
      <c r="D9" s="12">
        <v>1.2999999999999999E-2</v>
      </c>
      <c r="E9" s="12">
        <v>4.4000000000000003E-3</v>
      </c>
      <c r="F9" s="3" t="s">
        <v>553</v>
      </c>
      <c r="J9" s="2" t="s">
        <v>184</v>
      </c>
      <c r="K9" s="12">
        <v>9.0300000000000005E-2</v>
      </c>
    </row>
    <row r="10" spans="1:11" ht="39.6">
      <c r="A10" s="8">
        <v>2023</v>
      </c>
      <c r="B10" s="12">
        <v>5.5999999999999999E-3</v>
      </c>
      <c r="C10" s="12">
        <v>8.0000000000000002E-3</v>
      </c>
      <c r="D10" s="12">
        <v>2.3099999999999999E-2</v>
      </c>
      <c r="E10" s="12">
        <v>2.0299999999999999E-2</v>
      </c>
      <c r="F10" s="3" t="s">
        <v>554</v>
      </c>
      <c r="J10" s="14" t="s">
        <v>186</v>
      </c>
      <c r="K10" s="15" t="s">
        <v>187</v>
      </c>
    </row>
    <row r="11" spans="1:11" ht="39.6">
      <c r="A11" s="8">
        <v>2024</v>
      </c>
      <c r="B11" s="12">
        <v>1.7100000000000001E-2</v>
      </c>
      <c r="C11" s="12">
        <v>1.14E-2</v>
      </c>
      <c r="D11" s="12">
        <v>1.77E-2</v>
      </c>
      <c r="E11" s="12">
        <v>2.3800000000000002E-2</v>
      </c>
      <c r="F11" s="3" t="s">
        <v>555</v>
      </c>
      <c r="J11" s="14" t="s">
        <v>189</v>
      </c>
      <c r="K11" s="15" t="s">
        <v>190</v>
      </c>
    </row>
    <row r="12" spans="1:11" ht="39.6">
      <c r="A12" s="8">
        <v>2025</v>
      </c>
      <c r="B12" s="12">
        <v>3.0700000000000002E-2</v>
      </c>
      <c r="C12" s="12">
        <v>1.7299999999999999E-2</v>
      </c>
      <c r="D12" s="12">
        <v>4.1999999999999997E-3</v>
      </c>
      <c r="E12" s="12">
        <v>-1.6999999999999999E-3</v>
      </c>
      <c r="F12" s="3" t="s">
        <v>556</v>
      </c>
      <c r="J12" s="2" t="s">
        <v>192</v>
      </c>
      <c r="K12" s="12">
        <v>1.9599999999999999E-2</v>
      </c>
    </row>
    <row r="13" spans="1:11" ht="26.4">
      <c r="A13" s="8">
        <v>2026</v>
      </c>
      <c r="B13" s="2" t="s">
        <v>557</v>
      </c>
      <c r="C13" s="2" t="s">
        <v>233</v>
      </c>
      <c r="D13" s="2" t="s">
        <v>233</v>
      </c>
      <c r="E13" s="2" t="s">
        <v>233</v>
      </c>
      <c r="F13" s="3" t="s">
        <v>558</v>
      </c>
      <c r="J13" s="2" t="s">
        <v>193</v>
      </c>
      <c r="K13" s="12">
        <v>4.1000000000000002E-2</v>
      </c>
    </row>
    <row r="14" spans="1:11" ht="26.4">
      <c r="J14" s="2" t="s">
        <v>194</v>
      </c>
      <c r="K14" s="12">
        <v>1.2999999999999999E-2</v>
      </c>
    </row>
    <row r="15" spans="1:11" ht="26.4">
      <c r="J15" s="2" t="s">
        <v>195</v>
      </c>
      <c r="K15" s="12">
        <v>4.4000000000000003E-3</v>
      </c>
    </row>
    <row r="16" spans="1:11" ht="26.4">
      <c r="J16" s="2" t="s">
        <v>196</v>
      </c>
      <c r="K16" s="12">
        <v>5.5999999999999999E-3</v>
      </c>
    </row>
    <row r="17" spans="10:11" ht="26.4">
      <c r="J17" s="2" t="s">
        <v>197</v>
      </c>
      <c r="K17" s="12">
        <v>8.0000000000000002E-3</v>
      </c>
    </row>
    <row r="18" spans="10:11" ht="26.4">
      <c r="J18" s="2" t="s">
        <v>198</v>
      </c>
      <c r="K18" s="12">
        <v>2.3099999999999999E-2</v>
      </c>
    </row>
    <row r="19" spans="10:11" ht="26.4">
      <c r="J19" s="2" t="s">
        <v>199</v>
      </c>
      <c r="K19" s="12">
        <v>2.0299999999999999E-2</v>
      </c>
    </row>
    <row r="20" spans="10:11" ht="26.4">
      <c r="J20" s="2" t="s">
        <v>200</v>
      </c>
      <c r="K20" s="12">
        <v>1.7100000000000001E-2</v>
      </c>
    </row>
    <row r="21" spans="10:11" ht="26.4">
      <c r="J21" s="2" t="s">
        <v>201</v>
      </c>
      <c r="K21" s="12">
        <v>1.14E-2</v>
      </c>
    </row>
    <row r="22" spans="10:11" ht="26.4">
      <c r="J22" s="2" t="s">
        <v>202</v>
      </c>
      <c r="K22" s="12">
        <v>1.77E-2</v>
      </c>
    </row>
    <row r="23" spans="10:11" ht="26.4">
      <c r="J23" s="2" t="s">
        <v>203</v>
      </c>
      <c r="K23" s="12">
        <v>2.3800000000000002E-2</v>
      </c>
    </row>
    <row r="24" spans="10:11" ht="26.4">
      <c r="J24" s="2" t="s">
        <v>204</v>
      </c>
      <c r="K24" s="12">
        <v>3.0700000000000002E-2</v>
      </c>
    </row>
    <row r="25" spans="10:11" ht="26.4">
      <c r="J25" s="2" t="s">
        <v>205</v>
      </c>
      <c r="K25" s="12">
        <v>1.7299999999999999E-2</v>
      </c>
    </row>
    <row r="26" spans="10:11" ht="26.4">
      <c r="J26" s="2" t="s">
        <v>206</v>
      </c>
      <c r="K26" s="12">
        <v>4.1999999999999997E-3</v>
      </c>
    </row>
    <row r="27" spans="10:11" ht="26.4">
      <c r="J27" s="2" t="s">
        <v>207</v>
      </c>
      <c r="K27" s="12">
        <v>-1.6999999999999999E-3</v>
      </c>
    </row>
    <row r="28" spans="10:11" ht="26.4">
      <c r="J28" s="2" t="s">
        <v>234</v>
      </c>
      <c r="K28" s="5">
        <v>2.41</v>
      </c>
    </row>
  </sheetData>
  <mergeCells count="1">
    <mergeCell ref="A1:H1"/>
  </mergeCells>
  <phoneticPr fontId="19" type="noConversion"/>
  <hyperlinks>
    <hyperlink ref="H3" r:id="rId1" location="Dashboard!A1" xr:uid="{00000000-0004-0000-1B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4" customWidth="1"/>
    <col min="2" max="2" width="14" customWidth="1"/>
    <col min="3" max="3" width="16" customWidth="1"/>
    <col min="4" max="4" width="24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0" width="16" customWidth="1"/>
    <col min="11" max="11" width="24" customWidth="1"/>
  </cols>
  <sheetData>
    <row r="1" spans="1:11" ht="24" customHeight="1">
      <c r="A1" s="35" t="s">
        <v>559</v>
      </c>
      <c r="B1" s="35"/>
      <c r="C1" s="35"/>
      <c r="D1" s="35"/>
      <c r="E1" s="35"/>
      <c r="F1" s="35"/>
      <c r="G1" s="35"/>
      <c r="H1" s="35"/>
    </row>
    <row r="3" spans="1:11" ht="39.6">
      <c r="A3" s="1" t="s">
        <v>64</v>
      </c>
      <c r="B3" s="2" t="s">
        <v>36</v>
      </c>
      <c r="C3" s="1" t="s">
        <v>171</v>
      </c>
      <c r="D3" s="2" t="s">
        <v>143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12">
        <v>0.32</v>
      </c>
      <c r="E4" s="1" t="s">
        <v>51</v>
      </c>
      <c r="F4" s="12">
        <v>-0.35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560</v>
      </c>
      <c r="J7" s="7" t="s">
        <v>179</v>
      </c>
      <c r="K7" s="7" t="s">
        <v>180</v>
      </c>
    </row>
    <row r="8" spans="1:11" ht="26.4">
      <c r="A8" s="8">
        <v>2021</v>
      </c>
      <c r="B8" s="5">
        <v>2.15</v>
      </c>
      <c r="C8" s="5">
        <v>1.8</v>
      </c>
      <c r="D8" s="12">
        <v>0.45</v>
      </c>
      <c r="E8" s="12">
        <v>0.22</v>
      </c>
      <c r="F8" s="3" t="s">
        <v>561</v>
      </c>
      <c r="J8" s="2" t="s">
        <v>182</v>
      </c>
      <c r="K8" s="5">
        <v>2.15</v>
      </c>
    </row>
    <row r="9" spans="1:11" ht="39.6">
      <c r="A9" s="8">
        <v>2022</v>
      </c>
      <c r="B9" s="12">
        <v>0.12</v>
      </c>
      <c r="C9" s="12">
        <v>-0.15</v>
      </c>
      <c r="D9" s="12">
        <v>0.05</v>
      </c>
      <c r="E9" s="12">
        <v>-0.28000000000000003</v>
      </c>
      <c r="F9" s="3" t="s">
        <v>562</v>
      </c>
      <c r="J9" s="2" t="s">
        <v>184</v>
      </c>
      <c r="K9" s="5">
        <v>1.8</v>
      </c>
    </row>
    <row r="10" spans="1:11" ht="39.6">
      <c r="A10" s="8">
        <v>2023</v>
      </c>
      <c r="B10" s="12">
        <v>-0.45</v>
      </c>
      <c r="C10" s="12">
        <v>-0.32</v>
      </c>
      <c r="D10" s="12">
        <v>0.15</v>
      </c>
      <c r="E10" s="12">
        <v>0.38</v>
      </c>
      <c r="F10" s="3" t="s">
        <v>563</v>
      </c>
      <c r="J10" s="14" t="s">
        <v>186</v>
      </c>
      <c r="K10" s="15" t="s">
        <v>187</v>
      </c>
    </row>
    <row r="11" spans="1:11" ht="39.6">
      <c r="A11" s="8">
        <v>2024</v>
      </c>
      <c r="B11" s="12">
        <v>0.25</v>
      </c>
      <c r="C11" s="12">
        <v>0.42</v>
      </c>
      <c r="D11" s="12">
        <v>0.55000000000000004</v>
      </c>
      <c r="E11" s="12">
        <v>0.48</v>
      </c>
      <c r="F11" s="3" t="s">
        <v>564</v>
      </c>
      <c r="J11" s="14" t="s">
        <v>189</v>
      </c>
      <c r="K11" s="15" t="s">
        <v>190</v>
      </c>
    </row>
    <row r="12" spans="1:11" ht="39.6">
      <c r="A12" s="8">
        <v>2025</v>
      </c>
      <c r="B12" s="12">
        <v>0.18</v>
      </c>
      <c r="C12" s="12">
        <v>-0.05</v>
      </c>
      <c r="D12" s="12">
        <v>-0.12</v>
      </c>
      <c r="E12" s="12">
        <v>-0.35</v>
      </c>
      <c r="F12" s="3" t="s">
        <v>565</v>
      </c>
      <c r="J12" s="2" t="s">
        <v>192</v>
      </c>
      <c r="K12" s="12">
        <v>0.12</v>
      </c>
    </row>
    <row r="13" spans="1:11" ht="39.6">
      <c r="A13" s="8">
        <v>2026</v>
      </c>
      <c r="B13" s="2" t="s">
        <v>566</v>
      </c>
      <c r="C13" s="2" t="s">
        <v>233</v>
      </c>
      <c r="D13" s="2" t="s">
        <v>233</v>
      </c>
      <c r="E13" s="2" t="s">
        <v>233</v>
      </c>
      <c r="F13" s="3" t="s">
        <v>567</v>
      </c>
      <c r="J13" s="2" t="s">
        <v>193</v>
      </c>
      <c r="K13" s="12">
        <v>-0.15</v>
      </c>
    </row>
    <row r="14" spans="1:11" ht="26.4">
      <c r="J14" s="2" t="s">
        <v>194</v>
      </c>
      <c r="K14" s="12">
        <v>0.05</v>
      </c>
    </row>
    <row r="15" spans="1:11" ht="26.4">
      <c r="J15" s="2" t="s">
        <v>195</v>
      </c>
      <c r="K15" s="12">
        <v>-0.28000000000000003</v>
      </c>
    </row>
    <row r="16" spans="1:11" ht="26.4">
      <c r="J16" s="2" t="s">
        <v>196</v>
      </c>
      <c r="K16" s="12">
        <v>-0.45</v>
      </c>
    </row>
    <row r="17" spans="10:11" ht="26.4">
      <c r="J17" s="2" t="s">
        <v>197</v>
      </c>
      <c r="K17" s="12">
        <v>-0.32</v>
      </c>
    </row>
    <row r="18" spans="10:11" ht="26.4">
      <c r="J18" s="2" t="s">
        <v>198</v>
      </c>
      <c r="K18" s="12">
        <v>0.15</v>
      </c>
    </row>
    <row r="19" spans="10:11" ht="26.4">
      <c r="J19" s="2" t="s">
        <v>199</v>
      </c>
      <c r="K19" s="12">
        <v>0.38</v>
      </c>
    </row>
    <row r="20" spans="10:11" ht="26.4">
      <c r="J20" s="2" t="s">
        <v>200</v>
      </c>
      <c r="K20" s="12">
        <v>0.25</v>
      </c>
    </row>
    <row r="21" spans="10:11" ht="26.4">
      <c r="J21" s="2" t="s">
        <v>201</v>
      </c>
      <c r="K21" s="12">
        <v>0.42</v>
      </c>
    </row>
    <row r="22" spans="10:11" ht="26.4">
      <c r="J22" s="2" t="s">
        <v>202</v>
      </c>
      <c r="K22" s="12">
        <v>0.55000000000000004</v>
      </c>
    </row>
    <row r="23" spans="10:11" ht="26.4">
      <c r="J23" s="2" t="s">
        <v>203</v>
      </c>
      <c r="K23" s="12">
        <v>0.48</v>
      </c>
    </row>
    <row r="24" spans="10:11" ht="26.4">
      <c r="J24" s="2" t="s">
        <v>204</v>
      </c>
      <c r="K24" s="12">
        <v>0.18</v>
      </c>
    </row>
    <row r="25" spans="10:11" ht="26.4">
      <c r="J25" s="2" t="s">
        <v>205</v>
      </c>
      <c r="K25" s="12">
        <v>-0.05</v>
      </c>
    </row>
    <row r="26" spans="10:11" ht="26.4">
      <c r="J26" s="2" t="s">
        <v>206</v>
      </c>
      <c r="K26" s="12">
        <v>-0.12</v>
      </c>
    </row>
    <row r="27" spans="10:11" ht="26.4">
      <c r="J27" s="2" t="s">
        <v>207</v>
      </c>
      <c r="K27" s="12">
        <v>-0.35</v>
      </c>
    </row>
    <row r="28" spans="10:11" ht="26.4">
      <c r="J28" s="2" t="s">
        <v>234</v>
      </c>
      <c r="K28" s="12">
        <v>0.32</v>
      </c>
    </row>
  </sheetData>
  <mergeCells count="1">
    <mergeCell ref="A1:H1"/>
  </mergeCells>
  <phoneticPr fontId="19" type="noConversion"/>
  <hyperlinks>
    <hyperlink ref="H3" r:id="rId1" location="Dashboard!A1" xr:uid="{00000000-0004-0000-1C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4" customWidth="1"/>
    <col min="3" max="3" width="16" customWidth="1"/>
    <col min="4" max="4" width="13" customWidth="1"/>
    <col min="5" max="5" width="24" customWidth="1"/>
    <col min="6" max="6" width="11" customWidth="1"/>
    <col min="7" max="7" width="8" customWidth="1"/>
    <col min="8" max="8" width="19" customWidth="1"/>
    <col min="9" max="9" width="8" customWidth="1"/>
    <col min="10" max="10" width="21" customWidth="1"/>
    <col min="11" max="11" width="24" customWidth="1"/>
  </cols>
  <sheetData>
    <row r="1" spans="1:11" ht="24" customHeight="1">
      <c r="A1" s="35" t="s">
        <v>568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3" t="s">
        <v>147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74.5</v>
      </c>
      <c r="E4" s="1" t="s">
        <v>51</v>
      </c>
      <c r="F4" s="5">
        <v>72</v>
      </c>
    </row>
    <row r="7" spans="1:11" ht="26.4">
      <c r="A7" s="6" t="s">
        <v>173</v>
      </c>
      <c r="B7" s="6" t="s">
        <v>569</v>
      </c>
      <c r="C7" s="6" t="s">
        <v>570</v>
      </c>
      <c r="D7" s="6" t="s">
        <v>571</v>
      </c>
      <c r="E7" s="6" t="s">
        <v>572</v>
      </c>
      <c r="J7" s="7" t="s">
        <v>179</v>
      </c>
      <c r="K7" s="7" t="s">
        <v>180</v>
      </c>
    </row>
    <row r="8" spans="1:11" ht="26.4">
      <c r="A8" s="8">
        <v>2021</v>
      </c>
      <c r="B8" s="2" t="s">
        <v>573</v>
      </c>
      <c r="C8" s="2" t="s">
        <v>574</v>
      </c>
      <c r="D8" s="12">
        <v>0.15</v>
      </c>
      <c r="E8" s="3" t="s">
        <v>575</v>
      </c>
      <c r="J8" s="2" t="s">
        <v>215</v>
      </c>
      <c r="K8" s="5">
        <v>128</v>
      </c>
    </row>
    <row r="9" spans="1:11" ht="26.4">
      <c r="A9" s="8">
        <v>2022</v>
      </c>
      <c r="B9" s="2" t="s">
        <v>576</v>
      </c>
      <c r="C9" s="8">
        <v>125</v>
      </c>
      <c r="D9" s="12">
        <v>0.02</v>
      </c>
      <c r="E9" s="3" t="s">
        <v>577</v>
      </c>
      <c r="J9" s="3" t="s">
        <v>577</v>
      </c>
      <c r="K9" s="5">
        <v>125</v>
      </c>
    </row>
    <row r="10" spans="1:11" ht="39.6">
      <c r="A10" s="11"/>
      <c r="B10" s="2" t="s">
        <v>578</v>
      </c>
      <c r="C10" s="8">
        <v>110</v>
      </c>
      <c r="D10" s="12">
        <v>-0.12</v>
      </c>
      <c r="E10" s="3" t="s">
        <v>579</v>
      </c>
      <c r="J10" s="14" t="s">
        <v>186</v>
      </c>
      <c r="K10" s="10" t="s">
        <v>187</v>
      </c>
    </row>
    <row r="11" spans="1:11" ht="26.4">
      <c r="A11" s="8">
        <v>2023</v>
      </c>
      <c r="B11" s="2" t="s">
        <v>576</v>
      </c>
      <c r="C11" s="8">
        <v>95</v>
      </c>
      <c r="D11" s="12">
        <v>-0.08</v>
      </c>
      <c r="E11" s="3" t="s">
        <v>580</v>
      </c>
      <c r="J11" s="14" t="s">
        <v>189</v>
      </c>
      <c r="K11" s="10" t="s">
        <v>190</v>
      </c>
    </row>
    <row r="12" spans="1:11" ht="39.6">
      <c r="A12" s="11"/>
      <c r="B12" s="2" t="s">
        <v>578</v>
      </c>
      <c r="C12" s="8">
        <v>88</v>
      </c>
      <c r="D12" s="12">
        <v>-0.04</v>
      </c>
      <c r="E12" s="3" t="s">
        <v>581</v>
      </c>
      <c r="J12" s="2" t="s">
        <v>226</v>
      </c>
      <c r="K12" s="5">
        <v>88</v>
      </c>
    </row>
    <row r="13" spans="1:11" ht="26.4">
      <c r="A13" s="8">
        <v>2024</v>
      </c>
      <c r="B13" s="2" t="s">
        <v>576</v>
      </c>
      <c r="C13" s="8">
        <v>82</v>
      </c>
      <c r="D13" s="12">
        <v>-0.02</v>
      </c>
      <c r="E13" s="3" t="s">
        <v>582</v>
      </c>
      <c r="J13" s="2" t="s">
        <v>229</v>
      </c>
      <c r="K13" s="5">
        <v>82</v>
      </c>
    </row>
    <row r="14" spans="1:11" ht="39.6">
      <c r="A14" s="11"/>
      <c r="B14" s="2" t="s">
        <v>578</v>
      </c>
      <c r="C14" s="8">
        <v>78</v>
      </c>
      <c r="D14" s="12">
        <v>-0.05</v>
      </c>
      <c r="E14" s="2" t="s">
        <v>583</v>
      </c>
      <c r="J14" s="2" t="s">
        <v>243</v>
      </c>
      <c r="K14" s="5">
        <v>78</v>
      </c>
    </row>
    <row r="15" spans="1:11" ht="39.6">
      <c r="A15" s="8">
        <v>2025</v>
      </c>
      <c r="B15" s="2" t="s">
        <v>576</v>
      </c>
      <c r="C15" s="8">
        <v>75</v>
      </c>
      <c r="D15" s="12">
        <v>0.03</v>
      </c>
      <c r="E15" s="3" t="s">
        <v>584</v>
      </c>
      <c r="J15" s="2" t="s">
        <v>245</v>
      </c>
      <c r="K15" s="5">
        <v>75</v>
      </c>
    </row>
    <row r="16" spans="1:11" ht="39.6">
      <c r="A16" s="11"/>
      <c r="B16" s="2" t="s">
        <v>578</v>
      </c>
      <c r="C16" s="8">
        <v>72</v>
      </c>
      <c r="D16" s="12">
        <v>-0.02</v>
      </c>
      <c r="E16" s="3" t="s">
        <v>585</v>
      </c>
      <c r="J16" s="2" t="s">
        <v>247</v>
      </c>
      <c r="K16" s="5">
        <v>72</v>
      </c>
    </row>
    <row r="17" spans="1:11" ht="39.6">
      <c r="A17" s="8">
        <v>2026</v>
      </c>
      <c r="B17" s="2" t="s">
        <v>586</v>
      </c>
      <c r="C17" s="5">
        <v>74.5</v>
      </c>
      <c r="D17" s="12">
        <v>3.5000000000000003E-2</v>
      </c>
      <c r="E17" s="3" t="s">
        <v>587</v>
      </c>
      <c r="J17" s="2" t="s">
        <v>249</v>
      </c>
      <c r="K17" s="5">
        <v>74.5</v>
      </c>
    </row>
  </sheetData>
  <mergeCells count="1">
    <mergeCell ref="A1:H1"/>
  </mergeCells>
  <phoneticPr fontId="19" type="noConversion"/>
  <hyperlinks>
    <hyperlink ref="H3" r:id="rId1" location="Dashboard!A1" xr:uid="{00000000-0004-0000-1D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7" customWidth="1"/>
    <col min="2" max="2" width="13" customWidth="1"/>
    <col min="3" max="3" width="16" customWidth="1"/>
    <col min="4" max="4" width="17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5" t="s">
        <v>588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2" t="s">
        <v>148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15.2</v>
      </c>
      <c r="E4" s="1" t="s">
        <v>51</v>
      </c>
      <c r="F4" s="5">
        <v>14.8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589</v>
      </c>
      <c r="J7" s="7" t="s">
        <v>179</v>
      </c>
      <c r="K7" s="7" t="s">
        <v>180</v>
      </c>
    </row>
    <row r="8" spans="1:11" ht="39.6">
      <c r="A8" s="8">
        <v>2021</v>
      </c>
      <c r="B8" s="5">
        <v>12.4</v>
      </c>
      <c r="C8" s="5">
        <v>8.1999999999999993</v>
      </c>
      <c r="D8" s="5">
        <v>6.5</v>
      </c>
      <c r="E8" s="5">
        <v>5.8</v>
      </c>
      <c r="F8" s="3" t="s">
        <v>590</v>
      </c>
      <c r="J8" s="2" t="s">
        <v>591</v>
      </c>
      <c r="K8" s="5">
        <v>12.4</v>
      </c>
    </row>
    <row r="9" spans="1:11" ht="39.6">
      <c r="A9" s="8">
        <v>2022</v>
      </c>
      <c r="B9" s="5">
        <v>4.5</v>
      </c>
      <c r="C9" s="5">
        <v>5.0999999999999996</v>
      </c>
      <c r="D9" s="5">
        <v>7.8</v>
      </c>
      <c r="E9" s="5">
        <v>10.199999999999999</v>
      </c>
      <c r="F9" s="3" t="s">
        <v>592</v>
      </c>
      <c r="J9" s="2" t="s">
        <v>593</v>
      </c>
      <c r="K9" s="5">
        <v>8.1999999999999993</v>
      </c>
    </row>
    <row r="10" spans="1:11" ht="26.4">
      <c r="A10" s="8">
        <v>2023</v>
      </c>
      <c r="B10" s="5">
        <v>14.5</v>
      </c>
      <c r="C10" s="5">
        <v>11.2</v>
      </c>
      <c r="D10" s="5">
        <v>9.5</v>
      </c>
      <c r="E10" s="5">
        <v>11.8</v>
      </c>
      <c r="F10" s="3" t="s">
        <v>594</v>
      </c>
      <c r="J10" s="14" t="s">
        <v>186</v>
      </c>
      <c r="K10" s="10" t="s">
        <v>187</v>
      </c>
    </row>
    <row r="11" spans="1:11" ht="26.4">
      <c r="A11" s="8">
        <v>2024</v>
      </c>
      <c r="B11" s="5">
        <v>10.8</v>
      </c>
      <c r="C11" s="5">
        <v>9.1999999999999993</v>
      </c>
      <c r="D11" s="5">
        <v>8.8000000000000007</v>
      </c>
      <c r="E11" s="5">
        <v>13.5</v>
      </c>
      <c r="F11" s="3" t="s">
        <v>595</v>
      </c>
      <c r="J11" s="14" t="s">
        <v>189</v>
      </c>
      <c r="K11" s="10" t="s">
        <v>190</v>
      </c>
    </row>
    <row r="12" spans="1:11" ht="26.4">
      <c r="A12" s="8">
        <v>2025</v>
      </c>
      <c r="B12" s="5">
        <v>12.1</v>
      </c>
      <c r="C12" s="5">
        <v>10.5</v>
      </c>
      <c r="D12" s="5">
        <v>11.2</v>
      </c>
      <c r="E12" s="5">
        <v>14.8</v>
      </c>
      <c r="F12" s="2" t="s">
        <v>596</v>
      </c>
      <c r="J12" s="2" t="s">
        <v>192</v>
      </c>
      <c r="K12" s="5">
        <v>4.5</v>
      </c>
    </row>
    <row r="13" spans="1:11" ht="26.4">
      <c r="A13" s="8">
        <v>2026</v>
      </c>
      <c r="B13" s="2" t="s">
        <v>597</v>
      </c>
      <c r="C13" s="2" t="s">
        <v>233</v>
      </c>
      <c r="D13" s="2" t="s">
        <v>233</v>
      </c>
      <c r="E13" s="2" t="s">
        <v>233</v>
      </c>
      <c r="F13" s="3" t="s">
        <v>598</v>
      </c>
      <c r="J13" s="2" t="s">
        <v>193</v>
      </c>
      <c r="K13" s="5">
        <v>5.0999999999999996</v>
      </c>
    </row>
    <row r="14" spans="1:11" ht="14.4">
      <c r="J14" s="2" t="s">
        <v>194</v>
      </c>
      <c r="K14" s="5">
        <v>7.8</v>
      </c>
    </row>
    <row r="15" spans="1:11" ht="14.4">
      <c r="J15" s="2" t="s">
        <v>195</v>
      </c>
      <c r="K15" s="5">
        <v>10.199999999999999</v>
      </c>
    </row>
    <row r="16" spans="1:11" ht="14.4">
      <c r="J16" s="2" t="s">
        <v>196</v>
      </c>
      <c r="K16" s="5">
        <v>14.5</v>
      </c>
    </row>
    <row r="17" spans="10:11" ht="14.4">
      <c r="J17" s="2" t="s">
        <v>197</v>
      </c>
      <c r="K17" s="5">
        <v>11.2</v>
      </c>
    </row>
    <row r="18" spans="10:11" ht="14.4">
      <c r="J18" s="2" t="s">
        <v>198</v>
      </c>
      <c r="K18" s="5">
        <v>9.5</v>
      </c>
    </row>
    <row r="19" spans="10:11" ht="14.4">
      <c r="J19" s="2" t="s">
        <v>199</v>
      </c>
      <c r="K19" s="5">
        <v>11.8</v>
      </c>
    </row>
    <row r="20" spans="10:11" ht="14.4">
      <c r="J20" s="2" t="s">
        <v>200</v>
      </c>
      <c r="K20" s="5">
        <v>10.8</v>
      </c>
    </row>
    <row r="21" spans="10:11" ht="14.4">
      <c r="J21" s="2" t="s">
        <v>201</v>
      </c>
      <c r="K21" s="5">
        <v>9.1999999999999993</v>
      </c>
    </row>
    <row r="22" spans="10:11" ht="14.4">
      <c r="J22" s="2" t="s">
        <v>202</v>
      </c>
      <c r="K22" s="5">
        <v>8.8000000000000007</v>
      </c>
    </row>
    <row r="23" spans="10:11" ht="14.4">
      <c r="J23" s="2" t="s">
        <v>203</v>
      </c>
      <c r="K23" s="5">
        <v>13.5</v>
      </c>
    </row>
    <row r="24" spans="10:11" ht="14.4">
      <c r="J24" s="2" t="s">
        <v>204</v>
      </c>
      <c r="K24" s="5">
        <v>12.1</v>
      </c>
    </row>
    <row r="25" spans="10:11" ht="14.4">
      <c r="J25" s="2" t="s">
        <v>205</v>
      </c>
      <c r="K25" s="5">
        <v>10.5</v>
      </c>
    </row>
    <row r="26" spans="10:11" ht="14.4">
      <c r="J26" s="2" t="s">
        <v>206</v>
      </c>
      <c r="K26" s="5">
        <v>11.2</v>
      </c>
    </row>
    <row r="27" spans="10:11" ht="14.4">
      <c r="J27" s="2" t="s">
        <v>207</v>
      </c>
      <c r="K27" s="5">
        <v>14.8</v>
      </c>
    </row>
    <row r="28" spans="10:11" ht="39.6">
      <c r="J28" s="2" t="s">
        <v>599</v>
      </c>
      <c r="K28" s="5">
        <v>15.2</v>
      </c>
    </row>
  </sheetData>
  <mergeCells count="1">
    <mergeCell ref="A1:H1"/>
  </mergeCells>
  <phoneticPr fontId="19" type="noConversion"/>
  <hyperlinks>
    <hyperlink ref="H3" r:id="rId1" location="Dashboard!A1" xr:uid="{00000000-0004-0000-1E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9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3" customWidth="1"/>
    <col min="2" max="2" width="14" customWidth="1"/>
    <col min="3" max="3" width="16" customWidth="1"/>
    <col min="4" max="4" width="12" customWidth="1"/>
    <col min="5" max="6" width="11" customWidth="1"/>
    <col min="7" max="7" width="8" customWidth="1"/>
    <col min="8" max="8" width="19" customWidth="1"/>
    <col min="9" max="9" width="8" customWidth="1"/>
    <col min="10" max="10" width="22" customWidth="1"/>
    <col min="11" max="11" width="24" customWidth="1"/>
  </cols>
  <sheetData>
    <row r="1" spans="1:11" ht="24" customHeight="1">
      <c r="A1" s="35" t="s">
        <v>600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2" t="s">
        <v>150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8">
        <v>22000</v>
      </c>
      <c r="E4" s="1" t="s">
        <v>51</v>
      </c>
      <c r="F4" s="8">
        <v>22000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601</v>
      </c>
      <c r="J7" s="7" t="s">
        <v>179</v>
      </c>
      <c r="K7" s="7" t="s">
        <v>180</v>
      </c>
    </row>
    <row r="8" spans="1:11" ht="26.4">
      <c r="A8" s="8">
        <v>2021</v>
      </c>
      <c r="B8" s="2" t="s">
        <v>602</v>
      </c>
      <c r="C8" s="2" t="s">
        <v>603</v>
      </c>
      <c r="D8" s="2" t="s">
        <v>604</v>
      </c>
      <c r="E8" s="2" t="s">
        <v>605</v>
      </c>
      <c r="F8" s="2" t="s">
        <v>606</v>
      </c>
      <c r="J8" s="2" t="s">
        <v>607</v>
      </c>
      <c r="K8" s="8">
        <v>1200000</v>
      </c>
    </row>
    <row r="9" spans="1:11" ht="26.4">
      <c r="A9" s="8">
        <v>2022</v>
      </c>
      <c r="B9" s="2" t="s">
        <v>608</v>
      </c>
      <c r="C9" s="2" t="s">
        <v>609</v>
      </c>
      <c r="D9" s="2" t="s">
        <v>610</v>
      </c>
      <c r="E9" s="2" t="s">
        <v>611</v>
      </c>
      <c r="F9" s="2" t="s">
        <v>612</v>
      </c>
      <c r="J9" s="2" t="s">
        <v>613</v>
      </c>
      <c r="K9" s="8">
        <v>2100000</v>
      </c>
    </row>
    <row r="10" spans="1:11" ht="26.4">
      <c r="A10" s="8">
        <v>2023</v>
      </c>
      <c r="B10" s="2" t="s">
        <v>614</v>
      </c>
      <c r="C10" s="2" t="s">
        <v>615</v>
      </c>
      <c r="D10" s="2" t="s">
        <v>616</v>
      </c>
      <c r="E10" s="2" t="s">
        <v>617</v>
      </c>
      <c r="F10" s="2" t="s">
        <v>618</v>
      </c>
      <c r="J10" s="14" t="s">
        <v>186</v>
      </c>
      <c r="K10" s="13" t="s">
        <v>187</v>
      </c>
    </row>
    <row r="11" spans="1:11" ht="26.4">
      <c r="A11" s="8">
        <v>2024</v>
      </c>
      <c r="B11" s="2" t="s">
        <v>619</v>
      </c>
      <c r="C11" s="2" t="s">
        <v>620</v>
      </c>
      <c r="D11" s="2" t="s">
        <v>621</v>
      </c>
      <c r="E11" s="2" t="s">
        <v>620</v>
      </c>
      <c r="F11" s="2" t="s">
        <v>622</v>
      </c>
      <c r="J11" s="14" t="s">
        <v>189</v>
      </c>
      <c r="K11" s="13" t="s">
        <v>190</v>
      </c>
    </row>
    <row r="12" spans="1:11" ht="26.4">
      <c r="A12" s="8">
        <v>2025</v>
      </c>
      <c r="B12" s="2" t="s">
        <v>623</v>
      </c>
      <c r="C12" s="2" t="s">
        <v>624</v>
      </c>
      <c r="D12" s="2" t="s">
        <v>625</v>
      </c>
      <c r="E12" s="2" t="s">
        <v>626</v>
      </c>
      <c r="F12" s="2" t="s">
        <v>627</v>
      </c>
      <c r="J12" s="2" t="s">
        <v>628</v>
      </c>
      <c r="K12" s="8">
        <v>1300000</v>
      </c>
    </row>
    <row r="13" spans="1:11" ht="26.4">
      <c r="A13" s="8">
        <v>2026</v>
      </c>
      <c r="B13" s="2" t="s">
        <v>629</v>
      </c>
      <c r="C13" s="2" t="s">
        <v>630</v>
      </c>
      <c r="D13" s="2" t="s">
        <v>233</v>
      </c>
      <c r="E13" s="2" t="s">
        <v>233</v>
      </c>
      <c r="F13" s="2" t="s">
        <v>631</v>
      </c>
      <c r="J13" s="2" t="s">
        <v>632</v>
      </c>
      <c r="K13" s="8">
        <v>950000</v>
      </c>
    </row>
    <row r="14" spans="1:11" ht="26.4">
      <c r="J14" s="2" t="s">
        <v>633</v>
      </c>
      <c r="K14" s="8">
        <v>780000</v>
      </c>
    </row>
    <row r="15" spans="1:11" ht="26.4">
      <c r="J15" s="2" t="s">
        <v>634</v>
      </c>
      <c r="K15" s="8">
        <v>650000</v>
      </c>
    </row>
    <row r="16" spans="1:11" ht="26.4">
      <c r="J16" s="2" t="s">
        <v>635</v>
      </c>
      <c r="K16" s="8">
        <v>620000</v>
      </c>
    </row>
    <row r="17" spans="10:11" ht="26.4">
      <c r="J17" s="2" t="s">
        <v>636</v>
      </c>
      <c r="K17" s="8">
        <v>580000</v>
      </c>
    </row>
    <row r="18" spans="10:11" ht="26.4">
      <c r="J18" s="2" t="s">
        <v>637</v>
      </c>
      <c r="K18" s="8">
        <v>450000</v>
      </c>
    </row>
    <row r="19" spans="10:11" ht="26.4">
      <c r="J19" s="2" t="s">
        <v>638</v>
      </c>
      <c r="K19" s="8">
        <v>380000</v>
      </c>
    </row>
    <row r="20" spans="10:11" ht="26.4">
      <c r="J20" s="2" t="s">
        <v>639</v>
      </c>
      <c r="K20" s="8">
        <v>210000</v>
      </c>
    </row>
    <row r="21" spans="10:11" ht="26.4">
      <c r="J21" s="2" t="s">
        <v>640</v>
      </c>
      <c r="K21" s="8">
        <v>190000</v>
      </c>
    </row>
    <row r="22" spans="10:11" ht="26.4">
      <c r="J22" s="2" t="s">
        <v>641</v>
      </c>
      <c r="K22" s="8">
        <v>180000</v>
      </c>
    </row>
    <row r="23" spans="10:11" ht="26.4">
      <c r="J23" s="2" t="s">
        <v>642</v>
      </c>
      <c r="K23" s="8">
        <v>190000</v>
      </c>
    </row>
    <row r="24" spans="10:11" ht="26.4">
      <c r="J24" s="2" t="s">
        <v>643</v>
      </c>
      <c r="K24" s="8">
        <v>110000</v>
      </c>
    </row>
    <row r="25" spans="10:11" ht="26.4">
      <c r="J25" s="2" t="s">
        <v>644</v>
      </c>
      <c r="K25" s="8">
        <v>100000</v>
      </c>
    </row>
    <row r="26" spans="10:11" ht="26.4">
      <c r="J26" s="2" t="s">
        <v>645</v>
      </c>
      <c r="K26" s="8">
        <v>95000</v>
      </c>
    </row>
    <row r="27" spans="10:11" ht="26.4">
      <c r="J27" s="2" t="s">
        <v>646</v>
      </c>
      <c r="K27" s="8">
        <v>93000</v>
      </c>
    </row>
    <row r="28" spans="10:11" ht="26.4">
      <c r="J28" s="2" t="s">
        <v>647</v>
      </c>
      <c r="K28" s="8">
        <v>22000</v>
      </c>
    </row>
    <row r="29" spans="10:11" ht="26.4">
      <c r="J29" s="2" t="s">
        <v>648</v>
      </c>
      <c r="K29" s="8">
        <v>22000</v>
      </c>
    </row>
  </sheetData>
  <mergeCells count="1">
    <mergeCell ref="A1:H1"/>
  </mergeCells>
  <phoneticPr fontId="19" type="noConversion"/>
  <hyperlinks>
    <hyperlink ref="H3" r:id="rId1" location="Dashboard!A1" xr:uid="{00000000-0004-0000-1F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5" customWidth="1"/>
    <col min="2" max="2" width="14" customWidth="1"/>
    <col min="3" max="3" width="16" customWidth="1"/>
    <col min="4" max="4" width="15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5" t="s">
        <v>649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36</v>
      </c>
      <c r="C3" s="1" t="s">
        <v>171</v>
      </c>
      <c r="D3" s="2" t="s">
        <v>152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6.9</v>
      </c>
      <c r="E4" s="1" t="s">
        <v>51</v>
      </c>
      <c r="F4" s="12">
        <v>7.5999999999999998E-2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650</v>
      </c>
      <c r="J7" s="7" t="s">
        <v>179</v>
      </c>
      <c r="K7" s="7" t="s">
        <v>180</v>
      </c>
    </row>
    <row r="8" spans="1:11" ht="39.6">
      <c r="A8" s="8">
        <v>2021</v>
      </c>
      <c r="B8" s="12">
        <v>8.5000000000000006E-2</v>
      </c>
      <c r="C8" s="12">
        <v>0.16200000000000001</v>
      </c>
      <c r="D8" s="12">
        <v>0.14799999999999999</v>
      </c>
      <c r="E8" s="12">
        <v>0.16500000000000001</v>
      </c>
      <c r="F8" s="3" t="s">
        <v>651</v>
      </c>
      <c r="J8" s="2" t="s">
        <v>652</v>
      </c>
      <c r="K8" s="12">
        <v>8.5000000000000006E-2</v>
      </c>
    </row>
    <row r="9" spans="1:11" ht="39.6">
      <c r="A9" s="8">
        <v>2022</v>
      </c>
      <c r="B9" s="12">
        <v>0.14499999999999999</v>
      </c>
      <c r="C9" s="12">
        <v>0.13800000000000001</v>
      </c>
      <c r="D9" s="12">
        <v>0.125</v>
      </c>
      <c r="E9" s="12">
        <v>8.2000000000000003E-2</v>
      </c>
      <c r="F9" s="3" t="s">
        <v>653</v>
      </c>
      <c r="J9" s="2" t="s">
        <v>654</v>
      </c>
      <c r="K9" s="12">
        <v>0.16200000000000001</v>
      </c>
    </row>
    <row r="10" spans="1:11" ht="39.6">
      <c r="A10" s="8">
        <v>2023</v>
      </c>
      <c r="B10" s="12">
        <v>5.5E-2</v>
      </c>
      <c r="C10" s="12">
        <v>1.7999999999999999E-2</v>
      </c>
      <c r="D10" s="12">
        <v>3.5000000000000003E-2</v>
      </c>
      <c r="E10" s="12">
        <v>5.1999999999999998E-2</v>
      </c>
      <c r="F10" s="3" t="s">
        <v>655</v>
      </c>
      <c r="J10" s="14" t="s">
        <v>186</v>
      </c>
      <c r="K10" s="15" t="s">
        <v>187</v>
      </c>
    </row>
    <row r="11" spans="1:11" ht="39.6">
      <c r="A11" s="8">
        <v>2024</v>
      </c>
      <c r="B11" s="12">
        <v>5.1999999999999998E-2</v>
      </c>
      <c r="C11" s="12">
        <v>5.8000000000000003E-2</v>
      </c>
      <c r="D11" s="12">
        <v>5.5E-2</v>
      </c>
      <c r="E11" s="12">
        <v>6.2E-2</v>
      </c>
      <c r="F11" s="3" t="s">
        <v>656</v>
      </c>
      <c r="J11" s="14" t="s">
        <v>189</v>
      </c>
      <c r="K11" s="15" t="s">
        <v>190</v>
      </c>
    </row>
    <row r="12" spans="1:11" ht="39.6">
      <c r="A12" s="8">
        <v>2025</v>
      </c>
      <c r="B12" s="12">
        <v>6.5000000000000002E-2</v>
      </c>
      <c r="C12" s="12">
        <v>6.8000000000000005E-2</v>
      </c>
      <c r="D12" s="12">
        <v>6.2E-2</v>
      </c>
      <c r="E12" s="12">
        <v>7.5999999999999998E-2</v>
      </c>
      <c r="F12" s="3" t="s">
        <v>657</v>
      </c>
      <c r="J12" s="2" t="s">
        <v>192</v>
      </c>
      <c r="K12" s="12">
        <v>0.14499999999999999</v>
      </c>
    </row>
    <row r="13" spans="1:11" ht="26.4">
      <c r="A13" s="8">
        <v>2026</v>
      </c>
      <c r="B13" s="2" t="s">
        <v>658</v>
      </c>
      <c r="C13" s="2" t="s">
        <v>233</v>
      </c>
      <c r="D13" s="2" t="s">
        <v>233</v>
      </c>
      <c r="E13" s="2" t="s">
        <v>233</v>
      </c>
      <c r="F13" s="3" t="s">
        <v>659</v>
      </c>
      <c r="J13" s="2" t="s">
        <v>193</v>
      </c>
      <c r="K13" s="12">
        <v>0.13800000000000001</v>
      </c>
    </row>
    <row r="14" spans="1:11" ht="14.4">
      <c r="J14" s="2" t="s">
        <v>194</v>
      </c>
      <c r="K14" s="12">
        <v>0.125</v>
      </c>
    </row>
    <row r="15" spans="1:11" ht="14.4">
      <c r="J15" s="2" t="s">
        <v>195</v>
      </c>
      <c r="K15" s="12">
        <v>8.2000000000000003E-2</v>
      </c>
    </row>
    <row r="16" spans="1:11" ht="14.4">
      <c r="J16" s="2" t="s">
        <v>196</v>
      </c>
      <c r="K16" s="12">
        <v>5.5E-2</v>
      </c>
    </row>
    <row r="17" spans="10:11" ht="14.4">
      <c r="J17" s="2" t="s">
        <v>197</v>
      </c>
      <c r="K17" s="12">
        <v>1.7999999999999999E-2</v>
      </c>
    </row>
    <row r="18" spans="10:11" ht="14.4">
      <c r="J18" s="2" t="s">
        <v>198</v>
      </c>
      <c r="K18" s="12">
        <v>3.5000000000000003E-2</v>
      </c>
    </row>
    <row r="19" spans="10:11" ht="14.4">
      <c r="J19" s="2" t="s">
        <v>199</v>
      </c>
      <c r="K19" s="12">
        <v>5.1999999999999998E-2</v>
      </c>
    </row>
    <row r="20" spans="10:11" ht="14.4">
      <c r="J20" s="2" t="s">
        <v>200</v>
      </c>
      <c r="K20" s="12">
        <v>5.1999999999999998E-2</v>
      </c>
    </row>
    <row r="21" spans="10:11" ht="14.4">
      <c r="J21" s="2" t="s">
        <v>201</v>
      </c>
      <c r="K21" s="12">
        <v>5.8000000000000003E-2</v>
      </c>
    </row>
    <row r="22" spans="10:11" ht="14.4">
      <c r="J22" s="2" t="s">
        <v>202</v>
      </c>
      <c r="K22" s="12">
        <v>5.5E-2</v>
      </c>
    </row>
    <row r="23" spans="10:11" ht="14.4">
      <c r="J23" s="2" t="s">
        <v>203</v>
      </c>
      <c r="K23" s="12">
        <v>6.2E-2</v>
      </c>
    </row>
    <row r="24" spans="10:11" ht="14.4">
      <c r="J24" s="2" t="s">
        <v>204</v>
      </c>
      <c r="K24" s="12">
        <v>6.5000000000000002E-2</v>
      </c>
    </row>
    <row r="25" spans="10:11" ht="14.4">
      <c r="J25" s="2" t="s">
        <v>205</v>
      </c>
      <c r="K25" s="12">
        <v>6.8000000000000005E-2</v>
      </c>
    </row>
    <row r="26" spans="10:11" ht="14.4">
      <c r="J26" s="2" t="s">
        <v>206</v>
      </c>
      <c r="K26" s="12">
        <v>6.2E-2</v>
      </c>
    </row>
    <row r="27" spans="10:11" ht="14.4">
      <c r="J27" s="2" t="s">
        <v>207</v>
      </c>
      <c r="K27" s="12">
        <v>7.5999999999999998E-2</v>
      </c>
    </row>
    <row r="28" spans="10:11" ht="14.4">
      <c r="J28" s="2" t="s">
        <v>234</v>
      </c>
      <c r="K28" s="5">
        <v>6.9</v>
      </c>
    </row>
  </sheetData>
  <mergeCells count="1">
    <mergeCell ref="A1:H1"/>
  </mergeCells>
  <phoneticPr fontId="19" type="noConversion"/>
  <hyperlinks>
    <hyperlink ref="H3" r:id="rId1" location="Dashboard!A1" xr:uid="{00000000-0004-0000-20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5" customWidth="1"/>
    <col min="2" max="2" width="13" customWidth="1"/>
    <col min="3" max="3" width="16" customWidth="1"/>
    <col min="4" max="4" width="15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7" t="s">
        <v>660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42</v>
      </c>
      <c r="C3" s="1" t="s">
        <v>171</v>
      </c>
      <c r="D3" s="3" t="s">
        <v>154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78</v>
      </c>
      <c r="E4" s="1" t="s">
        <v>51</v>
      </c>
      <c r="F4" s="5">
        <v>58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661</v>
      </c>
      <c r="J7" s="7" t="s">
        <v>179</v>
      </c>
      <c r="K7" s="7" t="s">
        <v>180</v>
      </c>
    </row>
    <row r="8" spans="1:11" ht="26.4">
      <c r="A8" s="8">
        <v>2021</v>
      </c>
      <c r="B8" s="8">
        <v>35</v>
      </c>
      <c r="C8" s="8">
        <v>22</v>
      </c>
      <c r="D8" s="8">
        <v>21</v>
      </c>
      <c r="E8" s="8">
        <v>28</v>
      </c>
      <c r="F8" s="3" t="s">
        <v>662</v>
      </c>
      <c r="J8" s="2" t="s">
        <v>182</v>
      </c>
      <c r="K8" s="5">
        <v>35</v>
      </c>
    </row>
    <row r="9" spans="1:11" ht="39.6">
      <c r="A9" s="8">
        <v>2022</v>
      </c>
      <c r="B9" s="8">
        <v>25</v>
      </c>
      <c r="C9" s="8">
        <v>18</v>
      </c>
      <c r="D9" s="8">
        <v>24</v>
      </c>
      <c r="E9" s="8">
        <v>40</v>
      </c>
      <c r="F9" s="3" t="s">
        <v>663</v>
      </c>
      <c r="J9" s="2" t="s">
        <v>184</v>
      </c>
      <c r="K9" s="5">
        <v>22</v>
      </c>
    </row>
    <row r="10" spans="1:11" ht="26.4">
      <c r="A10" s="8">
        <v>2023</v>
      </c>
      <c r="B10" s="8">
        <v>52</v>
      </c>
      <c r="C10" s="8">
        <v>35</v>
      </c>
      <c r="D10" s="8">
        <v>31</v>
      </c>
      <c r="E10" s="8">
        <v>38</v>
      </c>
      <c r="F10" s="3" t="s">
        <v>664</v>
      </c>
      <c r="J10" s="14" t="s">
        <v>186</v>
      </c>
      <c r="K10" s="10" t="s">
        <v>187</v>
      </c>
    </row>
    <row r="11" spans="1:11" ht="26.4">
      <c r="A11" s="8">
        <v>2024</v>
      </c>
      <c r="B11" s="8">
        <v>45</v>
      </c>
      <c r="C11" s="8">
        <v>32</v>
      </c>
      <c r="D11" s="8">
        <v>34</v>
      </c>
      <c r="E11" s="8">
        <v>42</v>
      </c>
      <c r="F11" s="3" t="s">
        <v>665</v>
      </c>
      <c r="J11" s="14" t="s">
        <v>189</v>
      </c>
      <c r="K11" s="10" t="s">
        <v>190</v>
      </c>
    </row>
    <row r="12" spans="1:11" ht="26.4">
      <c r="A12" s="8">
        <v>2025</v>
      </c>
      <c r="B12" s="8">
        <v>53</v>
      </c>
      <c r="C12" s="8">
        <v>41</v>
      </c>
      <c r="D12" s="8">
        <v>46</v>
      </c>
      <c r="E12" s="8">
        <v>58</v>
      </c>
      <c r="F12" s="3" t="s">
        <v>666</v>
      </c>
      <c r="J12" s="2" t="s">
        <v>192</v>
      </c>
      <c r="K12" s="5">
        <v>25</v>
      </c>
    </row>
    <row r="13" spans="1:11" ht="26.4">
      <c r="A13" s="8">
        <v>2026</v>
      </c>
      <c r="B13" s="2" t="s">
        <v>667</v>
      </c>
      <c r="C13" s="2" t="s">
        <v>233</v>
      </c>
      <c r="D13" s="2" t="s">
        <v>233</v>
      </c>
      <c r="E13" s="2" t="s">
        <v>233</v>
      </c>
      <c r="F13" s="3" t="s">
        <v>668</v>
      </c>
      <c r="J13" s="2" t="s">
        <v>193</v>
      </c>
      <c r="K13" s="5">
        <v>18</v>
      </c>
    </row>
    <row r="14" spans="1:11" ht="14.4">
      <c r="J14" s="2" t="s">
        <v>194</v>
      </c>
      <c r="K14" s="5">
        <v>24</v>
      </c>
    </row>
    <row r="15" spans="1:11" ht="14.4">
      <c r="J15" s="2" t="s">
        <v>195</v>
      </c>
      <c r="K15" s="5">
        <v>40</v>
      </c>
    </row>
    <row r="16" spans="1:11" ht="14.4">
      <c r="J16" s="2" t="s">
        <v>196</v>
      </c>
      <c r="K16" s="5">
        <v>52</v>
      </c>
    </row>
    <row r="17" spans="10:11" ht="14.4">
      <c r="J17" s="2" t="s">
        <v>197</v>
      </c>
      <c r="K17" s="5">
        <v>35</v>
      </c>
    </row>
    <row r="18" spans="10:11" ht="14.4">
      <c r="J18" s="2" t="s">
        <v>198</v>
      </c>
      <c r="K18" s="5">
        <v>31</v>
      </c>
    </row>
    <row r="19" spans="10:11" ht="14.4">
      <c r="J19" s="2" t="s">
        <v>199</v>
      </c>
      <c r="K19" s="5">
        <v>38</v>
      </c>
    </row>
    <row r="20" spans="10:11" ht="39.6">
      <c r="J20" s="2" t="s">
        <v>669</v>
      </c>
      <c r="K20" s="5">
        <v>45</v>
      </c>
    </row>
    <row r="21" spans="10:11" ht="39.6">
      <c r="J21" s="2" t="s">
        <v>670</v>
      </c>
      <c r="K21" s="5">
        <v>32</v>
      </c>
    </row>
    <row r="22" spans="10:11" ht="39.6">
      <c r="J22" s="2" t="s">
        <v>671</v>
      </c>
      <c r="K22" s="5">
        <v>34</v>
      </c>
    </row>
    <row r="23" spans="10:11" ht="39.6">
      <c r="J23" s="2" t="s">
        <v>672</v>
      </c>
      <c r="K23" s="5">
        <v>42</v>
      </c>
    </row>
    <row r="24" spans="10:11" ht="14.4">
      <c r="J24" s="2" t="s">
        <v>204</v>
      </c>
      <c r="K24" s="5">
        <v>53</v>
      </c>
    </row>
    <row r="25" spans="10:11" ht="14.4">
      <c r="J25" s="2" t="s">
        <v>205</v>
      </c>
      <c r="K25" s="5">
        <v>41</v>
      </c>
    </row>
    <row r="26" spans="10:11" ht="14.4">
      <c r="J26" s="2" t="s">
        <v>206</v>
      </c>
      <c r="K26" s="5">
        <v>46</v>
      </c>
    </row>
    <row r="27" spans="10:11" ht="14.4">
      <c r="J27" s="2" t="s">
        <v>207</v>
      </c>
      <c r="K27" s="5">
        <v>58</v>
      </c>
    </row>
    <row r="28" spans="10:11" ht="14.4">
      <c r="J28" s="2" t="s">
        <v>234</v>
      </c>
      <c r="K28" s="5">
        <v>78</v>
      </c>
    </row>
  </sheetData>
  <mergeCells count="1">
    <mergeCell ref="A1:H1"/>
  </mergeCells>
  <phoneticPr fontId="19" type="noConversion"/>
  <hyperlinks>
    <hyperlink ref="H3" r:id="rId1" location="Dashboard!A1" xr:uid="{00000000-0004-0000-21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4" customWidth="1"/>
    <col min="3" max="3" width="16" customWidth="1"/>
    <col min="4" max="4" width="14" customWidth="1"/>
    <col min="5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5" t="s">
        <v>673</v>
      </c>
      <c r="B1" s="35"/>
      <c r="C1" s="35"/>
      <c r="D1" s="35"/>
      <c r="E1" s="35"/>
      <c r="F1" s="35"/>
      <c r="G1" s="35"/>
      <c r="H1" s="35"/>
    </row>
    <row r="3" spans="1:11" ht="26.4">
      <c r="A3" s="1" t="s">
        <v>64</v>
      </c>
      <c r="B3" s="2" t="s">
        <v>42</v>
      </c>
      <c r="C3" s="1" t="s">
        <v>171</v>
      </c>
      <c r="D3" s="2" t="s">
        <v>156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72</v>
      </c>
      <c r="C4" s="1" t="s">
        <v>50</v>
      </c>
      <c r="D4" s="5">
        <v>3.55</v>
      </c>
      <c r="E4" s="1" t="s">
        <v>51</v>
      </c>
      <c r="F4" s="5">
        <v>3.6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674</v>
      </c>
      <c r="J7" s="7" t="s">
        <v>179</v>
      </c>
      <c r="K7" s="7" t="s">
        <v>180</v>
      </c>
    </row>
    <row r="8" spans="1:11" ht="39.6">
      <c r="A8" s="8">
        <v>2021</v>
      </c>
      <c r="B8" s="5">
        <v>6.5</v>
      </c>
      <c r="C8" s="5">
        <v>6.1</v>
      </c>
      <c r="D8" s="5">
        <v>6.25</v>
      </c>
      <c r="E8" s="5">
        <v>6.45</v>
      </c>
      <c r="F8" s="3" t="s">
        <v>675</v>
      </c>
      <c r="J8" s="2" t="s">
        <v>676</v>
      </c>
      <c r="K8" s="5">
        <v>6.5</v>
      </c>
    </row>
    <row r="9" spans="1:11" ht="39.6">
      <c r="A9" s="8">
        <v>2022</v>
      </c>
      <c r="B9" s="5">
        <v>5.8</v>
      </c>
      <c r="C9" s="5">
        <v>5.3</v>
      </c>
      <c r="D9" s="5">
        <v>4.5999999999999996</v>
      </c>
      <c r="E9" s="5">
        <v>4.0999999999999996</v>
      </c>
      <c r="F9" s="3" t="s">
        <v>677</v>
      </c>
      <c r="J9" s="2" t="s">
        <v>678</v>
      </c>
      <c r="K9" s="5">
        <v>6.1</v>
      </c>
    </row>
    <row r="10" spans="1:11" ht="39.6">
      <c r="A10" s="8">
        <v>2023</v>
      </c>
      <c r="B10" s="5">
        <v>3.95</v>
      </c>
      <c r="C10" s="5">
        <v>4.1500000000000004</v>
      </c>
      <c r="D10" s="5">
        <v>4.05</v>
      </c>
      <c r="E10" s="5">
        <v>3.85</v>
      </c>
      <c r="F10" s="3" t="s">
        <v>679</v>
      </c>
      <c r="J10" s="14" t="s">
        <v>186</v>
      </c>
      <c r="K10" s="10" t="s">
        <v>187</v>
      </c>
    </row>
    <row r="11" spans="1:11" ht="26.4">
      <c r="A11" s="8">
        <v>2024</v>
      </c>
      <c r="B11" s="5">
        <v>4.05</v>
      </c>
      <c r="C11" s="5">
        <v>4.2</v>
      </c>
      <c r="D11" s="5">
        <v>3.9</v>
      </c>
      <c r="E11" s="5">
        <v>4.1500000000000004</v>
      </c>
      <c r="F11" s="3" t="s">
        <v>680</v>
      </c>
      <c r="J11" s="14" t="s">
        <v>189</v>
      </c>
      <c r="K11" s="10" t="s">
        <v>190</v>
      </c>
    </row>
    <row r="12" spans="1:11" ht="26.4">
      <c r="A12" s="8">
        <v>2025</v>
      </c>
      <c r="B12" s="5">
        <v>3.8</v>
      </c>
      <c r="C12" s="5">
        <v>3.95</v>
      </c>
      <c r="D12" s="5">
        <v>3.75</v>
      </c>
      <c r="E12" s="5">
        <v>3.6</v>
      </c>
      <c r="F12" s="3" t="s">
        <v>681</v>
      </c>
      <c r="J12" s="2" t="s">
        <v>192</v>
      </c>
      <c r="K12" s="5">
        <v>5.8</v>
      </c>
    </row>
    <row r="13" spans="1:11" ht="39.6">
      <c r="A13" s="8">
        <v>2026</v>
      </c>
      <c r="B13" s="2" t="s">
        <v>682</v>
      </c>
      <c r="C13" s="2" t="s">
        <v>233</v>
      </c>
      <c r="D13" s="2" t="s">
        <v>233</v>
      </c>
      <c r="E13" s="2" t="s">
        <v>233</v>
      </c>
      <c r="F13" s="3" t="s">
        <v>683</v>
      </c>
      <c r="J13" s="2" t="s">
        <v>193</v>
      </c>
      <c r="K13" s="5">
        <v>5.3</v>
      </c>
    </row>
    <row r="14" spans="1:11" ht="14.4">
      <c r="J14" s="2" t="s">
        <v>194</v>
      </c>
      <c r="K14" s="5">
        <v>4.5999999999999996</v>
      </c>
    </row>
    <row r="15" spans="1:11" ht="14.4">
      <c r="J15" s="2" t="s">
        <v>195</v>
      </c>
      <c r="K15" s="5">
        <v>4.0999999999999996</v>
      </c>
    </row>
    <row r="16" spans="1:11" ht="14.4">
      <c r="J16" s="2" t="s">
        <v>196</v>
      </c>
      <c r="K16" s="5">
        <v>3.95</v>
      </c>
    </row>
    <row r="17" spans="10:11" ht="14.4">
      <c r="J17" s="2" t="s">
        <v>197</v>
      </c>
      <c r="K17" s="5">
        <v>4.1500000000000004</v>
      </c>
    </row>
    <row r="18" spans="10:11" ht="14.4">
      <c r="J18" s="2" t="s">
        <v>198</v>
      </c>
      <c r="K18" s="5">
        <v>4.05</v>
      </c>
    </row>
    <row r="19" spans="10:11" ht="14.4">
      <c r="J19" s="2" t="s">
        <v>199</v>
      </c>
      <c r="K19" s="5">
        <v>3.85</v>
      </c>
    </row>
    <row r="20" spans="10:11" ht="39.6">
      <c r="J20" s="2" t="s">
        <v>684</v>
      </c>
      <c r="K20" s="5">
        <v>4.05</v>
      </c>
    </row>
    <row r="21" spans="10:11" ht="39.6">
      <c r="J21" s="2" t="s">
        <v>685</v>
      </c>
      <c r="K21" s="5">
        <v>4.2</v>
      </c>
    </row>
    <row r="22" spans="10:11" ht="39.6">
      <c r="J22" s="2" t="s">
        <v>686</v>
      </c>
      <c r="K22" s="5">
        <v>3.9</v>
      </c>
    </row>
    <row r="23" spans="10:11" ht="39.6">
      <c r="J23" s="2" t="s">
        <v>687</v>
      </c>
      <c r="K23" s="5">
        <v>4.1500000000000004</v>
      </c>
    </row>
    <row r="24" spans="10:11" ht="14.4">
      <c r="J24" s="2" t="s">
        <v>204</v>
      </c>
      <c r="K24" s="5">
        <v>3.8</v>
      </c>
    </row>
    <row r="25" spans="10:11" ht="14.4">
      <c r="J25" s="2" t="s">
        <v>205</v>
      </c>
      <c r="K25" s="5">
        <v>3.95</v>
      </c>
    </row>
    <row r="26" spans="10:11" ht="14.4">
      <c r="J26" s="2" t="s">
        <v>206</v>
      </c>
      <c r="K26" s="5">
        <v>3.75</v>
      </c>
    </row>
    <row r="27" spans="10:11" ht="14.4">
      <c r="J27" s="2" t="s">
        <v>207</v>
      </c>
      <c r="K27" s="5">
        <v>3.6</v>
      </c>
    </row>
    <row r="28" spans="10:11" ht="14.4">
      <c r="J28" s="2" t="s">
        <v>234</v>
      </c>
      <c r="K28" s="5">
        <v>3.55</v>
      </c>
    </row>
  </sheetData>
  <mergeCells count="1">
    <mergeCell ref="A1:H1"/>
  </mergeCells>
  <phoneticPr fontId="19" type="noConversion"/>
  <hyperlinks>
    <hyperlink ref="H3" r:id="rId1" location="Dashboard!A1" xr:uid="{00000000-0004-0000-22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8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3" customWidth="1"/>
    <col min="3" max="3" width="16" customWidth="1"/>
    <col min="4" max="5" width="11" customWidth="1"/>
    <col min="6" max="6" width="24" customWidth="1"/>
    <col min="7" max="7" width="8" customWidth="1"/>
    <col min="8" max="8" width="19" customWidth="1"/>
    <col min="9" max="9" width="8" customWidth="1"/>
    <col min="10" max="11" width="24" customWidth="1"/>
  </cols>
  <sheetData>
    <row r="1" spans="1:11" ht="24" customHeight="1">
      <c r="A1" s="37" t="s">
        <v>158</v>
      </c>
      <c r="B1" s="37"/>
      <c r="C1" s="37"/>
      <c r="D1" s="37"/>
      <c r="E1" s="37"/>
      <c r="F1" s="37"/>
      <c r="G1" s="37"/>
      <c r="H1" s="37"/>
    </row>
    <row r="3" spans="1:11" ht="26.4">
      <c r="A3" s="1" t="s">
        <v>64</v>
      </c>
      <c r="B3" s="2" t="s">
        <v>42</v>
      </c>
      <c r="C3" s="1" t="s">
        <v>171</v>
      </c>
      <c r="D3" s="3" t="s">
        <v>158</v>
      </c>
      <c r="E3" s="1" t="s">
        <v>66</v>
      </c>
      <c r="F3" s="2" t="s">
        <v>71</v>
      </c>
      <c r="H3" s="4" t="s">
        <v>172</v>
      </c>
    </row>
    <row r="4" spans="1:11" ht="14.4">
      <c r="A4" s="1" t="s">
        <v>67</v>
      </c>
      <c r="B4" s="2" t="s">
        <v>80</v>
      </c>
      <c r="C4" s="1" t="s">
        <v>50</v>
      </c>
      <c r="D4" s="5">
        <v>415</v>
      </c>
      <c r="E4" s="1" t="s">
        <v>51</v>
      </c>
      <c r="F4" s="5">
        <v>408</v>
      </c>
    </row>
    <row r="7" spans="1:11" ht="26.4">
      <c r="A7" s="6" t="s">
        <v>173</v>
      </c>
      <c r="B7" s="6" t="s">
        <v>174</v>
      </c>
      <c r="C7" s="6" t="s">
        <v>175</v>
      </c>
      <c r="D7" s="6" t="s">
        <v>176</v>
      </c>
      <c r="E7" s="6" t="s">
        <v>177</v>
      </c>
      <c r="F7" s="6" t="s">
        <v>688</v>
      </c>
      <c r="J7" s="7" t="s">
        <v>179</v>
      </c>
      <c r="K7" s="7" t="s">
        <v>180</v>
      </c>
    </row>
    <row r="8" spans="1:11" ht="26.4">
      <c r="A8" s="8">
        <v>2021</v>
      </c>
      <c r="B8" s="8">
        <v>313</v>
      </c>
      <c r="C8" s="8">
        <v>350</v>
      </c>
      <c r="D8" s="8">
        <v>351</v>
      </c>
      <c r="E8" s="8">
        <v>354</v>
      </c>
      <c r="F8" s="3" t="s">
        <v>689</v>
      </c>
      <c r="J8" s="2" t="s">
        <v>182</v>
      </c>
      <c r="K8" s="5">
        <v>313</v>
      </c>
    </row>
    <row r="9" spans="1:11" ht="26.4">
      <c r="A9" s="8">
        <v>2022</v>
      </c>
      <c r="B9" s="8">
        <v>374</v>
      </c>
      <c r="C9" s="8">
        <v>413</v>
      </c>
      <c r="D9" s="8">
        <v>391</v>
      </c>
      <c r="E9" s="8">
        <v>372</v>
      </c>
      <c r="F9" s="3" t="s">
        <v>690</v>
      </c>
      <c r="J9" s="2" t="s">
        <v>184</v>
      </c>
      <c r="K9" s="5">
        <v>350</v>
      </c>
    </row>
    <row r="10" spans="1:11" ht="26.4">
      <c r="A10" s="8">
        <v>2023</v>
      </c>
      <c r="B10" s="8">
        <v>375</v>
      </c>
      <c r="C10" s="8">
        <v>410</v>
      </c>
      <c r="D10" s="8">
        <v>394</v>
      </c>
      <c r="E10" s="8">
        <v>381</v>
      </c>
      <c r="F10" s="3" t="s">
        <v>691</v>
      </c>
      <c r="J10" s="14" t="s">
        <v>186</v>
      </c>
      <c r="K10" s="10" t="s">
        <v>187</v>
      </c>
    </row>
    <row r="11" spans="1:11" ht="26.4">
      <c r="A11" s="8">
        <v>2024</v>
      </c>
      <c r="B11" s="8">
        <v>384</v>
      </c>
      <c r="C11" s="8">
        <v>422</v>
      </c>
      <c r="D11" s="8">
        <v>404</v>
      </c>
      <c r="E11" s="8">
        <v>395</v>
      </c>
      <c r="F11" s="3" t="s">
        <v>692</v>
      </c>
      <c r="J11" s="14" t="s">
        <v>189</v>
      </c>
      <c r="K11" s="10" t="s">
        <v>190</v>
      </c>
    </row>
    <row r="12" spans="1:11" ht="26.4">
      <c r="A12" s="8">
        <v>2025</v>
      </c>
      <c r="B12" s="8">
        <v>402</v>
      </c>
      <c r="C12" s="8">
        <v>435</v>
      </c>
      <c r="D12" s="8">
        <v>418</v>
      </c>
      <c r="E12" s="8">
        <v>408</v>
      </c>
      <c r="F12" s="3" t="s">
        <v>693</v>
      </c>
      <c r="J12" s="2" t="s">
        <v>192</v>
      </c>
      <c r="K12" s="5">
        <v>374</v>
      </c>
    </row>
    <row r="13" spans="1:11" ht="26.4">
      <c r="A13" s="8">
        <v>2026</v>
      </c>
      <c r="B13" s="2" t="s">
        <v>694</v>
      </c>
      <c r="C13" s="2" t="s">
        <v>233</v>
      </c>
      <c r="D13" s="2" t="s">
        <v>233</v>
      </c>
      <c r="E13" s="2" t="s">
        <v>233</v>
      </c>
      <c r="F13" s="3" t="s">
        <v>695</v>
      </c>
      <c r="J13" s="2" t="s">
        <v>193</v>
      </c>
      <c r="K13" s="5">
        <v>413</v>
      </c>
    </row>
    <row r="14" spans="1:11" ht="14.4">
      <c r="J14" s="2" t="s">
        <v>194</v>
      </c>
      <c r="K14" s="5">
        <v>391</v>
      </c>
    </row>
    <row r="15" spans="1:11" ht="14.4">
      <c r="J15" s="2" t="s">
        <v>195</v>
      </c>
      <c r="K15" s="5">
        <v>372</v>
      </c>
    </row>
    <row r="16" spans="1:11" ht="14.4">
      <c r="J16" s="2" t="s">
        <v>196</v>
      </c>
      <c r="K16" s="5">
        <v>375</v>
      </c>
    </row>
    <row r="17" spans="10:11" ht="14.4">
      <c r="J17" s="2" t="s">
        <v>197</v>
      </c>
      <c r="K17" s="5">
        <v>410</v>
      </c>
    </row>
    <row r="18" spans="10:11" ht="14.4">
      <c r="J18" s="2" t="s">
        <v>198</v>
      </c>
      <c r="K18" s="5">
        <v>394</v>
      </c>
    </row>
    <row r="19" spans="10:11" ht="14.4">
      <c r="J19" s="2" t="s">
        <v>199</v>
      </c>
      <c r="K19" s="5">
        <v>381</v>
      </c>
    </row>
    <row r="20" spans="10:11" ht="39.6">
      <c r="J20" s="2" t="s">
        <v>696</v>
      </c>
      <c r="K20" s="5">
        <v>384</v>
      </c>
    </row>
    <row r="21" spans="10:11" ht="39.6">
      <c r="J21" s="2" t="s">
        <v>697</v>
      </c>
      <c r="K21" s="5">
        <v>422</v>
      </c>
    </row>
    <row r="22" spans="10:11" ht="39.6">
      <c r="J22" s="2" t="s">
        <v>698</v>
      </c>
      <c r="K22" s="5">
        <v>404</v>
      </c>
    </row>
    <row r="23" spans="10:11" ht="39.6">
      <c r="J23" s="2" t="s">
        <v>699</v>
      </c>
      <c r="K23" s="5">
        <v>395</v>
      </c>
    </row>
    <row r="24" spans="10:11" ht="14.4">
      <c r="J24" s="2" t="s">
        <v>204</v>
      </c>
      <c r="K24" s="5">
        <v>402</v>
      </c>
    </row>
    <row r="25" spans="10:11" ht="14.4">
      <c r="J25" s="2" t="s">
        <v>205</v>
      </c>
      <c r="K25" s="5">
        <v>435</v>
      </c>
    </row>
    <row r="26" spans="10:11" ht="14.4">
      <c r="J26" s="2" t="s">
        <v>206</v>
      </c>
      <c r="K26" s="5">
        <v>418</v>
      </c>
    </row>
    <row r="27" spans="10:11" ht="14.4">
      <c r="J27" s="2" t="s">
        <v>207</v>
      </c>
      <c r="K27" s="5">
        <v>408</v>
      </c>
    </row>
    <row r="28" spans="10:11" ht="14.4">
      <c r="J28" s="2" t="s">
        <v>234</v>
      </c>
      <c r="K28" s="5">
        <v>415</v>
      </c>
    </row>
  </sheetData>
  <mergeCells count="1">
    <mergeCell ref="A1:H1"/>
  </mergeCells>
  <phoneticPr fontId="19" type="noConversion"/>
  <hyperlinks>
    <hyperlink ref="H3" r:id="rId1" location="Dashboard!A1" xr:uid="{00000000-0004-0000-23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4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24" customWidth="1"/>
    <col min="2" max="2" width="13" customWidth="1"/>
    <col min="3" max="3" width="16" customWidth="1"/>
    <col min="4" max="4" width="24" customWidth="1"/>
    <col min="5" max="5" width="11" customWidth="1"/>
    <col min="6" max="6" width="9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  <col min="12" max="14" width="8" customWidth="1"/>
    <col min="15" max="15" width="11" customWidth="1"/>
    <col min="16" max="16" width="8" customWidth="1"/>
  </cols>
  <sheetData>
    <row r="1" spans="1:16" ht="24" customHeight="1">
      <c r="A1" s="37" t="s">
        <v>700</v>
      </c>
      <c r="B1" s="37"/>
      <c r="C1" s="37"/>
      <c r="D1" s="37"/>
      <c r="E1" s="37"/>
      <c r="F1" s="37"/>
      <c r="G1" s="37"/>
      <c r="H1" s="37"/>
    </row>
    <row r="3" spans="1:16" ht="26.4">
      <c r="A3" s="1" t="s">
        <v>64</v>
      </c>
      <c r="B3" s="2" t="s">
        <v>38</v>
      </c>
      <c r="C3" s="1" t="s">
        <v>171</v>
      </c>
      <c r="D3" s="3" t="s">
        <v>160</v>
      </c>
      <c r="E3" s="1" t="s">
        <v>66</v>
      </c>
      <c r="F3" s="2" t="s">
        <v>162</v>
      </c>
      <c r="H3" s="4" t="s">
        <v>172</v>
      </c>
    </row>
    <row r="4" spans="1:16" ht="14.4">
      <c r="A4" s="1" t="s">
        <v>67</v>
      </c>
      <c r="B4" s="2" t="s">
        <v>80</v>
      </c>
      <c r="C4" s="1" t="s">
        <v>50</v>
      </c>
      <c r="D4" s="5">
        <v>3.8</v>
      </c>
      <c r="E4" s="1" t="s">
        <v>51</v>
      </c>
      <c r="F4" s="5">
        <v>3.7</v>
      </c>
    </row>
    <row r="7" spans="1:16" ht="14.4">
      <c r="A7" s="6" t="s">
        <v>173</v>
      </c>
      <c r="B7" s="7" t="s">
        <v>701</v>
      </c>
      <c r="C7" s="7" t="s">
        <v>702</v>
      </c>
      <c r="D7" s="7" t="s">
        <v>703</v>
      </c>
      <c r="E7" s="7" t="s">
        <v>704</v>
      </c>
      <c r="F7" s="7" t="s">
        <v>705</v>
      </c>
      <c r="G7" s="7" t="s">
        <v>706</v>
      </c>
      <c r="H7" s="7" t="s">
        <v>707</v>
      </c>
      <c r="I7" s="7" t="s">
        <v>708</v>
      </c>
      <c r="J7" s="7" t="s">
        <v>709</v>
      </c>
      <c r="K7" s="7" t="s">
        <v>710</v>
      </c>
      <c r="L7" s="7" t="s">
        <v>711</v>
      </c>
      <c r="M7" s="7" t="s">
        <v>712</v>
      </c>
      <c r="O7" s="7" t="s">
        <v>179</v>
      </c>
      <c r="P7" s="7" t="s">
        <v>180</v>
      </c>
    </row>
    <row r="8" spans="1:16" ht="14.4">
      <c r="A8" s="8">
        <v>2021</v>
      </c>
      <c r="B8" s="5">
        <v>5.3</v>
      </c>
      <c r="C8" s="5">
        <v>5.0999999999999996</v>
      </c>
      <c r="D8" s="5">
        <v>4.4000000000000004</v>
      </c>
      <c r="E8" s="12">
        <v>0.5</v>
      </c>
      <c r="F8" s="5">
        <v>1.9</v>
      </c>
      <c r="G8" s="5">
        <v>3.5</v>
      </c>
      <c r="H8" s="5">
        <v>3.9</v>
      </c>
      <c r="I8" s="8">
        <v>4</v>
      </c>
      <c r="J8" s="5">
        <v>4.3</v>
      </c>
      <c r="K8" s="5">
        <v>4.5999999999999996</v>
      </c>
      <c r="L8" s="5">
        <v>5.0999999999999996</v>
      </c>
      <c r="M8" s="8">
        <v>5</v>
      </c>
      <c r="O8" s="2" t="s">
        <v>713</v>
      </c>
      <c r="P8" s="5">
        <v>4.8</v>
      </c>
    </row>
    <row r="9" spans="1:16" ht="14.4">
      <c r="A9" s="8">
        <v>2022</v>
      </c>
      <c r="B9" s="5">
        <v>5.5</v>
      </c>
      <c r="C9" s="5">
        <v>5.3</v>
      </c>
      <c r="D9" s="5">
        <v>5.6</v>
      </c>
      <c r="E9" s="5">
        <v>5.5</v>
      </c>
      <c r="F9" s="5">
        <v>5.3</v>
      </c>
      <c r="G9" s="5">
        <v>5.2</v>
      </c>
      <c r="H9" s="5">
        <v>5.2</v>
      </c>
      <c r="I9" s="5">
        <v>5.2</v>
      </c>
      <c r="J9" s="8">
        <v>5</v>
      </c>
      <c r="K9" s="5">
        <v>4.9000000000000004</v>
      </c>
      <c r="L9" s="5">
        <v>4.8</v>
      </c>
      <c r="M9" s="5">
        <v>4.8</v>
      </c>
      <c r="O9" s="2" t="s">
        <v>714</v>
      </c>
      <c r="P9" s="5">
        <v>4.8</v>
      </c>
    </row>
    <row r="10" spans="1:16" ht="26.4">
      <c r="A10" s="8">
        <v>2023</v>
      </c>
      <c r="B10" s="5">
        <v>4.4000000000000004</v>
      </c>
      <c r="C10" s="5">
        <v>4.5999999999999996</v>
      </c>
      <c r="D10" s="5">
        <v>4.3</v>
      </c>
      <c r="E10" s="5">
        <v>4.4000000000000004</v>
      </c>
      <c r="F10" s="5">
        <v>4.3</v>
      </c>
      <c r="G10" s="5">
        <v>4.4000000000000004</v>
      </c>
      <c r="H10" s="5">
        <v>4.4000000000000004</v>
      </c>
      <c r="I10" s="5">
        <v>4.3</v>
      </c>
      <c r="J10" s="9" t="s">
        <v>186</v>
      </c>
      <c r="K10" s="13" t="s">
        <v>187</v>
      </c>
      <c r="L10" s="8">
        <v>4</v>
      </c>
      <c r="M10" s="5">
        <v>4.3</v>
      </c>
      <c r="O10" s="2" t="s">
        <v>715</v>
      </c>
      <c r="P10" s="5">
        <v>4.4000000000000004</v>
      </c>
    </row>
    <row r="11" spans="1:16" ht="26.4">
      <c r="A11" s="8">
        <v>2024</v>
      </c>
      <c r="B11" s="5">
        <v>4.4000000000000004</v>
      </c>
      <c r="C11" s="5">
        <v>4.3</v>
      </c>
      <c r="D11" s="5">
        <v>4.0999999999999996</v>
      </c>
      <c r="E11" s="8">
        <v>4</v>
      </c>
      <c r="F11" s="5">
        <v>4.0999999999999996</v>
      </c>
      <c r="G11" s="5">
        <v>3.9</v>
      </c>
      <c r="H11" s="5">
        <v>3.6</v>
      </c>
      <c r="I11" s="5">
        <v>3.9</v>
      </c>
      <c r="J11" s="9" t="s">
        <v>189</v>
      </c>
      <c r="K11" s="13" t="s">
        <v>190</v>
      </c>
      <c r="L11" s="8">
        <v>4</v>
      </c>
      <c r="M11" s="8">
        <v>4</v>
      </c>
      <c r="O11" s="2" t="s">
        <v>716</v>
      </c>
      <c r="P11" s="5">
        <v>4.5999999999999996</v>
      </c>
    </row>
    <row r="12" spans="1:16" ht="14.4">
      <c r="A12" s="8">
        <v>2025</v>
      </c>
      <c r="B12" s="5">
        <v>3.8</v>
      </c>
      <c r="C12" s="5">
        <v>3.9</v>
      </c>
      <c r="D12" s="5">
        <v>4.0999999999999996</v>
      </c>
      <c r="E12" s="5">
        <v>4.4000000000000004</v>
      </c>
      <c r="F12" s="5">
        <v>4.5</v>
      </c>
      <c r="G12" s="5">
        <v>4.4000000000000004</v>
      </c>
      <c r="H12" s="5">
        <v>4.4000000000000004</v>
      </c>
      <c r="I12" s="5">
        <v>4.4000000000000004</v>
      </c>
      <c r="J12" s="5">
        <v>4.5</v>
      </c>
      <c r="K12" s="5">
        <v>4.5</v>
      </c>
      <c r="L12" s="5">
        <v>4.5</v>
      </c>
      <c r="M12" s="5">
        <v>4.4000000000000004</v>
      </c>
      <c r="O12" s="2" t="s">
        <v>717</v>
      </c>
      <c r="P12" s="5">
        <v>4.3</v>
      </c>
    </row>
    <row r="13" spans="1:16" ht="14.4">
      <c r="A13" s="8">
        <v>2026</v>
      </c>
      <c r="B13" s="5">
        <v>3.7</v>
      </c>
      <c r="C13" s="5">
        <v>3.8</v>
      </c>
      <c r="D13" s="2" t="s">
        <v>233</v>
      </c>
      <c r="E13" s="2" t="s">
        <v>233</v>
      </c>
      <c r="F13" s="2" t="s">
        <v>233</v>
      </c>
      <c r="G13" s="2" t="s">
        <v>233</v>
      </c>
      <c r="H13" s="2" t="s">
        <v>233</v>
      </c>
      <c r="I13" s="2" t="s">
        <v>233</v>
      </c>
      <c r="J13" s="2" t="s">
        <v>233</v>
      </c>
      <c r="K13" s="2" t="s">
        <v>233</v>
      </c>
      <c r="L13" s="2" t="s">
        <v>233</v>
      </c>
      <c r="M13" s="2" t="s">
        <v>233</v>
      </c>
      <c r="O13" s="2" t="s">
        <v>718</v>
      </c>
      <c r="P13" s="5">
        <v>4.4000000000000004</v>
      </c>
    </row>
    <row r="14" spans="1:16" ht="14.4">
      <c r="O14" s="2" t="s">
        <v>719</v>
      </c>
      <c r="P14" s="5">
        <v>4.3</v>
      </c>
    </row>
    <row r="15" spans="1:16" ht="14.4">
      <c r="O15" s="2" t="s">
        <v>720</v>
      </c>
      <c r="P15" s="5">
        <v>4.4000000000000004</v>
      </c>
    </row>
    <row r="16" spans="1:16" ht="14.4">
      <c r="O16" s="2" t="s">
        <v>721</v>
      </c>
      <c r="P16" s="5">
        <v>4.4000000000000004</v>
      </c>
    </row>
    <row r="17" spans="15:16" ht="14.4">
      <c r="O17" s="2" t="s">
        <v>722</v>
      </c>
      <c r="P17" s="5">
        <v>4.3</v>
      </c>
    </row>
    <row r="18" spans="15:16" ht="14.4">
      <c r="O18" s="2" t="s">
        <v>723</v>
      </c>
      <c r="P18" s="5">
        <v>4.3</v>
      </c>
    </row>
    <row r="19" spans="15:16" ht="14.4">
      <c r="O19" s="2" t="s">
        <v>724</v>
      </c>
      <c r="P19" s="5">
        <v>4</v>
      </c>
    </row>
    <row r="20" spans="15:16" ht="14.4">
      <c r="O20" s="2" t="s">
        <v>725</v>
      </c>
      <c r="P20" s="5">
        <v>4</v>
      </c>
    </row>
    <row r="21" spans="15:16" ht="14.4">
      <c r="O21" s="2" t="s">
        <v>726</v>
      </c>
      <c r="P21" s="5">
        <v>4.3</v>
      </c>
    </row>
    <row r="22" spans="15:16" ht="14.4">
      <c r="O22" s="2" t="s">
        <v>727</v>
      </c>
      <c r="P22" s="5">
        <v>4.4000000000000004</v>
      </c>
    </row>
    <row r="23" spans="15:16" ht="14.4">
      <c r="O23" s="2" t="s">
        <v>728</v>
      </c>
      <c r="P23" s="5">
        <v>4.3</v>
      </c>
    </row>
    <row r="24" spans="15:16" ht="14.4">
      <c r="O24" s="2" t="s">
        <v>729</v>
      </c>
      <c r="P24" s="5">
        <v>4.0999999999999996</v>
      </c>
    </row>
    <row r="25" spans="15:16" ht="14.4">
      <c r="O25" s="2" t="s">
        <v>730</v>
      </c>
      <c r="P25" s="5">
        <v>4</v>
      </c>
    </row>
    <row r="26" spans="15:16" ht="14.4">
      <c r="O26" s="2" t="s">
        <v>731</v>
      </c>
      <c r="P26" s="5">
        <v>4.0999999999999996</v>
      </c>
    </row>
    <row r="27" spans="15:16" ht="14.4">
      <c r="O27" s="2" t="s">
        <v>732</v>
      </c>
      <c r="P27" s="5">
        <v>3.9</v>
      </c>
    </row>
    <row r="28" spans="15:16" ht="14.4">
      <c r="O28" s="2" t="s">
        <v>733</v>
      </c>
      <c r="P28" s="5">
        <v>3.6</v>
      </c>
    </row>
    <row r="29" spans="15:16" ht="14.4">
      <c r="O29" s="2" t="s">
        <v>734</v>
      </c>
      <c r="P29" s="5">
        <v>3.9</v>
      </c>
    </row>
    <row r="30" spans="15:16" ht="14.4">
      <c r="O30" s="2" t="s">
        <v>735</v>
      </c>
      <c r="P30" s="5">
        <v>3.9</v>
      </c>
    </row>
    <row r="31" spans="15:16" ht="14.4">
      <c r="O31" s="2" t="s">
        <v>736</v>
      </c>
      <c r="P31" s="5">
        <v>4</v>
      </c>
    </row>
    <row r="32" spans="15:16" ht="14.4">
      <c r="O32" s="2" t="s">
        <v>737</v>
      </c>
      <c r="P32" s="5">
        <v>4</v>
      </c>
    </row>
    <row r="33" spans="15:16" ht="14.4">
      <c r="O33" s="2" t="s">
        <v>738</v>
      </c>
      <c r="P33" s="5">
        <v>4</v>
      </c>
    </row>
    <row r="34" spans="15:16" ht="14.4">
      <c r="O34" s="2" t="s">
        <v>739</v>
      </c>
      <c r="P34" s="5">
        <v>3.8</v>
      </c>
    </row>
    <row r="35" spans="15:16" ht="14.4">
      <c r="O35" s="2" t="s">
        <v>740</v>
      </c>
      <c r="P35" s="5">
        <v>3.9</v>
      </c>
    </row>
    <row r="36" spans="15:16" ht="14.4">
      <c r="O36" s="2" t="s">
        <v>741</v>
      </c>
      <c r="P36" s="5">
        <v>4.0999999999999996</v>
      </c>
    </row>
    <row r="37" spans="15:16" ht="14.4">
      <c r="O37" s="2" t="s">
        <v>742</v>
      </c>
      <c r="P37" s="5">
        <v>4.4000000000000004</v>
      </c>
    </row>
    <row r="38" spans="15:16" ht="14.4">
      <c r="O38" s="2" t="s">
        <v>743</v>
      </c>
      <c r="P38" s="5">
        <v>4.5</v>
      </c>
    </row>
    <row r="39" spans="15:16" ht="14.4">
      <c r="O39" s="2" t="s">
        <v>744</v>
      </c>
      <c r="P39" s="5">
        <v>4.4000000000000004</v>
      </c>
    </row>
    <row r="40" spans="15:16" ht="14.4">
      <c r="O40" s="2" t="s">
        <v>745</v>
      </c>
      <c r="P40" s="5">
        <v>4.4000000000000004</v>
      </c>
    </row>
    <row r="41" spans="15:16" ht="14.4">
      <c r="O41" s="2" t="s">
        <v>746</v>
      </c>
      <c r="P41" s="5">
        <v>4.4000000000000004</v>
      </c>
    </row>
    <row r="42" spans="15:16" ht="14.4">
      <c r="O42" s="2" t="s">
        <v>747</v>
      </c>
      <c r="P42" s="5">
        <v>4.5</v>
      </c>
    </row>
    <row r="43" spans="15:16" ht="14.4">
      <c r="O43" s="2" t="s">
        <v>748</v>
      </c>
      <c r="P43" s="5">
        <v>4.5</v>
      </c>
    </row>
    <row r="44" spans="15:16" ht="14.4">
      <c r="O44" s="2" t="s">
        <v>749</v>
      </c>
      <c r="P44" s="5">
        <v>4.5</v>
      </c>
    </row>
    <row r="45" spans="15:16" ht="14.4">
      <c r="O45" s="2" t="s">
        <v>750</v>
      </c>
      <c r="P45" s="5">
        <v>4.4000000000000004</v>
      </c>
    </row>
    <row r="46" spans="15:16" ht="14.4">
      <c r="O46" s="2" t="s">
        <v>751</v>
      </c>
      <c r="P46" s="5">
        <v>3.7</v>
      </c>
    </row>
    <row r="47" spans="15:16" ht="14.4">
      <c r="O47" s="2" t="s">
        <v>752</v>
      </c>
      <c r="P47" s="5">
        <v>3.8</v>
      </c>
    </row>
  </sheetData>
  <mergeCells count="1">
    <mergeCell ref="A1:H1"/>
  </mergeCells>
  <phoneticPr fontId="19" type="noConversion"/>
  <hyperlinks>
    <hyperlink ref="H3" r:id="rId1" location="Dashboard!A1" xr:uid="{00000000-0004-0000-24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4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1" width="17" customWidth="1"/>
    <col min="2" max="2" width="13" customWidth="1"/>
    <col min="3" max="3" width="16" customWidth="1"/>
    <col min="4" max="4" width="17" customWidth="1"/>
    <col min="5" max="5" width="11" customWidth="1"/>
    <col min="6" max="6" width="9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  <col min="12" max="15" width="8" customWidth="1"/>
    <col min="16" max="16" width="16" customWidth="1"/>
    <col min="17" max="17" width="8" customWidth="1"/>
  </cols>
  <sheetData>
    <row r="1" spans="1:17" ht="24" customHeight="1">
      <c r="A1" s="35" t="s">
        <v>753</v>
      </c>
      <c r="B1" s="35"/>
      <c r="C1" s="35"/>
      <c r="D1" s="35"/>
      <c r="E1" s="35"/>
      <c r="F1" s="35"/>
      <c r="G1" s="35"/>
      <c r="H1" s="35"/>
    </row>
    <row r="3" spans="1:17" ht="26.4">
      <c r="A3" s="1" t="s">
        <v>64</v>
      </c>
      <c r="B3" s="2" t="s">
        <v>38</v>
      </c>
      <c r="C3" s="1" t="s">
        <v>171</v>
      </c>
      <c r="D3" s="2" t="s">
        <v>163</v>
      </c>
      <c r="E3" s="1" t="s">
        <v>66</v>
      </c>
      <c r="F3" s="2" t="s">
        <v>162</v>
      </c>
      <c r="H3" s="4" t="s">
        <v>172</v>
      </c>
    </row>
    <row r="4" spans="1:17" ht="14.4">
      <c r="A4" s="1" t="s">
        <v>67</v>
      </c>
      <c r="B4" s="2" t="s">
        <v>80</v>
      </c>
      <c r="C4" s="1" t="s">
        <v>50</v>
      </c>
      <c r="D4" s="5">
        <v>61.2</v>
      </c>
      <c r="E4" s="1" t="s">
        <v>51</v>
      </c>
      <c r="F4" s="5">
        <v>60.5</v>
      </c>
    </row>
    <row r="7" spans="1:17" ht="14.4">
      <c r="A7" s="6" t="s">
        <v>173</v>
      </c>
      <c r="B7" s="6" t="s">
        <v>754</v>
      </c>
      <c r="C7" s="7" t="s">
        <v>701</v>
      </c>
      <c r="D7" s="7" t="s">
        <v>702</v>
      </c>
      <c r="E7" s="7" t="s">
        <v>703</v>
      </c>
      <c r="F7" s="7" t="s">
        <v>704</v>
      </c>
      <c r="G7" s="7" t="s">
        <v>705</v>
      </c>
      <c r="H7" s="7" t="s">
        <v>706</v>
      </c>
      <c r="I7" s="7" t="s">
        <v>707</v>
      </c>
      <c r="J7" s="7" t="s">
        <v>708</v>
      </c>
      <c r="K7" s="7" t="s">
        <v>709</v>
      </c>
      <c r="L7" s="7" t="s">
        <v>710</v>
      </c>
      <c r="M7" s="7" t="s">
        <v>711</v>
      </c>
      <c r="N7" s="7" t="s">
        <v>712</v>
      </c>
      <c r="P7" s="7" t="s">
        <v>179</v>
      </c>
      <c r="Q7" s="7" t="s">
        <v>180</v>
      </c>
    </row>
    <row r="8" spans="1:17" ht="14.4">
      <c r="A8" s="8">
        <v>2021</v>
      </c>
      <c r="B8" s="3" t="s">
        <v>755</v>
      </c>
      <c r="C8" s="5">
        <v>82.1</v>
      </c>
      <c r="D8" s="5">
        <v>86</v>
      </c>
      <c r="E8" s="5">
        <v>85.6</v>
      </c>
      <c r="F8" s="5">
        <v>89.6</v>
      </c>
      <c r="G8" s="8">
        <v>88</v>
      </c>
      <c r="H8" s="5">
        <v>92.1</v>
      </c>
      <c r="I8" s="5">
        <v>85.7</v>
      </c>
      <c r="J8" s="5">
        <v>79.400000000000006</v>
      </c>
      <c r="K8" s="5">
        <v>81.2</v>
      </c>
      <c r="L8" s="5">
        <v>85.7</v>
      </c>
      <c r="M8" s="5">
        <v>82.4</v>
      </c>
      <c r="N8" s="5">
        <v>68.2</v>
      </c>
      <c r="P8" s="3" t="s">
        <v>756</v>
      </c>
      <c r="Q8" s="5">
        <v>64</v>
      </c>
    </row>
    <row r="9" spans="1:17" ht="14.4">
      <c r="A9" s="11"/>
      <c r="B9" s="3" t="s">
        <v>757</v>
      </c>
      <c r="C9" s="5">
        <v>64.2</v>
      </c>
      <c r="D9" s="5">
        <v>71.8</v>
      </c>
      <c r="E9" s="8">
        <v>74</v>
      </c>
      <c r="F9" s="5">
        <v>76.8</v>
      </c>
      <c r="G9" s="5">
        <v>80.599999999999994</v>
      </c>
      <c r="H9" s="5">
        <v>79.5</v>
      </c>
      <c r="I9" s="5">
        <v>82.3</v>
      </c>
      <c r="J9" s="5">
        <v>75.400000000000006</v>
      </c>
      <c r="K9" s="5">
        <v>77.5</v>
      </c>
      <c r="L9" s="5">
        <v>82.9</v>
      </c>
      <c r="M9" s="5">
        <v>82.3</v>
      </c>
      <c r="N9" s="5">
        <v>82.5</v>
      </c>
      <c r="P9" s="3" t="s">
        <v>758</v>
      </c>
      <c r="Q9" s="5">
        <v>58.6</v>
      </c>
    </row>
    <row r="10" spans="1:17" ht="26.4">
      <c r="A10" s="8">
        <v>2022</v>
      </c>
      <c r="B10" s="3" t="s">
        <v>755</v>
      </c>
      <c r="C10" s="5">
        <v>76.099999999999994</v>
      </c>
      <c r="D10" s="5">
        <v>75.599999999999994</v>
      </c>
      <c r="E10" s="5">
        <v>87.1</v>
      </c>
      <c r="F10" s="5">
        <v>84.6</v>
      </c>
      <c r="G10" s="5">
        <v>82.2</v>
      </c>
      <c r="H10" s="5">
        <v>78.5</v>
      </c>
      <c r="I10" s="8">
        <v>60</v>
      </c>
      <c r="J10" s="9" t="s">
        <v>186</v>
      </c>
      <c r="K10" s="10" t="s">
        <v>187</v>
      </c>
      <c r="L10" s="5">
        <v>46.6</v>
      </c>
      <c r="M10" s="8">
        <v>43</v>
      </c>
      <c r="N10" s="5">
        <v>39.4</v>
      </c>
      <c r="P10" s="3" t="s">
        <v>759</v>
      </c>
      <c r="Q10" s="5">
        <v>53.4</v>
      </c>
    </row>
    <row r="11" spans="1:17" ht="26.4">
      <c r="A11" s="11"/>
      <c r="B11" s="3" t="s">
        <v>757</v>
      </c>
      <c r="C11" s="5">
        <v>82.3</v>
      </c>
      <c r="D11" s="5">
        <v>83.1</v>
      </c>
      <c r="E11" s="5">
        <v>83.8</v>
      </c>
      <c r="F11" s="5">
        <v>84.6</v>
      </c>
      <c r="G11" s="5">
        <v>82.1</v>
      </c>
      <c r="H11" s="5">
        <v>80.099999999999994</v>
      </c>
      <c r="I11" s="5">
        <v>72.3</v>
      </c>
      <c r="J11" s="9" t="s">
        <v>189</v>
      </c>
      <c r="K11" s="10" t="s">
        <v>190</v>
      </c>
      <c r="L11" s="5">
        <v>70.7</v>
      </c>
      <c r="M11" s="8">
        <v>70</v>
      </c>
      <c r="N11" s="5">
        <v>67.599999999999994</v>
      </c>
      <c r="P11" s="3" t="s">
        <v>760</v>
      </c>
      <c r="Q11" s="5">
        <v>59.2</v>
      </c>
    </row>
    <row r="12" spans="1:17" ht="14.4">
      <c r="A12" s="8">
        <v>2023</v>
      </c>
      <c r="B12" s="3" t="s">
        <v>755</v>
      </c>
      <c r="C12" s="5">
        <v>44.5</v>
      </c>
      <c r="D12" s="5">
        <v>51.3</v>
      </c>
      <c r="E12" s="5">
        <v>49.2</v>
      </c>
      <c r="F12" s="5">
        <v>53.2</v>
      </c>
      <c r="G12" s="5">
        <v>44.2</v>
      </c>
      <c r="H12" s="5">
        <v>41.8</v>
      </c>
      <c r="I12" s="5">
        <v>42.6</v>
      </c>
      <c r="J12" s="5">
        <v>48.4</v>
      </c>
      <c r="K12" s="5">
        <v>43.8</v>
      </c>
      <c r="L12" s="5">
        <v>45.1</v>
      </c>
      <c r="M12" s="5">
        <v>49.9</v>
      </c>
      <c r="N12" s="5">
        <v>45.2</v>
      </c>
      <c r="P12" s="3" t="s">
        <v>761</v>
      </c>
      <c r="Q12" s="5">
        <v>58.1</v>
      </c>
    </row>
    <row r="13" spans="1:17" ht="14.4">
      <c r="A13" s="11"/>
      <c r="B13" s="3" t="s">
        <v>757</v>
      </c>
      <c r="C13" s="5">
        <v>67.8</v>
      </c>
      <c r="D13" s="5">
        <v>65.599999999999994</v>
      </c>
      <c r="E13" s="5">
        <v>59.5</v>
      </c>
      <c r="F13" s="5">
        <v>59.6</v>
      </c>
      <c r="G13" s="5">
        <v>56.2</v>
      </c>
      <c r="H13" s="5">
        <v>54.1</v>
      </c>
      <c r="I13" s="5">
        <v>56.8</v>
      </c>
      <c r="J13" s="5">
        <v>58.9</v>
      </c>
      <c r="K13" s="5">
        <v>58.9</v>
      </c>
      <c r="L13" s="5">
        <v>58.6</v>
      </c>
      <c r="M13" s="5">
        <v>58.3</v>
      </c>
      <c r="N13" s="5">
        <v>57.4</v>
      </c>
      <c r="P13" s="3" t="s">
        <v>762</v>
      </c>
      <c r="Q13" s="5">
        <v>56.3</v>
      </c>
    </row>
    <row r="14" spans="1:17" ht="14.4">
      <c r="A14" s="8">
        <v>2024</v>
      </c>
      <c r="B14" s="3" t="s">
        <v>755</v>
      </c>
      <c r="C14" s="5">
        <v>52.9</v>
      </c>
      <c r="D14" s="5">
        <v>52.5</v>
      </c>
      <c r="E14" s="5">
        <v>55.8</v>
      </c>
      <c r="F14" s="5">
        <v>60.9</v>
      </c>
      <c r="G14" s="8">
        <v>57</v>
      </c>
      <c r="H14" s="5">
        <v>52.1</v>
      </c>
      <c r="I14" s="5">
        <v>52.9</v>
      </c>
      <c r="J14" s="8">
        <v>54</v>
      </c>
      <c r="K14" s="5">
        <v>48.3</v>
      </c>
      <c r="L14" s="5">
        <v>54.8</v>
      </c>
      <c r="M14" s="5">
        <v>50.3</v>
      </c>
      <c r="N14" s="5">
        <v>51.2</v>
      </c>
      <c r="P14" s="3" t="s">
        <v>763</v>
      </c>
      <c r="Q14" s="5">
        <v>57</v>
      </c>
    </row>
    <row r="15" spans="1:17" ht="14.4">
      <c r="A15" s="11"/>
      <c r="B15" s="3" t="s">
        <v>757</v>
      </c>
      <c r="C15" s="5">
        <v>64</v>
      </c>
      <c r="D15" s="5">
        <v>58.6</v>
      </c>
      <c r="E15" s="5">
        <v>53.4</v>
      </c>
      <c r="F15" s="5">
        <v>59.2</v>
      </c>
      <c r="G15" s="5">
        <v>58.1</v>
      </c>
      <c r="H15" s="5">
        <v>56.3</v>
      </c>
      <c r="I15" s="8">
        <v>57</v>
      </c>
      <c r="J15" s="5">
        <v>57.3</v>
      </c>
      <c r="K15" s="5">
        <v>59.4</v>
      </c>
      <c r="L15" s="5">
        <v>58.1</v>
      </c>
      <c r="M15" s="5">
        <v>58.1</v>
      </c>
      <c r="N15" s="8">
        <v>57</v>
      </c>
      <c r="P15" s="3" t="s">
        <v>764</v>
      </c>
      <c r="Q15" s="5">
        <v>57.3</v>
      </c>
    </row>
    <row r="16" spans="1:17" ht="14.4">
      <c r="A16" s="8">
        <v>2025</v>
      </c>
      <c r="B16" s="3" t="s">
        <v>755</v>
      </c>
      <c r="C16" s="5">
        <v>53.5</v>
      </c>
      <c r="D16" s="5">
        <v>54.2</v>
      </c>
      <c r="E16" s="8">
        <v>56</v>
      </c>
      <c r="F16" s="5">
        <v>58.5</v>
      </c>
      <c r="G16" s="5">
        <v>57.2</v>
      </c>
      <c r="H16" s="8">
        <v>55</v>
      </c>
      <c r="I16" s="5">
        <v>54.5</v>
      </c>
      <c r="J16" s="5">
        <v>54.8</v>
      </c>
      <c r="K16" s="5">
        <v>56.2</v>
      </c>
      <c r="L16" s="5">
        <v>55.5</v>
      </c>
      <c r="M16" s="8">
        <v>56</v>
      </c>
      <c r="N16" s="5">
        <v>54.8</v>
      </c>
      <c r="P16" s="3" t="s">
        <v>765</v>
      </c>
      <c r="Q16" s="5">
        <v>59.4</v>
      </c>
    </row>
    <row r="17" spans="1:17" ht="14.4">
      <c r="A17" s="11"/>
      <c r="B17" s="3" t="s">
        <v>757</v>
      </c>
      <c r="C17" s="5">
        <v>58.5</v>
      </c>
      <c r="D17" s="5">
        <v>59.2</v>
      </c>
      <c r="E17" s="5">
        <v>60.1</v>
      </c>
      <c r="F17" s="5">
        <v>61.5</v>
      </c>
      <c r="G17" s="5">
        <v>60.8</v>
      </c>
      <c r="H17" s="5">
        <v>60.2</v>
      </c>
      <c r="I17" s="5">
        <v>59.8</v>
      </c>
      <c r="J17" s="5">
        <v>59.5</v>
      </c>
      <c r="K17" s="5">
        <v>60.5</v>
      </c>
      <c r="L17" s="5">
        <v>61.2</v>
      </c>
      <c r="M17" s="5">
        <v>60.4</v>
      </c>
      <c r="N17" s="8">
        <v>59</v>
      </c>
      <c r="P17" s="3" t="s">
        <v>766</v>
      </c>
      <c r="Q17" s="5">
        <v>58.1</v>
      </c>
    </row>
    <row r="18" spans="1:17" ht="14.4">
      <c r="A18" s="8">
        <v>2026</v>
      </c>
      <c r="B18" s="3" t="s">
        <v>755</v>
      </c>
      <c r="C18" s="5">
        <v>55.2</v>
      </c>
      <c r="D18" s="5">
        <v>56.8</v>
      </c>
      <c r="E18" s="2" t="s">
        <v>233</v>
      </c>
      <c r="F18" s="2" t="s">
        <v>233</v>
      </c>
      <c r="G18" s="2" t="s">
        <v>233</v>
      </c>
      <c r="H18" s="2" t="s">
        <v>233</v>
      </c>
      <c r="I18" s="2" t="s">
        <v>233</v>
      </c>
      <c r="J18" s="2" t="s">
        <v>233</v>
      </c>
      <c r="K18" s="2" t="s">
        <v>233</v>
      </c>
      <c r="L18" s="2" t="s">
        <v>233</v>
      </c>
      <c r="M18" s="2" t="s">
        <v>233</v>
      </c>
      <c r="N18" s="2" t="s">
        <v>233</v>
      </c>
      <c r="P18" s="3" t="s">
        <v>767</v>
      </c>
      <c r="Q18" s="5">
        <v>58.1</v>
      </c>
    </row>
    <row r="19" spans="1:17" ht="14.4">
      <c r="A19" s="11"/>
      <c r="B19" s="3" t="s">
        <v>757</v>
      </c>
      <c r="C19" s="5">
        <v>60.5</v>
      </c>
      <c r="D19" s="5">
        <v>61.2</v>
      </c>
      <c r="E19" s="2" t="s">
        <v>233</v>
      </c>
      <c r="F19" s="2" t="s">
        <v>233</v>
      </c>
      <c r="G19" s="2" t="s">
        <v>233</v>
      </c>
      <c r="H19" s="2" t="s">
        <v>233</v>
      </c>
      <c r="I19" s="2" t="s">
        <v>233</v>
      </c>
      <c r="J19" s="2" t="s">
        <v>233</v>
      </c>
      <c r="K19" s="2" t="s">
        <v>233</v>
      </c>
      <c r="L19" s="2" t="s">
        <v>233</v>
      </c>
      <c r="M19" s="2" t="s">
        <v>233</v>
      </c>
      <c r="N19" s="2" t="s">
        <v>233</v>
      </c>
      <c r="P19" s="3" t="s">
        <v>768</v>
      </c>
      <c r="Q19" s="5">
        <v>57</v>
      </c>
    </row>
    <row r="20" spans="1:17" ht="14.4">
      <c r="P20" s="2" t="s">
        <v>769</v>
      </c>
      <c r="Q20" s="5">
        <v>53.5</v>
      </c>
    </row>
    <row r="21" spans="1:17" ht="14.4">
      <c r="P21" s="2" t="s">
        <v>770</v>
      </c>
      <c r="Q21" s="5">
        <v>54.2</v>
      </c>
    </row>
    <row r="22" spans="1:17" ht="14.4">
      <c r="P22" s="2" t="s">
        <v>771</v>
      </c>
      <c r="Q22" s="5">
        <v>56</v>
      </c>
    </row>
    <row r="23" spans="1:17" ht="14.4">
      <c r="P23" s="2" t="s">
        <v>772</v>
      </c>
      <c r="Q23" s="5">
        <v>58.5</v>
      </c>
    </row>
    <row r="24" spans="1:17" ht="14.4">
      <c r="P24" s="2" t="s">
        <v>773</v>
      </c>
      <c r="Q24" s="5">
        <v>57.2</v>
      </c>
    </row>
    <row r="25" spans="1:17" ht="14.4">
      <c r="P25" s="2" t="s">
        <v>774</v>
      </c>
      <c r="Q25" s="5">
        <v>55</v>
      </c>
    </row>
    <row r="26" spans="1:17" ht="14.4">
      <c r="P26" s="2" t="s">
        <v>775</v>
      </c>
      <c r="Q26" s="5">
        <v>54.5</v>
      </c>
    </row>
    <row r="27" spans="1:17" ht="14.4">
      <c r="P27" s="2" t="s">
        <v>776</v>
      </c>
      <c r="Q27" s="5">
        <v>54.8</v>
      </c>
    </row>
    <row r="28" spans="1:17" ht="14.4">
      <c r="P28" s="2" t="s">
        <v>777</v>
      </c>
      <c r="Q28" s="5">
        <v>56.2</v>
      </c>
    </row>
    <row r="29" spans="1:17" ht="26.4">
      <c r="P29" s="2" t="s">
        <v>778</v>
      </c>
      <c r="Q29" s="5">
        <v>55.5</v>
      </c>
    </row>
    <row r="30" spans="1:17" ht="26.4">
      <c r="P30" s="2" t="s">
        <v>779</v>
      </c>
      <c r="Q30" s="5">
        <v>56</v>
      </c>
    </row>
    <row r="31" spans="1:17" ht="26.4">
      <c r="P31" s="2" t="s">
        <v>780</v>
      </c>
      <c r="Q31" s="5">
        <v>54.8</v>
      </c>
    </row>
    <row r="32" spans="1:17" ht="14.4">
      <c r="P32" s="3" t="s">
        <v>756</v>
      </c>
      <c r="Q32" s="5">
        <v>58.5</v>
      </c>
    </row>
    <row r="33" spans="16:17" ht="14.4">
      <c r="P33" s="3" t="s">
        <v>758</v>
      </c>
      <c r="Q33" s="5">
        <v>59.2</v>
      </c>
    </row>
    <row r="34" spans="16:17" ht="14.4">
      <c r="P34" s="3" t="s">
        <v>759</v>
      </c>
      <c r="Q34" s="5">
        <v>60.1</v>
      </c>
    </row>
    <row r="35" spans="16:17" ht="14.4">
      <c r="P35" s="3" t="s">
        <v>760</v>
      </c>
      <c r="Q35" s="5">
        <v>61.5</v>
      </c>
    </row>
    <row r="36" spans="16:17" ht="14.4">
      <c r="P36" s="3" t="s">
        <v>761</v>
      </c>
      <c r="Q36" s="5">
        <v>60.8</v>
      </c>
    </row>
    <row r="37" spans="16:17" ht="14.4">
      <c r="P37" s="3" t="s">
        <v>762</v>
      </c>
      <c r="Q37" s="5">
        <v>60.2</v>
      </c>
    </row>
    <row r="38" spans="16:17" ht="14.4">
      <c r="P38" s="3" t="s">
        <v>763</v>
      </c>
      <c r="Q38" s="5">
        <v>59.8</v>
      </c>
    </row>
    <row r="39" spans="16:17" ht="14.4">
      <c r="P39" s="3" t="s">
        <v>764</v>
      </c>
      <c r="Q39" s="5">
        <v>59.5</v>
      </c>
    </row>
    <row r="40" spans="16:17" ht="14.4">
      <c r="P40" s="3" t="s">
        <v>765</v>
      </c>
      <c r="Q40" s="5">
        <v>60.5</v>
      </c>
    </row>
    <row r="41" spans="16:17" ht="14.4">
      <c r="P41" s="3" t="s">
        <v>766</v>
      </c>
      <c r="Q41" s="5">
        <v>61.2</v>
      </c>
    </row>
    <row r="42" spans="16:17" ht="14.4">
      <c r="P42" s="3" t="s">
        <v>767</v>
      </c>
      <c r="Q42" s="5">
        <v>60.4</v>
      </c>
    </row>
    <row r="43" spans="16:17" ht="14.4">
      <c r="P43" s="3" t="s">
        <v>768</v>
      </c>
      <c r="Q43" s="5">
        <v>59</v>
      </c>
    </row>
    <row r="44" spans="16:17" ht="14.4">
      <c r="P44" s="2" t="s">
        <v>781</v>
      </c>
      <c r="Q44" s="5">
        <v>55.2</v>
      </c>
    </row>
    <row r="45" spans="16:17" ht="14.4">
      <c r="P45" s="2" t="s">
        <v>782</v>
      </c>
      <c r="Q45" s="5">
        <v>56.8</v>
      </c>
    </row>
    <row r="46" spans="16:17" ht="14.4">
      <c r="P46" s="3" t="s">
        <v>756</v>
      </c>
      <c r="Q46" s="5">
        <v>60.5</v>
      </c>
    </row>
    <row r="47" spans="16:17" ht="14.4">
      <c r="P47" s="3" t="s">
        <v>758</v>
      </c>
      <c r="Q47" s="5">
        <v>61.2</v>
      </c>
    </row>
  </sheetData>
  <mergeCells count="1">
    <mergeCell ref="A1:H1"/>
  </mergeCells>
  <phoneticPr fontId="19" type="noConversion"/>
  <hyperlinks>
    <hyperlink ref="H3" r:id="rId1" location="Dashboard!A1" xr:uid="{00000000-0004-0000-25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7"/>
  <sheetViews>
    <sheetView showGridLines="0" workbookViewId="0">
      <pane ySplit="6" topLeftCell="A7" activePane="bottomLeft" state="frozen"/>
      <selection pane="bottomLeft" sqref="A1:H1"/>
    </sheetView>
  </sheetViews>
  <sheetFormatPr defaultColWidth="8.6640625" defaultRowHeight="15" customHeight="1"/>
  <cols>
    <col min="1" max="2" width="13" customWidth="1"/>
    <col min="3" max="3" width="16" customWidth="1"/>
    <col min="4" max="4" width="13" customWidth="1"/>
    <col min="5" max="5" width="11" customWidth="1"/>
    <col min="6" max="6" width="9" customWidth="1"/>
    <col min="7" max="7" width="8" customWidth="1"/>
    <col min="8" max="8" width="19" customWidth="1"/>
    <col min="9" max="9" width="8" customWidth="1"/>
    <col min="10" max="10" width="13" customWidth="1"/>
    <col min="11" max="11" width="24" customWidth="1"/>
    <col min="12" max="14" width="8" customWidth="1"/>
    <col min="15" max="15" width="11" customWidth="1"/>
    <col min="16" max="16" width="8" customWidth="1"/>
  </cols>
  <sheetData>
    <row r="1" spans="1:16" ht="24" customHeight="1">
      <c r="A1" s="37" t="s">
        <v>783</v>
      </c>
      <c r="B1" s="37"/>
      <c r="C1" s="37"/>
      <c r="D1" s="37"/>
      <c r="E1" s="37"/>
      <c r="F1" s="37"/>
      <c r="G1" s="37"/>
      <c r="H1" s="37"/>
    </row>
    <row r="3" spans="1:16" ht="26.4">
      <c r="A3" s="1" t="s">
        <v>64</v>
      </c>
      <c r="B3" s="2" t="s">
        <v>38</v>
      </c>
      <c r="C3" s="1" t="s">
        <v>171</v>
      </c>
      <c r="D3" s="3" t="s">
        <v>165</v>
      </c>
      <c r="E3" s="1" t="s">
        <v>66</v>
      </c>
      <c r="F3" s="2" t="s">
        <v>162</v>
      </c>
      <c r="H3" s="4" t="s">
        <v>172</v>
      </c>
    </row>
    <row r="4" spans="1:16" ht="14.4">
      <c r="A4" s="1" t="s">
        <v>67</v>
      </c>
      <c r="B4" s="2" t="s">
        <v>80</v>
      </c>
      <c r="C4" s="1" t="s">
        <v>50</v>
      </c>
      <c r="D4" s="5">
        <v>2.9</v>
      </c>
      <c r="E4" s="1" t="s">
        <v>51</v>
      </c>
      <c r="F4" s="5">
        <v>3</v>
      </c>
    </row>
    <row r="7" spans="1:16" ht="14.4">
      <c r="A7" s="6" t="s">
        <v>173</v>
      </c>
      <c r="B7" s="7" t="s">
        <v>701</v>
      </c>
      <c r="C7" s="7" t="s">
        <v>702</v>
      </c>
      <c r="D7" s="7" t="s">
        <v>703</v>
      </c>
      <c r="E7" s="7" t="s">
        <v>704</v>
      </c>
      <c r="F7" s="7" t="s">
        <v>705</v>
      </c>
      <c r="G7" s="7" t="s">
        <v>706</v>
      </c>
      <c r="H7" s="7" t="s">
        <v>707</v>
      </c>
      <c r="I7" s="7" t="s">
        <v>708</v>
      </c>
      <c r="J7" s="7" t="s">
        <v>709</v>
      </c>
      <c r="K7" s="7" t="s">
        <v>710</v>
      </c>
      <c r="L7" s="7" t="s">
        <v>711</v>
      </c>
      <c r="M7" s="7" t="s">
        <v>712</v>
      </c>
      <c r="O7" s="7" t="s">
        <v>179</v>
      </c>
      <c r="P7" s="7" t="s">
        <v>180</v>
      </c>
    </row>
    <row r="8" spans="1:16" ht="14.4">
      <c r="A8" s="8">
        <v>2021</v>
      </c>
      <c r="B8" s="5">
        <v>1.5</v>
      </c>
      <c r="C8" s="5">
        <v>1.5</v>
      </c>
      <c r="D8" s="5">
        <v>2.1</v>
      </c>
      <c r="E8" s="5">
        <v>3.2</v>
      </c>
      <c r="F8" s="5">
        <v>3.5</v>
      </c>
      <c r="G8" s="5">
        <v>3.6</v>
      </c>
      <c r="H8" s="5">
        <v>3.6</v>
      </c>
      <c r="I8" s="5">
        <v>3.7</v>
      </c>
      <c r="J8" s="5">
        <v>3.7</v>
      </c>
      <c r="K8" s="5">
        <v>4.2</v>
      </c>
      <c r="L8" s="5">
        <v>4.8</v>
      </c>
      <c r="M8" s="8">
        <v>5</v>
      </c>
      <c r="O8" s="2" t="s">
        <v>784</v>
      </c>
      <c r="P8" s="5">
        <v>5.0999999999999996</v>
      </c>
    </row>
    <row r="9" spans="1:16" ht="14.4">
      <c r="A9" s="8">
        <v>2022</v>
      </c>
      <c r="B9" s="5">
        <v>5.2</v>
      </c>
      <c r="C9" s="5">
        <v>5.4</v>
      </c>
      <c r="D9" s="5">
        <v>5.3</v>
      </c>
      <c r="E9" s="8">
        <v>5</v>
      </c>
      <c r="F9" s="5">
        <v>4.9000000000000004</v>
      </c>
      <c r="G9" s="8">
        <v>5</v>
      </c>
      <c r="H9" s="5">
        <v>4.8</v>
      </c>
      <c r="I9" s="8">
        <v>5</v>
      </c>
      <c r="J9" s="5">
        <v>5.2</v>
      </c>
      <c r="K9" s="5">
        <v>5.0999999999999996</v>
      </c>
      <c r="L9" s="5">
        <v>4.9000000000000004</v>
      </c>
      <c r="M9" s="5">
        <v>4.7</v>
      </c>
      <c r="O9" s="2" t="s">
        <v>713</v>
      </c>
      <c r="P9" s="5">
        <v>4.9000000000000004</v>
      </c>
    </row>
    <row r="10" spans="1:16" ht="26.4">
      <c r="A10" s="8">
        <v>2023</v>
      </c>
      <c r="B10" s="5">
        <v>4.9000000000000004</v>
      </c>
      <c r="C10" s="5">
        <v>4.7</v>
      </c>
      <c r="D10" s="5">
        <v>4.7</v>
      </c>
      <c r="E10" s="5">
        <v>4.8</v>
      </c>
      <c r="F10" s="5">
        <v>4.7</v>
      </c>
      <c r="G10" s="5">
        <v>4.3</v>
      </c>
      <c r="H10" s="5">
        <v>4.3</v>
      </c>
      <c r="I10" s="5">
        <v>3.8</v>
      </c>
      <c r="J10" s="9" t="s">
        <v>186</v>
      </c>
      <c r="K10" s="10" t="s">
        <v>187</v>
      </c>
      <c r="L10" s="5">
        <v>3.2</v>
      </c>
      <c r="M10" s="5">
        <v>2.9</v>
      </c>
      <c r="O10" s="2" t="s">
        <v>714</v>
      </c>
      <c r="P10" s="5">
        <v>4.7</v>
      </c>
    </row>
    <row r="11" spans="1:16" ht="26.4">
      <c r="A11" s="8">
        <v>2024</v>
      </c>
      <c r="B11" s="5">
        <v>2.9</v>
      </c>
      <c r="C11" s="5">
        <v>2.8</v>
      </c>
      <c r="D11" s="5">
        <v>2.8</v>
      </c>
      <c r="E11" s="5">
        <v>2.7</v>
      </c>
      <c r="F11" s="5">
        <v>2.6</v>
      </c>
      <c r="G11" s="5">
        <v>2.6</v>
      </c>
      <c r="H11" s="5">
        <v>2.6</v>
      </c>
      <c r="I11" s="5">
        <v>2.7</v>
      </c>
      <c r="J11" s="9" t="s">
        <v>189</v>
      </c>
      <c r="K11" s="10" t="s">
        <v>190</v>
      </c>
      <c r="L11" s="5">
        <v>2.7</v>
      </c>
      <c r="M11" s="5">
        <v>2.6</v>
      </c>
      <c r="O11" s="2" t="s">
        <v>715</v>
      </c>
      <c r="P11" s="5">
        <v>4.9000000000000004</v>
      </c>
    </row>
    <row r="12" spans="1:16" ht="14.4">
      <c r="A12" s="8">
        <v>2025</v>
      </c>
      <c r="B12" s="5">
        <v>2.5</v>
      </c>
      <c r="C12" s="5">
        <v>2.6</v>
      </c>
      <c r="D12" s="5">
        <v>2.7</v>
      </c>
      <c r="E12" s="5">
        <v>2.9</v>
      </c>
      <c r="F12" s="8">
        <v>3</v>
      </c>
      <c r="G12" s="5">
        <v>2.9</v>
      </c>
      <c r="H12" s="5">
        <v>2.9</v>
      </c>
      <c r="I12" s="8">
        <v>3</v>
      </c>
      <c r="J12" s="5">
        <v>3.1</v>
      </c>
      <c r="K12" s="5">
        <v>3.1</v>
      </c>
      <c r="L12" s="5">
        <v>3.1</v>
      </c>
      <c r="M12" s="8">
        <v>3</v>
      </c>
      <c r="O12" s="2" t="s">
        <v>716</v>
      </c>
      <c r="P12" s="5">
        <v>4.7</v>
      </c>
    </row>
    <row r="13" spans="1:16" ht="14.4">
      <c r="A13" s="8">
        <v>2026</v>
      </c>
      <c r="B13" s="5">
        <v>2.9</v>
      </c>
      <c r="C13" s="2" t="s">
        <v>233</v>
      </c>
      <c r="D13" s="2" t="s">
        <v>233</v>
      </c>
      <c r="E13" s="2" t="s">
        <v>233</v>
      </c>
      <c r="F13" s="2" t="s">
        <v>233</v>
      </c>
      <c r="G13" s="2" t="s">
        <v>233</v>
      </c>
      <c r="H13" s="2" t="s">
        <v>233</v>
      </c>
      <c r="I13" s="2" t="s">
        <v>233</v>
      </c>
      <c r="J13" s="2" t="s">
        <v>233</v>
      </c>
      <c r="K13" s="2" t="s">
        <v>233</v>
      </c>
      <c r="L13" s="2" t="s">
        <v>233</v>
      </c>
      <c r="M13" s="2" t="s">
        <v>233</v>
      </c>
      <c r="O13" s="2" t="s">
        <v>717</v>
      </c>
      <c r="P13" s="5">
        <v>4.7</v>
      </c>
    </row>
    <row r="14" spans="1:16" ht="14.4">
      <c r="O14" s="2" t="s">
        <v>718</v>
      </c>
      <c r="P14" s="5">
        <v>4.8</v>
      </c>
    </row>
    <row r="15" spans="1:16" ht="14.4">
      <c r="O15" s="2" t="s">
        <v>719</v>
      </c>
      <c r="P15" s="5">
        <v>4.7</v>
      </c>
    </row>
    <row r="16" spans="1:16" ht="14.4">
      <c r="O16" s="2" t="s">
        <v>720</v>
      </c>
      <c r="P16" s="5">
        <v>4.3</v>
      </c>
    </row>
    <row r="17" spans="15:16" ht="14.4">
      <c r="O17" s="2" t="s">
        <v>721</v>
      </c>
      <c r="P17" s="5">
        <v>4.3</v>
      </c>
    </row>
    <row r="18" spans="15:16" ht="14.4">
      <c r="O18" s="2" t="s">
        <v>722</v>
      </c>
      <c r="P18" s="5">
        <v>3.8</v>
      </c>
    </row>
    <row r="19" spans="15:16" ht="14.4">
      <c r="O19" s="2" t="s">
        <v>723</v>
      </c>
      <c r="P19" s="5">
        <v>3.6</v>
      </c>
    </row>
    <row r="20" spans="15:16" ht="14.4">
      <c r="O20" s="2" t="s">
        <v>724</v>
      </c>
      <c r="P20" s="5">
        <v>3.4</v>
      </c>
    </row>
    <row r="21" spans="15:16" ht="14.4">
      <c r="O21" s="2" t="s">
        <v>725</v>
      </c>
      <c r="P21" s="5">
        <v>3.2</v>
      </c>
    </row>
    <row r="22" spans="15:16" ht="14.4">
      <c r="O22" s="2" t="s">
        <v>726</v>
      </c>
      <c r="P22" s="5">
        <v>2.9</v>
      </c>
    </row>
    <row r="23" spans="15:16" ht="14.4">
      <c r="O23" s="2" t="s">
        <v>727</v>
      </c>
      <c r="P23" s="5">
        <v>2.9</v>
      </c>
    </row>
    <row r="24" spans="15:16" ht="14.4">
      <c r="O24" s="2" t="s">
        <v>728</v>
      </c>
      <c r="P24" s="5">
        <v>2.8</v>
      </c>
    </row>
    <row r="25" spans="15:16" ht="14.4">
      <c r="O25" s="2" t="s">
        <v>729</v>
      </c>
      <c r="P25" s="5">
        <v>2.8</v>
      </c>
    </row>
    <row r="26" spans="15:16" ht="14.4">
      <c r="O26" s="2" t="s">
        <v>730</v>
      </c>
      <c r="P26" s="5">
        <v>2.7</v>
      </c>
    </row>
    <row r="27" spans="15:16" ht="14.4">
      <c r="O27" s="2" t="s">
        <v>731</v>
      </c>
      <c r="P27" s="5">
        <v>2.6</v>
      </c>
    </row>
    <row r="28" spans="15:16" ht="14.4">
      <c r="O28" s="2" t="s">
        <v>732</v>
      </c>
      <c r="P28" s="5">
        <v>2.6</v>
      </c>
    </row>
    <row r="29" spans="15:16" ht="14.4">
      <c r="O29" s="2" t="s">
        <v>733</v>
      </c>
      <c r="P29" s="5">
        <v>2.6</v>
      </c>
    </row>
    <row r="30" spans="15:16" ht="14.4">
      <c r="O30" s="2" t="s">
        <v>734</v>
      </c>
      <c r="P30" s="5">
        <v>2.7</v>
      </c>
    </row>
    <row r="31" spans="15:16" ht="14.4">
      <c r="O31" s="2" t="s">
        <v>735</v>
      </c>
      <c r="P31" s="5">
        <v>2.7</v>
      </c>
    </row>
    <row r="32" spans="15:16" ht="14.4">
      <c r="O32" s="2" t="s">
        <v>736</v>
      </c>
      <c r="P32" s="5">
        <v>2.8</v>
      </c>
    </row>
    <row r="33" spans="15:16" ht="14.4">
      <c r="O33" s="2" t="s">
        <v>737</v>
      </c>
      <c r="P33" s="5">
        <v>2.7</v>
      </c>
    </row>
    <row r="34" spans="15:16" ht="14.4">
      <c r="O34" s="2" t="s">
        <v>738</v>
      </c>
      <c r="P34" s="5">
        <v>2.6</v>
      </c>
    </row>
    <row r="35" spans="15:16" ht="14.4">
      <c r="O35" s="2" t="s">
        <v>739</v>
      </c>
      <c r="P35" s="5">
        <v>2.5</v>
      </c>
    </row>
    <row r="36" spans="15:16" ht="14.4">
      <c r="O36" s="2" t="s">
        <v>740</v>
      </c>
      <c r="P36" s="5">
        <v>2.6</v>
      </c>
    </row>
    <row r="37" spans="15:16" ht="14.4">
      <c r="O37" s="2" t="s">
        <v>741</v>
      </c>
      <c r="P37" s="5">
        <v>2.7</v>
      </c>
    </row>
    <row r="38" spans="15:16" ht="14.4">
      <c r="O38" s="2" t="s">
        <v>742</v>
      </c>
      <c r="P38" s="5">
        <v>2.9</v>
      </c>
    </row>
    <row r="39" spans="15:16" ht="14.4">
      <c r="O39" s="2" t="s">
        <v>743</v>
      </c>
      <c r="P39" s="5">
        <v>3</v>
      </c>
    </row>
    <row r="40" spans="15:16" ht="14.4">
      <c r="O40" s="2" t="s">
        <v>744</v>
      </c>
      <c r="P40" s="5">
        <v>2.9</v>
      </c>
    </row>
    <row r="41" spans="15:16" ht="14.4">
      <c r="O41" s="2" t="s">
        <v>745</v>
      </c>
      <c r="P41" s="5">
        <v>2.9</v>
      </c>
    </row>
    <row r="42" spans="15:16" ht="14.4">
      <c r="O42" s="2" t="s">
        <v>746</v>
      </c>
      <c r="P42" s="5">
        <v>3</v>
      </c>
    </row>
    <row r="43" spans="15:16" ht="14.4">
      <c r="O43" s="2" t="s">
        <v>747</v>
      </c>
      <c r="P43" s="5">
        <v>3.1</v>
      </c>
    </row>
    <row r="44" spans="15:16" ht="14.4">
      <c r="O44" s="2" t="s">
        <v>748</v>
      </c>
      <c r="P44" s="5">
        <v>3.1</v>
      </c>
    </row>
    <row r="45" spans="15:16" ht="14.4">
      <c r="O45" s="2" t="s">
        <v>749</v>
      </c>
      <c r="P45" s="5">
        <v>3.1</v>
      </c>
    </row>
    <row r="46" spans="15:16" ht="14.4">
      <c r="O46" s="2" t="s">
        <v>750</v>
      </c>
      <c r="P46" s="5">
        <v>3</v>
      </c>
    </row>
    <row r="47" spans="15:16" ht="14.4">
      <c r="O47" s="2" t="s">
        <v>751</v>
      </c>
      <c r="P47" s="5">
        <v>2.9</v>
      </c>
    </row>
  </sheetData>
  <mergeCells count="1">
    <mergeCell ref="A1:H1"/>
  </mergeCells>
  <phoneticPr fontId="19" type="noConversion"/>
  <hyperlinks>
    <hyperlink ref="H3" r:id="rId1" location="Dashboard!A1" xr:uid="{00000000-0004-0000-2600-000000000000}"/>
  </hyperlinks>
  <pageMargins left="0.75" right="0.75" top="1" bottom="1" header="0.511811023622047" footer="0.511811023622047"/>
  <pageSetup paperSize="9" orientation="portrait" horizontalDpi="300" verticalDpi="30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README</vt:lpstr>
      <vt:lpstr>Controls</vt:lpstr>
      <vt:lpstr>Dashboard</vt:lpstr>
      <vt:lpstr>Indicators</vt:lpstr>
      <vt:lpstr>Indicator_Map</vt:lpstr>
      <vt:lpstr>S01_纳斯达克100毛利率五年趋势</vt:lpstr>
      <vt:lpstr>S02_花旗标普500盈利上修动能指标</vt:lpstr>
      <vt:lpstr>S03_TGA账户</vt:lpstr>
      <vt:lpstr>S04_标普500盈余惊喜</vt:lpstr>
      <vt:lpstr>S05_标普500的roic-wacc</vt:lpstr>
      <vt:lpstr>S06_纳斯达克营收增长</vt:lpstr>
      <vt:lpstr>S07_标普500的ERP</vt:lpstr>
      <vt:lpstr>S08_标普500的花旗盈利修正指数 (ERI)</vt:lpstr>
      <vt:lpstr>S09_标普500的花旗经济意外指数 (CESI US)</vt:lpstr>
      <vt:lpstr>S10_主权基金净流入情况</vt:lpstr>
      <vt:lpstr>S11_标普500的现金流 PEG</vt:lpstr>
      <vt:lpstr>S12_标普500的真实股东收益率（Total Shareho</vt:lpstr>
      <vt:lpstr>S13_AAII个人投资者净看多比例</vt:lpstr>
      <vt:lpstr>S14_Market Vane 股市看涨情绪</vt:lpstr>
      <vt:lpstr>S15_保证金债务和市值比率</vt:lpstr>
      <vt:lpstr>S16_TGA账户余额</vt:lpstr>
      <vt:lpstr>S17_SOFR-OIS 基差</vt:lpstr>
      <vt:lpstr>S18_CARRY TO RISK RITIO</vt:lpstr>
      <vt:lpstr>S19_高盛美国宏观金融指数</vt:lpstr>
      <vt:lpstr>S20_彭博美国金融条件指数</vt:lpstr>
      <vt:lpstr>S21_芝加哥联储全国金融条件指数 (NFCI)</vt:lpstr>
      <vt:lpstr>S22_GDP Now 预测</vt:lpstr>
      <vt:lpstr>S23_St. Louis Fed Economic News</vt:lpstr>
      <vt:lpstr>S24_ADS 商业景气指数(华尔街交易员股市应用稀缺的实时高</vt:lpstr>
      <vt:lpstr>S25_Lightcast 数据</vt:lpstr>
      <vt:lpstr>S26_WARN Notice裁员数据</vt:lpstr>
      <vt:lpstr>S27_ADP 新增就业人数</vt:lpstr>
      <vt:lpstr>S28_RedBook 零售指数</vt:lpstr>
      <vt:lpstr>S29_房地产待售时长（4WMA）</vt:lpstr>
      <vt:lpstr>S30_Redfin 房屋销售量</vt:lpstr>
      <vt:lpstr>S31_美国中位数房价</vt:lpstr>
      <vt:lpstr>S32_薪资增速 (Average Hourly Earnin</vt:lpstr>
      <vt:lpstr>S33_ISM 制造业和服务业价格指数</vt:lpstr>
      <vt:lpstr>S34_美国核心PCE物价指数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 Fu</cp:lastModifiedBy>
  <dcterms:created xsi:type="dcterms:W3CDTF">2026-03-10T01:12:32Z</dcterms:created>
  <dcterms:modified xsi:type="dcterms:W3CDTF">2026-03-10T02:31:37Z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5710188E4F3B4BBA8896D1731B01DC3F_12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EM_Doc_Temp_ID">
    <vt:lpwstr>EDE1CEA6-F652-4C14-A8AD-E3FF7BD48F41</vt:lpwstr>
  </property>
</Properties>
</file>